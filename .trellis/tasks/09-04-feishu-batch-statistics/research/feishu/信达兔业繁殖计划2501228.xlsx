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繁殖总表" sheetId="1" r:id="rId1"/>
    <sheet name="料肉比统计" sheetId="12" r:id="rId2"/>
    <sheet name="公斤造肉饲料成本表" sheetId="14" r:id="rId3"/>
    <sheet name="Sheet1" sheetId="15" r:id="rId4"/>
  </sheets>
  <definedNames>
    <definedName name="_xlnm._FilterDatabase" localSheetId="0" hidden="1">繁殖总表!$A$1:$AG$160</definedName>
    <definedName name="_xlnm._FilterDatabase" localSheetId="2" hidden="1">公斤造肉饲料成本表!$A$1:$A$67</definedName>
    <definedName name="_xlnm._FilterDatabase" localSheetId="3" hidden="1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第一胎</t>
        </r>
      </text>
    </comment>
    <comment ref="W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出售5429+49，留后备1478只</t>
        </r>
      </text>
    </comment>
    <comment ref="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第一胎</t>
        </r>
      </text>
    </comment>
    <comment ref="A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第二胎</t>
        </r>
      </text>
    </commen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第一胎</t>
        </r>
      </text>
    </comment>
    <comment ref="A6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第二胎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第三胎</t>
        </r>
      </text>
    </comment>
    <comment ref="A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第二胎</t>
        </r>
      </text>
    </comment>
    <comment ref="A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初配</t>
        </r>
      </text>
    </comment>
    <comment ref="A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第三胎</t>
        </r>
      </text>
    </comment>
  </commentList>
</comments>
</file>

<file path=xl/sharedStrings.xml><?xml version="1.0" encoding="utf-8"?>
<sst xmlns="http://schemas.openxmlformats.org/spreadsheetml/2006/main" count="791" uniqueCount="269">
  <si>
    <t>舍号</t>
  </si>
  <si>
    <t>胎次</t>
  </si>
  <si>
    <t>加光日期</t>
  </si>
  <si>
    <t>配种日期</t>
  </si>
  <si>
    <t>配种数量</t>
  </si>
  <si>
    <t>摸胎</t>
  </si>
  <si>
    <t>受胎数量</t>
  </si>
  <si>
    <t>受胎率</t>
  </si>
  <si>
    <t>产仔日期</t>
  </si>
  <si>
    <t>产仔窝数</t>
  </si>
  <si>
    <t>产仔率</t>
  </si>
  <si>
    <t>选留</t>
  </si>
  <si>
    <t>选留窝数</t>
  </si>
  <si>
    <t>选留数量</t>
  </si>
  <si>
    <t>选留产子率</t>
  </si>
  <si>
    <t>窝均选留</t>
  </si>
  <si>
    <t>断奶</t>
  </si>
  <si>
    <t>断奶数量</t>
  </si>
  <si>
    <t>断奶均重</t>
  </si>
  <si>
    <t>成活率</t>
  </si>
  <si>
    <t>出栏</t>
  </si>
  <si>
    <t>出栏数量</t>
  </si>
  <si>
    <t>出栏成活率</t>
  </si>
  <si>
    <t>出栏总重</t>
  </si>
  <si>
    <t>销售单价</t>
  </si>
  <si>
    <t>出栏均重</t>
  </si>
  <si>
    <t>精液贡献率</t>
  </si>
  <si>
    <t>全程料肉比</t>
  </si>
  <si>
    <t>育肥期料肉比</t>
  </si>
  <si>
    <t>出肉率</t>
  </si>
  <si>
    <t>1</t>
  </si>
  <si>
    <r>
      <rPr>
        <sz val="11"/>
        <rFont val="Tahoma"/>
        <charset val="134"/>
      </rPr>
      <t>1478</t>
    </r>
    <r>
      <rPr>
        <sz val="11"/>
        <rFont val="宋体"/>
        <charset val="134"/>
      </rPr>
      <t>后备，</t>
    </r>
    <r>
      <rPr>
        <sz val="11"/>
        <rFont val="Tahoma"/>
        <charset val="134"/>
      </rPr>
      <t>49</t>
    </r>
    <r>
      <rPr>
        <sz val="11"/>
        <rFont val="宋体"/>
        <charset val="134"/>
      </rPr>
      <t>提前出栏</t>
    </r>
  </si>
  <si>
    <t>2</t>
  </si>
  <si>
    <r>
      <rPr>
        <sz val="11"/>
        <rFont val="Tahoma"/>
        <charset val="134"/>
      </rPr>
      <t>648</t>
    </r>
    <r>
      <rPr>
        <sz val="11"/>
        <rFont val="宋体"/>
        <charset val="134"/>
      </rPr>
      <t>后备</t>
    </r>
  </si>
  <si>
    <r>
      <rPr>
        <sz val="11"/>
        <rFont val="Tahoma"/>
        <charset val="134"/>
      </rPr>
      <t>71</t>
    </r>
    <r>
      <rPr>
        <sz val="11"/>
        <rFont val="宋体"/>
        <charset val="134"/>
      </rPr>
      <t>淘汰算出栏</t>
    </r>
  </si>
  <si>
    <r>
      <rPr>
        <sz val="11"/>
        <rFont val="Tahoma"/>
        <charset val="134"/>
      </rPr>
      <t>1266</t>
    </r>
    <r>
      <rPr>
        <sz val="11"/>
        <rFont val="宋体"/>
        <charset val="134"/>
      </rPr>
      <t>后备</t>
    </r>
  </si>
  <si>
    <r>
      <rPr>
        <sz val="11"/>
        <rFont val="Tahoma"/>
        <charset val="134"/>
      </rPr>
      <t>1194</t>
    </r>
    <r>
      <rPr>
        <sz val="11"/>
        <rFont val="宋体"/>
        <charset val="134"/>
      </rPr>
      <t>场杀，</t>
    </r>
    <r>
      <rPr>
        <sz val="11"/>
        <rFont val="Tahoma"/>
        <charset val="134"/>
      </rPr>
      <t>3783</t>
    </r>
    <r>
      <rPr>
        <sz val="11"/>
        <rFont val="宋体"/>
        <charset val="134"/>
      </rPr>
      <t>商品</t>
    </r>
  </si>
  <si>
    <t>3</t>
  </si>
  <si>
    <r>
      <rPr>
        <sz val="11"/>
        <rFont val="Tahoma"/>
        <charset val="134"/>
      </rPr>
      <t>432</t>
    </r>
    <r>
      <rPr>
        <sz val="11"/>
        <rFont val="宋体"/>
        <charset val="134"/>
      </rPr>
      <t>后备，</t>
    </r>
    <r>
      <rPr>
        <sz val="11"/>
        <rFont val="Tahoma"/>
        <charset val="134"/>
      </rPr>
      <t>7528</t>
    </r>
    <r>
      <rPr>
        <sz val="11"/>
        <rFont val="宋体"/>
        <charset val="134"/>
      </rPr>
      <t>出售</t>
    </r>
  </si>
  <si>
    <r>
      <rPr>
        <sz val="11"/>
        <rFont val="宋体"/>
        <charset val="134"/>
      </rPr>
      <t>出售</t>
    </r>
    <r>
      <rPr>
        <sz val="11"/>
        <rFont val="Tahoma"/>
        <charset val="134"/>
      </rPr>
      <t>397</t>
    </r>
    <r>
      <rPr>
        <sz val="11"/>
        <rFont val="宋体"/>
        <charset val="134"/>
      </rPr>
      <t>只种兔</t>
    </r>
    <r>
      <rPr>
        <sz val="11"/>
        <rFont val="Tahoma"/>
        <charset val="134"/>
      </rPr>
      <t>50</t>
    </r>
    <r>
      <rPr>
        <sz val="11"/>
        <rFont val="宋体"/>
        <charset val="134"/>
      </rPr>
      <t>一只</t>
    </r>
  </si>
  <si>
    <t>4</t>
  </si>
  <si>
    <r>
      <rPr>
        <sz val="11"/>
        <rFont val="Tahoma"/>
        <charset val="134"/>
      </rPr>
      <t>320</t>
    </r>
    <r>
      <rPr>
        <sz val="11"/>
        <rFont val="宋体"/>
        <charset val="134"/>
      </rPr>
      <t>转后备</t>
    </r>
  </si>
  <si>
    <t>5</t>
  </si>
  <si>
    <t>6</t>
  </si>
  <si>
    <r>
      <rPr>
        <sz val="11"/>
        <rFont val="Tahoma"/>
        <charset val="134"/>
      </rPr>
      <t>800</t>
    </r>
    <r>
      <rPr>
        <sz val="11"/>
        <rFont val="宋体"/>
        <charset val="134"/>
      </rPr>
      <t>仔兔按照</t>
    </r>
    <r>
      <rPr>
        <sz val="11"/>
        <rFont val="Tahoma"/>
        <charset val="134"/>
      </rPr>
      <t>50%</t>
    </r>
    <r>
      <rPr>
        <sz val="11"/>
        <rFont val="宋体"/>
        <charset val="134"/>
      </rPr>
      <t>成活率计算</t>
    </r>
  </si>
  <si>
    <r>
      <rPr>
        <sz val="11"/>
        <rFont val="Tahoma"/>
        <charset val="134"/>
      </rPr>
      <t>7</t>
    </r>
    <r>
      <rPr>
        <sz val="11"/>
        <rFont val="宋体"/>
        <charset val="134"/>
      </rPr>
      <t>月</t>
    </r>
    <r>
      <rPr>
        <sz val="11"/>
        <rFont val="Tahoma"/>
        <charset val="134"/>
      </rPr>
      <t>7</t>
    </r>
    <r>
      <rPr>
        <sz val="11"/>
        <rFont val="宋体"/>
        <charset val="134"/>
      </rPr>
      <t>日转</t>
    </r>
    <r>
      <rPr>
        <sz val="11"/>
        <rFont val="Tahoma"/>
        <charset val="134"/>
      </rPr>
      <t>5-2</t>
    </r>
    <r>
      <rPr>
        <sz val="11"/>
        <rFont val="宋体"/>
        <charset val="134"/>
      </rPr>
      <t>舍</t>
    </r>
    <r>
      <rPr>
        <sz val="11"/>
        <rFont val="Tahoma"/>
        <charset val="134"/>
      </rPr>
      <t>1850</t>
    </r>
    <r>
      <rPr>
        <sz val="11"/>
        <rFont val="宋体"/>
        <charset val="134"/>
      </rPr>
      <t>只，</t>
    </r>
    <r>
      <rPr>
        <sz val="11"/>
        <rFont val="Tahoma"/>
        <charset val="134"/>
      </rPr>
      <t>7</t>
    </r>
    <r>
      <rPr>
        <sz val="11"/>
        <rFont val="宋体"/>
        <charset val="134"/>
      </rPr>
      <t>月</t>
    </r>
    <r>
      <rPr>
        <sz val="11"/>
        <rFont val="Tahoma"/>
        <charset val="134"/>
      </rPr>
      <t>26</t>
    </r>
    <r>
      <rPr>
        <sz val="11"/>
        <rFont val="宋体"/>
        <charset val="134"/>
      </rPr>
      <t>日剩余</t>
    </r>
    <r>
      <rPr>
        <sz val="11"/>
        <rFont val="Tahoma"/>
        <charset val="134"/>
      </rPr>
      <t>1748</t>
    </r>
    <r>
      <rPr>
        <sz val="11"/>
        <rFont val="宋体"/>
        <charset val="134"/>
      </rPr>
      <t>只</t>
    </r>
  </si>
  <si>
    <t>7</t>
  </si>
  <si>
    <r>
      <rPr>
        <sz val="11"/>
        <rFont val="宋体"/>
        <charset val="134"/>
      </rPr>
      <t>出栏</t>
    </r>
    <r>
      <rPr>
        <sz val="11"/>
        <rFont val="Tahoma"/>
        <charset val="134"/>
      </rPr>
      <t>4762</t>
    </r>
    <r>
      <rPr>
        <sz val="11"/>
        <rFont val="宋体"/>
        <charset val="134"/>
      </rPr>
      <t>只，</t>
    </r>
    <r>
      <rPr>
        <sz val="11"/>
        <rFont val="Tahoma"/>
        <charset val="134"/>
      </rPr>
      <t>2</t>
    </r>
    <r>
      <rPr>
        <sz val="11"/>
        <rFont val="宋体"/>
        <charset val="134"/>
      </rPr>
      <t>舍转来出栏1693只</t>
    </r>
  </si>
  <si>
    <t>后期严重扒料</t>
  </si>
  <si>
    <t>整体加氧化锌</t>
  </si>
  <si>
    <t>8</t>
  </si>
  <si>
    <t>850+50</t>
  </si>
  <si>
    <t>890+50</t>
  </si>
  <si>
    <t>综合</t>
  </si>
  <si>
    <t>9</t>
  </si>
  <si>
    <t>无</t>
  </si>
  <si>
    <r>
      <rPr>
        <sz val="11"/>
        <rFont val="宋体"/>
        <charset val="134"/>
      </rPr>
      <t>加</t>
    </r>
    <r>
      <rPr>
        <sz val="11"/>
        <rFont val="Tahoma"/>
        <charset val="134"/>
      </rPr>
      <t>500</t>
    </r>
    <r>
      <rPr>
        <sz val="11"/>
        <rFont val="宋体"/>
        <charset val="134"/>
      </rPr>
      <t>只实验，</t>
    </r>
  </si>
  <si>
    <t>提前卖</t>
  </si>
  <si>
    <t>10</t>
  </si>
  <si>
    <t>出栏日期</t>
  </si>
  <si>
    <t>转后备数</t>
  </si>
  <si>
    <t>转后备重量</t>
  </si>
  <si>
    <t>后备重量</t>
  </si>
  <si>
    <t>出栏只数</t>
  </si>
  <si>
    <t>出栏只重</t>
  </si>
  <si>
    <t>出栏重量</t>
  </si>
  <si>
    <t>总出栏重量</t>
  </si>
  <si>
    <t>全程饲料重量</t>
  </si>
  <si>
    <t>断奶重量</t>
  </si>
  <si>
    <r>
      <rPr>
        <sz val="11"/>
        <color theme="1"/>
        <rFont val="Tahoma"/>
        <charset val="134"/>
      </rPr>
      <t xml:space="preserve"> </t>
    </r>
    <r>
      <rPr>
        <sz val="11"/>
        <color theme="1"/>
        <rFont val="宋体"/>
        <charset val="134"/>
      </rPr>
      <t>断奶总重量</t>
    </r>
  </si>
  <si>
    <t>育肥增加重量</t>
  </si>
  <si>
    <t>育肥饲料用量</t>
  </si>
  <si>
    <t>育肥料肉比</t>
  </si>
  <si>
    <t>备注</t>
  </si>
  <si>
    <t>1748+6574+603</t>
  </si>
  <si>
    <t>6834+600</t>
  </si>
  <si>
    <t>实验兔</t>
  </si>
  <si>
    <t>其余兔</t>
  </si>
  <si>
    <r>
      <rPr>
        <sz val="11"/>
        <color theme="1"/>
        <rFont val="Tahoma"/>
        <charset val="134"/>
      </rPr>
      <t>2</t>
    </r>
    <r>
      <rPr>
        <sz val="11"/>
        <color theme="1"/>
        <rFont val="宋体"/>
        <charset val="134"/>
      </rPr>
      <t>号舍转来</t>
    </r>
    <r>
      <rPr>
        <sz val="11"/>
        <color theme="1"/>
        <rFont val="Tahoma"/>
        <charset val="134"/>
      </rPr>
      <t>1850,50-84</t>
    </r>
    <r>
      <rPr>
        <sz val="11"/>
        <color theme="1"/>
        <rFont val="宋体"/>
        <charset val="134"/>
      </rPr>
      <t>日龄</t>
    </r>
  </si>
  <si>
    <t>44193</t>
  </si>
  <si>
    <t>44754</t>
  </si>
  <si>
    <t>2025-10-09</t>
  </si>
  <si>
    <t>Y</t>
  </si>
  <si>
    <t>WIN000601</t>
  </si>
  <si>
    <t>安丘金久旺饲料有限公司</t>
  </si>
  <si>
    <t>5-2</t>
  </si>
  <si>
    <t>02.04</t>
  </si>
  <si>
    <t>母兔料578</t>
  </si>
  <si>
    <t>kg</t>
  </si>
  <si>
    <t>采购部</t>
  </si>
  <si>
    <t>王光圣</t>
  </si>
  <si>
    <t>2025-10-20</t>
  </si>
  <si>
    <t>WIN000606</t>
  </si>
  <si>
    <t>2025-10-27</t>
  </si>
  <si>
    <t>WIN000611</t>
  </si>
  <si>
    <t>2025-11-06</t>
  </si>
  <si>
    <t>WIN000624</t>
  </si>
  <si>
    <t>2025-11-12</t>
  </si>
  <si>
    <t>WIN000630</t>
  </si>
  <si>
    <t>WIN000631</t>
  </si>
  <si>
    <t>日照恒邦牧业科技股份有限公司</t>
  </si>
  <si>
    <t>02.02</t>
  </si>
  <si>
    <t>仔兔料</t>
  </si>
  <si>
    <t>2025-11-16</t>
  </si>
  <si>
    <t>WIN000633</t>
  </si>
  <si>
    <t>2025-11-19</t>
  </si>
  <si>
    <t>WIN000635</t>
  </si>
  <si>
    <t>2025-12-07</t>
  </si>
  <si>
    <t>CHG000051</t>
  </si>
  <si>
    <t>饲料库</t>
  </si>
  <si>
    <t>02.34</t>
  </si>
  <si>
    <t>仔兔后期料</t>
  </si>
  <si>
    <t>10-1</t>
  </si>
  <si>
    <t>2025-11-03</t>
  </si>
  <si>
    <t>WIN000622</t>
  </si>
  <si>
    <t>2025-11-09</t>
  </si>
  <si>
    <t>WIN000625</t>
  </si>
  <si>
    <t>2025-11-24</t>
  </si>
  <si>
    <t>WIN000645</t>
  </si>
  <si>
    <t>2025-12-02</t>
  </si>
  <si>
    <t>WIN000659</t>
  </si>
  <si>
    <t>2025-12-08</t>
  </si>
  <si>
    <t>WIN000662</t>
  </si>
  <si>
    <t>2025-12-25</t>
  </si>
  <si>
    <t>WIN000686</t>
  </si>
  <si>
    <t>出栏总重量（kg）</t>
  </si>
  <si>
    <t>饲料用量（含豆粕）</t>
  </si>
  <si>
    <t>料肉比</t>
  </si>
  <si>
    <t>饲料总费用</t>
  </si>
  <si>
    <t>公斤造肉成本</t>
  </si>
  <si>
    <t>选留产仔率</t>
  </si>
  <si>
    <t>断奶成活率</t>
  </si>
  <si>
    <t>商品成活率</t>
  </si>
  <si>
    <t>商品料肉比</t>
  </si>
  <si>
    <r>
      <rPr>
        <sz val="11"/>
        <color theme="1"/>
        <rFont val="Tahoma"/>
        <charset val="134"/>
      </rPr>
      <t>4-1</t>
    </r>
    <r>
      <rPr>
        <sz val="11"/>
        <color theme="1"/>
        <rFont val="宋体"/>
        <charset val="134"/>
      </rPr>
      <t>舍</t>
    </r>
  </si>
  <si>
    <r>
      <rPr>
        <sz val="11"/>
        <color theme="1"/>
        <rFont val="Tahoma"/>
        <charset val="134"/>
      </rPr>
      <t>8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22</t>
    </r>
    <r>
      <rPr>
        <sz val="11"/>
        <color theme="1"/>
        <rFont val="宋体"/>
        <charset val="134"/>
      </rPr>
      <t>日</t>
    </r>
  </si>
  <si>
    <t>2-1</t>
  </si>
  <si>
    <r>
      <rPr>
        <sz val="11"/>
        <color theme="1"/>
        <rFont val="Tahoma"/>
        <charset val="134"/>
      </rPr>
      <t>9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日</t>
    </r>
  </si>
  <si>
    <r>
      <rPr>
        <sz val="11"/>
        <color theme="1"/>
        <rFont val="Tahoma"/>
        <charset val="134"/>
      </rPr>
      <t>1-2</t>
    </r>
    <r>
      <rPr>
        <sz val="11"/>
        <color theme="1"/>
        <rFont val="宋体"/>
        <charset val="134"/>
      </rPr>
      <t>舍</t>
    </r>
  </si>
  <si>
    <r>
      <rPr>
        <sz val="11"/>
        <color theme="1"/>
        <rFont val="Tahoma"/>
        <charset val="134"/>
      </rPr>
      <t>9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14</t>
    </r>
    <r>
      <rPr>
        <sz val="11"/>
        <color theme="1"/>
        <rFont val="宋体"/>
        <charset val="134"/>
      </rPr>
      <t>日</t>
    </r>
  </si>
  <si>
    <r>
      <rPr>
        <sz val="11"/>
        <color theme="1"/>
        <rFont val="Tahoma"/>
        <charset val="134"/>
      </rPr>
      <t>4-2</t>
    </r>
    <r>
      <rPr>
        <sz val="11"/>
        <color theme="1"/>
        <rFont val="宋体"/>
        <charset val="134"/>
      </rPr>
      <t>舍</t>
    </r>
  </si>
  <si>
    <r>
      <rPr>
        <sz val="11"/>
        <color theme="1"/>
        <rFont val="Tahoma"/>
        <charset val="134"/>
      </rPr>
      <t>10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日</t>
    </r>
  </si>
  <si>
    <r>
      <rPr>
        <sz val="11"/>
        <color rgb="FF000000"/>
        <rFont val="Tahoma"/>
        <charset val="134"/>
      </rPr>
      <t>2-2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</si>
  <si>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10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17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</si>
  <si>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1-1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</si>
  <si>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10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25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</si>
  <si>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5-2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</si>
  <si>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10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31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</si>
  <si>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4-1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</si>
  <si>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11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14</t>
    </r>
    <r>
      <rPr>
        <sz val="11"/>
        <color rgb="FF000000"/>
        <rFont val="宋体"/>
        <charset val="134"/>
      </rPr>
      <t>日</t>
    </r>
  </si>
  <si>
    <t>全程康大</t>
  </si>
  <si>
    <r>
      <rPr>
        <sz val="11"/>
        <color rgb="FF000000"/>
        <rFont val="Tahoma"/>
        <charset val="134"/>
      </rPr>
      <t>2-1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</si>
  <si>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11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29</t>
    </r>
    <r>
      <rPr>
        <sz val="11"/>
        <color rgb="FF000000"/>
        <rFont val="宋体"/>
        <charset val="134"/>
      </rPr>
      <t>日</t>
    </r>
  </si>
  <si>
    <t>商品康大</t>
  </si>
  <si>
    <t>1-2舍</t>
  </si>
  <si>
    <r>
      <rPr>
        <sz val="11"/>
        <color rgb="FF000000"/>
        <rFont val="Tahoma"/>
        <charset val="134"/>
      </rPr>
      <t>12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6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</si>
  <si>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宋体"/>
        <charset val="134"/>
      </rPr>
      <t>商品恒邦</t>
    </r>
    <r>
      <rPr>
        <sz val="11"/>
        <color rgb="FF000000"/>
        <rFont val="Tahoma"/>
        <charset val="134"/>
      </rPr>
      <t>+</t>
    </r>
    <r>
      <rPr>
        <sz val="11"/>
        <color rgb="FF000000"/>
        <rFont val="宋体"/>
        <charset val="134"/>
      </rPr>
      <t>自治料</t>
    </r>
  </si>
  <si>
    <r>
      <rPr>
        <sz val="11"/>
        <color rgb="FF000000"/>
        <rFont val="Tahoma"/>
        <charset val="134"/>
      </rPr>
      <t>5-1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</si>
  <si>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13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</si>
  <si>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3-1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</si>
  <si>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19</t>
    </r>
    <r>
      <rPr>
        <sz val="11"/>
        <color rgb="FF000000"/>
        <rFont val="宋体"/>
        <charset val="134"/>
      </rPr>
      <t>日</t>
    </r>
  </si>
  <si>
    <t>商品恒邦</t>
  </si>
  <si>
    <r>
      <rPr>
        <sz val="11"/>
        <color rgb="FF000000"/>
        <rFont val="Tahoma"/>
        <charset val="134"/>
      </rPr>
      <t>4-2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</si>
  <si>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12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26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</si>
  <si>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01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10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</si>
  <si>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宋体"/>
        <charset val="134"/>
      </rPr>
      <t>商品</t>
    </r>
    <r>
      <rPr>
        <sz val="11"/>
        <color rgb="FF000000"/>
        <rFont val="Tahoma"/>
        <charset val="134"/>
      </rPr>
      <t>11</t>
    </r>
    <r>
      <rPr>
        <sz val="11"/>
        <color rgb="FF000000"/>
        <rFont val="宋体"/>
        <charset val="134"/>
      </rPr>
      <t>吨康大.37.8吨恒邦+自治</t>
    </r>
  </si>
  <si>
    <r>
      <rPr>
        <sz val="11"/>
        <color rgb="FF000000"/>
        <rFont val="Tahoma"/>
        <charset val="134"/>
      </rPr>
      <t>01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17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</si>
  <si>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宋体"/>
        <charset val="134"/>
      </rPr>
      <t>商品恒邦</t>
    </r>
    <r>
      <rPr>
        <sz val="11"/>
        <color rgb="FF000000"/>
        <rFont val="Tahoma"/>
        <charset val="134"/>
      </rPr>
      <t>+</t>
    </r>
    <r>
      <rPr>
        <sz val="11"/>
        <color rgb="FF000000"/>
        <rFont val="宋体"/>
        <charset val="134"/>
      </rPr>
      <t>自制料</t>
    </r>
    <r>
      <rPr>
        <sz val="11"/>
        <color rgb="FF000000"/>
        <rFont val="Tahoma"/>
        <charset val="134"/>
      </rPr>
      <t>2.84</t>
    </r>
  </si>
  <si>
    <t>5-2舍</t>
  </si>
  <si>
    <r>
      <rPr>
        <sz val="11"/>
        <color rgb="FF000000"/>
        <rFont val="Tahoma"/>
        <charset val="134"/>
      </rPr>
      <t>01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23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</si>
  <si>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3-2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</si>
  <si>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02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03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</si>
  <si>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02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07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</si>
  <si>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宋体"/>
        <charset val="134"/>
      </rPr>
      <t>全程康大（商品成活率</t>
    </r>
    <r>
      <rPr>
        <sz val="11"/>
        <color rgb="FF000000"/>
        <rFont val="Tahoma"/>
        <charset val="134"/>
      </rPr>
      <t>93.2%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</si>
  <si>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ahoma"/>
        <charset val="134"/>
      </rPr>
      <t>02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20</t>
    </r>
    <r>
      <rPr>
        <sz val="11"/>
        <color rgb="FF000000"/>
        <rFont val="宋体"/>
        <charset val="134"/>
      </rPr>
      <t>日</t>
    </r>
  </si>
  <si>
    <t>金久旺+恒邦（商品成活率91.6%）</t>
  </si>
  <si>
    <r>
      <rPr>
        <sz val="11"/>
        <color rgb="FF000000"/>
        <rFont val="Tahoma"/>
        <charset val="134"/>
      </rPr>
      <t>1-2</t>
    </r>
    <r>
      <rPr>
        <sz val="11"/>
        <color rgb="FF000000"/>
        <rFont val="宋体"/>
        <charset val="134"/>
      </rPr>
      <t>舍</t>
    </r>
  </si>
  <si>
    <r>
      <rPr>
        <sz val="11"/>
        <color rgb="FF000000"/>
        <rFont val="Tahoma"/>
        <charset val="134"/>
      </rPr>
      <t>02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27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</si>
  <si>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03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06</t>
    </r>
    <r>
      <rPr>
        <sz val="11"/>
        <color rgb="FF000000"/>
        <rFont val="宋体"/>
        <charset val="134"/>
      </rPr>
      <t>日</t>
    </r>
  </si>
  <si>
    <t>金久旺+恒邦（商品成活率91.9%）</t>
  </si>
  <si>
    <r>
      <rPr>
        <sz val="11"/>
        <color rgb="FF000000"/>
        <rFont val="Tahoma"/>
        <charset val="134"/>
      </rPr>
      <t>03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13</t>
    </r>
    <r>
      <rPr>
        <sz val="11"/>
        <color rgb="FF000000"/>
        <rFont val="宋体"/>
        <charset val="134"/>
      </rPr>
      <t>日</t>
    </r>
  </si>
  <si>
    <t>康大（商品成活率95.43%）</t>
  </si>
  <si>
    <r>
      <rPr>
        <sz val="11"/>
        <color rgb="FF000000"/>
        <rFont val="Tahoma"/>
        <charset val="134"/>
      </rPr>
      <t>03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20</t>
    </r>
    <r>
      <rPr>
        <sz val="11"/>
        <color rgb="FF000000"/>
        <rFont val="宋体"/>
        <charset val="134"/>
      </rPr>
      <t>日</t>
    </r>
  </si>
  <si>
    <t>康大（商品成活率93.77%）后期34T恒邦</t>
  </si>
  <si>
    <t>2-2舍</t>
  </si>
  <si>
    <r>
      <rPr>
        <sz val="11"/>
        <color rgb="FF000000"/>
        <rFont val="Tahoma"/>
        <charset val="134"/>
      </rPr>
      <t>03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23</t>
    </r>
    <r>
      <rPr>
        <sz val="11"/>
        <color rgb="FF000000"/>
        <rFont val="宋体"/>
        <charset val="134"/>
      </rPr>
      <t>日</t>
    </r>
  </si>
  <si>
    <t>真菌提前出栏</t>
  </si>
  <si>
    <r>
      <rPr>
        <sz val="11"/>
        <color theme="1"/>
        <rFont val="Tahoma"/>
        <charset val="134"/>
      </rPr>
      <t>1-1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</si>
  <si>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04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10</t>
    </r>
    <r>
      <rPr>
        <sz val="11"/>
        <color rgb="FF000000"/>
        <rFont val="宋体"/>
        <charset val="134"/>
      </rPr>
      <t>日</t>
    </r>
  </si>
  <si>
    <t>金久旺+恒邦（商品成活率94.4%）</t>
  </si>
  <si>
    <r>
      <rPr>
        <sz val="11"/>
        <color theme="1"/>
        <rFont val="Tahoma"/>
        <charset val="134"/>
      </rPr>
      <t>5-2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</si>
  <si>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04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17</t>
    </r>
    <r>
      <rPr>
        <sz val="11"/>
        <color rgb="FF000000"/>
        <rFont val="宋体"/>
        <charset val="134"/>
      </rPr>
      <t>日</t>
    </r>
  </si>
  <si>
    <t>金久旺+嘉实（商品成活率96.3%）</t>
  </si>
  <si>
    <r>
      <rPr>
        <sz val="11"/>
        <color theme="1"/>
        <rFont val="Tahoma"/>
        <charset val="134"/>
      </rPr>
      <t>3-2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</si>
  <si>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04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24</t>
    </r>
    <r>
      <rPr>
        <sz val="11"/>
        <color rgb="FF000000"/>
        <rFont val="宋体"/>
        <charset val="134"/>
      </rPr>
      <t>日</t>
    </r>
  </si>
  <si>
    <t>康大+金久+嘉实</t>
  </si>
  <si>
    <r>
      <rPr>
        <sz val="11"/>
        <color rgb="FF000000"/>
        <rFont val="Tahoma"/>
        <charset val="134"/>
      </rPr>
      <t>04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27</t>
    </r>
    <r>
      <rPr>
        <sz val="11"/>
        <color rgb="FF000000"/>
        <rFont val="宋体"/>
        <charset val="134"/>
      </rPr>
      <t>日</t>
    </r>
  </si>
  <si>
    <r>
      <rPr>
        <sz val="11"/>
        <color theme="1"/>
        <rFont val="Tahoma"/>
        <charset val="134"/>
      </rPr>
      <t>6-1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</si>
  <si>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05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7</t>
    </r>
    <r>
      <rPr>
        <sz val="11"/>
        <color rgb="FF000000"/>
        <rFont val="宋体"/>
        <charset val="134"/>
      </rPr>
      <t>日</t>
    </r>
  </si>
  <si>
    <t>金久旺+恒邦</t>
  </si>
  <si>
    <r>
      <rPr>
        <sz val="11"/>
        <color theme="1"/>
        <rFont val="Tahoma"/>
        <charset val="134"/>
      </rPr>
      <t>2-1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</si>
  <si>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05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15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</si>
  <si>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Tahoma"/>
        <charset val="134"/>
      </rPr>
      <t>05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22</t>
    </r>
    <r>
      <rPr>
        <sz val="11"/>
        <color rgb="FF000000"/>
        <rFont val="宋体"/>
        <charset val="134"/>
      </rPr>
      <t>日</t>
    </r>
  </si>
  <si>
    <t>金久旺+恒邦（药料）+嘉兔+自制料（12.3吨）</t>
  </si>
  <si>
    <r>
      <rPr>
        <sz val="11"/>
        <color theme="1"/>
        <rFont val="Tahoma"/>
        <charset val="134"/>
      </rPr>
      <t>5-1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</si>
  <si>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05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29</t>
    </r>
    <r>
      <rPr>
        <sz val="11"/>
        <color rgb="FF000000"/>
        <rFont val="宋体"/>
        <charset val="134"/>
      </rPr>
      <t>日</t>
    </r>
  </si>
  <si>
    <r>
      <rPr>
        <sz val="11"/>
        <color theme="1"/>
        <rFont val="宋体"/>
        <charset val="134"/>
      </rPr>
      <t>金久旺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恒邦（药料）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嘉兔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自制料（2.2吨）</t>
    </r>
  </si>
  <si>
    <r>
      <rPr>
        <sz val="11"/>
        <color theme="1"/>
        <rFont val="Tahoma"/>
        <charset val="134"/>
      </rPr>
      <t>3-1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</si>
  <si>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06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5</t>
    </r>
    <r>
      <rPr>
        <sz val="11"/>
        <color rgb="FF000000"/>
        <rFont val="宋体"/>
        <charset val="134"/>
      </rPr>
      <t>日</t>
    </r>
  </si>
  <si>
    <r>
      <rPr>
        <sz val="11"/>
        <color theme="1"/>
        <rFont val="宋体"/>
        <charset val="134"/>
      </rPr>
      <t>嘉兔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嘉兔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自制料（1.3吨）+金久旺（2.92吨）</t>
    </r>
  </si>
  <si>
    <r>
      <rPr>
        <sz val="11"/>
        <color rgb="FF000000"/>
        <rFont val="Tahoma"/>
        <charset val="134"/>
      </rPr>
      <t>06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12</t>
    </r>
    <r>
      <rPr>
        <sz val="11"/>
        <color rgb="FF000000"/>
        <rFont val="宋体"/>
        <charset val="134"/>
      </rPr>
      <t>日</t>
    </r>
  </si>
  <si>
    <r>
      <rPr>
        <sz val="11"/>
        <color theme="1"/>
        <rFont val="宋体"/>
        <charset val="134"/>
      </rPr>
      <t>金久旺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恒邦（33吨）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自制料（9吨）</t>
    </r>
  </si>
  <si>
    <r>
      <rPr>
        <sz val="11"/>
        <color theme="1"/>
        <rFont val="Tahoma"/>
        <charset val="134"/>
      </rPr>
      <t>6-2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</si>
  <si>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06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19</t>
    </r>
    <r>
      <rPr>
        <sz val="11"/>
        <color rgb="FF000000"/>
        <rFont val="宋体"/>
        <charset val="134"/>
      </rPr>
      <t>日</t>
    </r>
  </si>
  <si>
    <r>
      <rPr>
        <sz val="11"/>
        <color theme="1"/>
        <rFont val="宋体"/>
        <charset val="134"/>
      </rPr>
      <t>约</t>
    </r>
    <r>
      <rPr>
        <sz val="11"/>
        <color theme="1"/>
        <rFont val="Tahoma"/>
        <charset val="134"/>
      </rPr>
      <t>58</t>
    </r>
  </si>
  <si>
    <t>金久（4t）+恒邦（13吨母兔）+嘉兔（26吨）+自制（11.6吨）</t>
  </si>
  <si>
    <r>
      <rPr>
        <sz val="11"/>
        <color theme="1"/>
        <rFont val="Tahoma"/>
        <charset val="134"/>
      </rPr>
      <t>2-2</t>
    </r>
    <r>
      <rPr>
        <sz val="11"/>
        <color theme="1"/>
        <rFont val="宋体"/>
        <charset val="134"/>
      </rPr>
      <t>舍</t>
    </r>
  </si>
  <si>
    <r>
      <rPr>
        <sz val="11"/>
        <color rgb="FF000000"/>
        <rFont val="Tahoma"/>
        <charset val="134"/>
      </rPr>
      <t>06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26</t>
    </r>
    <r>
      <rPr>
        <sz val="11"/>
        <color rgb="FF000000"/>
        <rFont val="宋体"/>
        <charset val="134"/>
      </rPr>
      <t>日</t>
    </r>
  </si>
  <si>
    <t>金久（19t母）+恒邦（28吨母兔）+自制（10.2吨）</t>
  </si>
  <si>
    <t>1-1舍</t>
  </si>
  <si>
    <r>
      <rPr>
        <sz val="11"/>
        <color rgb="FF000000"/>
        <rFont val="Tahoma"/>
        <charset val="134"/>
      </rPr>
      <t>07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03</t>
    </r>
    <r>
      <rPr>
        <sz val="11"/>
        <color rgb="FF000000"/>
        <rFont val="宋体"/>
        <charset val="134"/>
      </rPr>
      <t>日</t>
    </r>
  </si>
  <si>
    <t>金久（19.4t母）+嘉兔（29吨商品）+自制（12吨）</t>
  </si>
  <si>
    <r>
      <rPr>
        <sz val="11"/>
        <color rgb="FF000000"/>
        <rFont val="Tahoma"/>
        <charset val="134"/>
      </rPr>
      <t>07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10</t>
    </r>
    <r>
      <rPr>
        <sz val="11"/>
        <color rgb="FF000000"/>
        <rFont val="宋体"/>
        <charset val="134"/>
      </rPr>
      <t>日</t>
    </r>
  </si>
  <si>
    <t>金久（21.5t母）+嘉兔（25吨商品）+自制（12.5吨）</t>
  </si>
  <si>
    <r>
      <rPr>
        <sz val="11"/>
        <color rgb="FF000000"/>
        <rFont val="Tahoma"/>
        <charset val="134"/>
      </rPr>
      <t>07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17</t>
    </r>
    <r>
      <rPr>
        <sz val="11"/>
        <color rgb="FF000000"/>
        <rFont val="宋体"/>
        <charset val="134"/>
      </rPr>
      <t>日</t>
    </r>
  </si>
  <si>
    <t>全使用嘉兔饲料</t>
  </si>
  <si>
    <r>
      <rPr>
        <sz val="11"/>
        <color rgb="FF000000"/>
        <rFont val="Tahoma"/>
        <charset val="134"/>
      </rPr>
      <t>07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23</t>
    </r>
    <r>
      <rPr>
        <sz val="11"/>
        <color rgb="FF000000"/>
        <rFont val="宋体"/>
        <charset val="134"/>
      </rPr>
      <t>日</t>
    </r>
  </si>
  <si>
    <t>金久（17t母）+恒邦（20吨商品）+自制（15吨）</t>
  </si>
  <si>
    <r>
      <rPr>
        <sz val="11"/>
        <color rgb="FF000000"/>
        <rFont val="Tahoma"/>
        <charset val="134"/>
      </rPr>
      <t>07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30</t>
    </r>
    <r>
      <rPr>
        <sz val="11"/>
        <color rgb="FF000000"/>
        <rFont val="宋体"/>
        <charset val="134"/>
      </rPr>
      <t>日</t>
    </r>
  </si>
  <si>
    <t>恒邦（17t母）+恒邦（18.7吨商品）+自制（15吨）</t>
  </si>
  <si>
    <r>
      <rPr>
        <sz val="11"/>
        <color rgb="FF000000"/>
        <rFont val="Tahoma"/>
        <charset val="134"/>
      </rPr>
      <t>08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ahoma"/>
        <charset val="134"/>
      </rPr>
      <t>06</t>
    </r>
    <r>
      <rPr>
        <sz val="11"/>
        <color rgb="FF000000"/>
        <rFont val="宋体"/>
        <charset val="134"/>
      </rPr>
      <t>日</t>
    </r>
  </si>
  <si>
    <t>金久（18t母）+恒邦（18吨商品）+自制（15吨）</t>
  </si>
  <si>
    <t>金久（19.5t母）+恒邦（21.7吨商品）+自制（12吨）</t>
  </si>
  <si>
    <t>金久（15.3t母）+恒邦（18.5吨商品）+自制（13吨）</t>
  </si>
  <si>
    <t>嘉兔（15.5t母）+恒邦（18.7吨商品）+自制（10吨）</t>
  </si>
  <si>
    <t>金久（15.0t母）+恒邦（29吨商品）</t>
  </si>
  <si>
    <r>
      <rPr>
        <sz val="11"/>
        <color theme="1"/>
        <rFont val="Tahoma"/>
        <charset val="134"/>
      </rPr>
      <t>8-1</t>
    </r>
    <r>
      <rPr>
        <sz val="11"/>
        <color theme="1"/>
        <rFont val="宋体"/>
        <charset val="134"/>
      </rPr>
      <t>舍</t>
    </r>
  </si>
  <si>
    <t>金久（13.3t母）+恒邦（16吨商品）+自制（8.5吨）</t>
  </si>
  <si>
    <t>金久（12.5t母）+恒邦（16.5吨商品）+自制（11.5吨）</t>
  </si>
  <si>
    <t>金久（15t母）+恒邦（15吨商品）+自制（17吨）</t>
  </si>
  <si>
    <t>金久（14.2t母）+恒邦（16吨商品）+自制（12吨）</t>
  </si>
  <si>
    <t>金久（13t母）+恒邦（13吨商品）+自制（10吨）</t>
  </si>
  <si>
    <t>金久（18t母）+恒邦（9吨商品）+自制（9.5吨）</t>
  </si>
  <si>
    <r>
      <rPr>
        <sz val="11"/>
        <color theme="1"/>
        <rFont val="Tahoma"/>
        <charset val="134"/>
      </rPr>
      <t>7-1</t>
    </r>
    <r>
      <rPr>
        <sz val="11"/>
        <color theme="1"/>
        <rFont val="宋体"/>
        <charset val="134"/>
      </rPr>
      <t>舍</t>
    </r>
  </si>
  <si>
    <t>金久（11t母）+恒邦（16吨商品）+自制（11吨）</t>
  </si>
  <si>
    <r>
      <rPr>
        <sz val="11"/>
        <color theme="1"/>
        <rFont val="Tahoma"/>
        <charset val="134"/>
      </rPr>
      <t>8-2</t>
    </r>
    <r>
      <rPr>
        <sz val="11"/>
        <color theme="1"/>
        <rFont val="宋体"/>
        <charset val="134"/>
      </rPr>
      <t>舍</t>
    </r>
  </si>
  <si>
    <t>金久（14.5t母）+恒邦（13.5吨商品）+自制（8吨）</t>
  </si>
  <si>
    <t>金久（18t母）+恒邦（14吨商品）+自制（10.5吨）</t>
  </si>
  <si>
    <t>5-1舍</t>
  </si>
  <si>
    <t>金久（18t母）+恒邦（14吨商品）+自制（16吨）</t>
  </si>
  <si>
    <t>3-1舍</t>
  </si>
  <si>
    <t>金久（17t母）+恒邦（17吨商品）+自制（17吨）</t>
  </si>
  <si>
    <r>
      <rPr>
        <sz val="11"/>
        <color theme="1"/>
        <rFont val="Tahoma"/>
        <charset val="134"/>
      </rPr>
      <t>9-1</t>
    </r>
    <r>
      <rPr>
        <sz val="11"/>
        <color theme="1"/>
        <rFont val="宋体"/>
        <charset val="134"/>
      </rPr>
      <t>舍</t>
    </r>
  </si>
  <si>
    <t>金久（4t母）+恒邦（17吨商品）+自制（8吨）</t>
  </si>
  <si>
    <t>黄尿病</t>
  </si>
  <si>
    <t>金久（15t母）+恒邦（14吨商品）+自制（13吨）</t>
  </si>
  <si>
    <r>
      <rPr>
        <sz val="11"/>
        <color theme="1"/>
        <rFont val="Tahoma"/>
        <charset val="134"/>
      </rPr>
      <t>7-2</t>
    </r>
    <r>
      <rPr>
        <sz val="11"/>
        <color theme="1"/>
        <rFont val="宋体"/>
        <charset val="134"/>
      </rPr>
      <t>舍</t>
    </r>
  </si>
  <si>
    <t>金久（20t母）+恒邦（9吨商品）+自制（13吨）</t>
  </si>
  <si>
    <t>二胎</t>
  </si>
  <si>
    <t>金久（16t母）+恒邦（19吨商品）+自制（15吨）</t>
  </si>
  <si>
    <t>金久（18t母）+恒邦（17吨商品）+自制（13吨）</t>
  </si>
  <si>
    <t>金久（20t母）+恒邦（25吨商品）+自制（19吨）</t>
  </si>
  <si>
    <r>
      <t>5-2</t>
    </r>
    <r>
      <rPr>
        <sz val="11"/>
        <color theme="1"/>
        <rFont val="宋体"/>
        <charset val="134"/>
      </rPr>
      <t>舍</t>
    </r>
  </si>
  <si>
    <t>金久（30t母）+恒邦（12.5吨商品）+自制（19.5吨）</t>
  </si>
  <si>
    <t>地磅不准卸错料</t>
  </si>
  <si>
    <r>
      <t>10-1</t>
    </r>
    <r>
      <rPr>
        <sz val="11"/>
        <color theme="1"/>
        <rFont val="宋体"/>
        <charset val="134"/>
      </rPr>
      <t>舍</t>
    </r>
  </si>
  <si>
    <t>金久（17.5t母）+恒邦（24吨商品）+自制（16.5吨）</t>
  </si>
  <si>
    <t>3-2舍</t>
  </si>
  <si>
    <t>金久（16t母）+恒邦（19吨商品）+自制（17吨）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</si>
</sst>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&quot;月&quot;d&quot;日&quot;;@"/>
    <numFmt numFmtId="178" formatCode="yyyy&quot;年&quot;m&quot;月&quot;d&quot;日&quot;;@"/>
    <numFmt numFmtId="179" formatCode="0_ "/>
    <numFmt numFmtId="180" formatCode="0.0_ "/>
    <numFmt numFmtId="181" formatCode="#,##0.0000_ "/>
    <numFmt numFmtId="182" formatCode="#,##0.00_ "/>
    <numFmt numFmtId="183" formatCode="0_);[Red]\(0\)"/>
    <numFmt numFmtId="184" formatCode="0.00_);[Red]\(0.00\)"/>
    <numFmt numFmtId="185" formatCode="0.0000_ "/>
  </numFmts>
  <fonts count="35">
    <font>
      <sz val="11"/>
      <color theme="1"/>
      <name val="Tahoma"/>
      <charset val="134"/>
    </font>
    <font>
      <sz val="11"/>
      <name val="Tahoma"/>
      <charset val="134"/>
    </font>
    <font>
      <sz val="11"/>
      <color rgb="FF000000"/>
      <name val="宋体"/>
      <charset val="134"/>
    </font>
    <font>
      <sz val="11"/>
      <color rgb="FF000000"/>
      <name val="Tahoma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color rgb="FF000000"/>
      <name val="宋体"/>
      <charset val="134"/>
    </font>
    <font>
      <sz val="10"/>
      <name val="Tahoma"/>
      <charset val="134"/>
    </font>
    <font>
      <sz val="11"/>
      <color rgb="FFFF0000"/>
      <name val="Tahoma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8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56">
    <xf numFmtId="0" fontId="0" fillId="0" borderId="0" xfId="0"/>
    <xf numFmtId="176" fontId="0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6" fontId="0" fillId="0" borderId="1" xfId="0" applyNumberFormat="1" applyFont="1" applyFill="1" applyBorder="1" applyAlignment="1">
      <alignment horizontal="center"/>
    </xf>
    <xf numFmtId="177" fontId="0" fillId="0" borderId="1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76" fontId="0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177" fontId="3" fillId="0" borderId="2" xfId="0" applyNumberFormat="1" applyFont="1" applyFill="1" applyBorder="1" applyAlignment="1">
      <alignment horizontal="center"/>
    </xf>
    <xf numFmtId="10" fontId="0" fillId="0" borderId="1" xfId="0" applyNumberForma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177" fontId="3" fillId="3" borderId="2" xfId="0" applyNumberFormat="1" applyFont="1" applyFill="1" applyBorder="1" applyAlignment="1">
      <alignment horizontal="center"/>
    </xf>
    <xf numFmtId="176" fontId="0" fillId="3" borderId="1" xfId="0" applyNumberFormat="1" applyFon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176" fontId="0" fillId="3" borderId="2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7" fontId="3" fillId="3" borderId="1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77" fontId="0" fillId="3" borderId="1" xfId="0" applyNumberForma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6" fontId="0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76" fontId="0" fillId="2" borderId="0" xfId="0" applyNumberFormat="1" applyFont="1" applyFill="1" applyAlignment="1">
      <alignment horizontal="center"/>
    </xf>
    <xf numFmtId="176" fontId="0" fillId="3" borderId="0" xfId="0" applyNumberFormat="1" applyFont="1" applyFill="1" applyAlignment="1">
      <alignment horizontal="center"/>
    </xf>
    <xf numFmtId="177" fontId="0" fillId="0" borderId="0" xfId="0" applyNumberFormat="1" applyAlignment="1">
      <alignment horizontal="center"/>
    </xf>
    <xf numFmtId="177" fontId="2" fillId="0" borderId="1" xfId="0" applyNumberFormat="1" applyFont="1" applyFill="1" applyBorder="1" applyAlignment="1">
      <alignment horizontal="center"/>
    </xf>
    <xf numFmtId="176" fontId="2" fillId="0" borderId="3" xfId="0" applyNumberFormat="1" applyFont="1" applyFill="1" applyBorder="1" applyAlignment="1">
      <alignment horizontal="center"/>
    </xf>
    <xf numFmtId="177" fontId="0" fillId="2" borderId="1" xfId="0" applyNumberFormat="1" applyFont="1" applyFill="1" applyBorder="1" applyAlignment="1">
      <alignment horizontal="center"/>
    </xf>
    <xf numFmtId="176" fontId="0" fillId="0" borderId="3" xfId="0" applyNumberFormat="1" applyFont="1" applyFill="1" applyBorder="1" applyAlignment="1">
      <alignment horizontal="center"/>
    </xf>
    <xf numFmtId="177" fontId="0" fillId="3" borderId="1" xfId="0" applyNumberFormat="1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7" fontId="0" fillId="3" borderId="2" xfId="0" applyNumberFormat="1" applyFill="1" applyBorder="1" applyAlignment="1">
      <alignment horizontal="center"/>
    </xf>
    <xf numFmtId="176" fontId="0" fillId="3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10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3" borderId="0" xfId="0" applyFill="1"/>
    <xf numFmtId="0" fontId="0" fillId="0" borderId="0" xfId="0" applyFill="1" applyBorder="1"/>
    <xf numFmtId="0" fontId="0" fillId="3" borderId="0" xfId="0" applyFill="1" applyBorder="1"/>
    <xf numFmtId="0" fontId="0" fillId="0" borderId="0" xfId="0" applyFill="1" applyBorder="1"/>
    <xf numFmtId="0" fontId="0" fillId="0" borderId="1" xfId="0" applyFill="1" applyBorder="1"/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178" fontId="0" fillId="0" borderId="0" xfId="0" applyNumberFormat="1"/>
    <xf numFmtId="179" fontId="0" fillId="0" borderId="0" xfId="0" applyNumberFormat="1"/>
    <xf numFmtId="176" fontId="0" fillId="0" borderId="0" xfId="0" applyNumberFormat="1"/>
    <xf numFmtId="0" fontId="0" fillId="0" borderId="0" xfId="0" applyFill="1"/>
    <xf numFmtId="179" fontId="4" fillId="0" borderId="1" xfId="0" applyNumberFormat="1" applyFont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6" fontId="0" fillId="0" borderId="1" xfId="0" applyNumberFormat="1" applyFont="1" applyBorder="1" applyAlignment="1">
      <alignment horizontal="center"/>
    </xf>
    <xf numFmtId="176" fontId="4" fillId="0" borderId="1" xfId="0" applyNumberFormat="1" applyFont="1" applyBorder="1"/>
    <xf numFmtId="179" fontId="1" fillId="0" borderId="1" xfId="0" applyNumberFormat="1" applyFont="1" applyFill="1" applyBorder="1" applyAlignment="1">
      <alignment horizontal="center"/>
    </xf>
    <xf numFmtId="178" fontId="0" fillId="0" borderId="1" xfId="0" applyNumberFormat="1" applyFill="1" applyBorder="1" applyAlignment="1">
      <alignment horizontal="center"/>
    </xf>
    <xf numFmtId="179" fontId="0" fillId="0" borderId="1" xfId="0" applyNumberForma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1" xfId="0" applyNumberFormat="1" applyFill="1" applyBorder="1"/>
    <xf numFmtId="178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6" fontId="0" fillId="0" borderId="1" xfId="0" applyNumberFormat="1" applyBorder="1"/>
    <xf numFmtId="176" fontId="0" fillId="0" borderId="2" xfId="0" applyNumberFormat="1" applyBorder="1" applyAlignment="1">
      <alignment horizontal="center"/>
    </xf>
    <xf numFmtId="176" fontId="0" fillId="0" borderId="2" xfId="0" applyNumberFormat="1" applyFill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0" fillId="0" borderId="5" xfId="0" applyNumberFormat="1" applyFill="1" applyBorder="1" applyAlignment="1">
      <alignment horizontal="center"/>
    </xf>
    <xf numFmtId="176" fontId="0" fillId="0" borderId="1" xfId="0" applyNumberFormat="1" applyFont="1" applyBorder="1"/>
    <xf numFmtId="179" fontId="0" fillId="0" borderId="1" xfId="0" applyNumberFormat="1" applyFont="1" applyFill="1" applyBorder="1" applyAlignment="1">
      <alignment horizontal="center"/>
    </xf>
    <xf numFmtId="179" fontId="0" fillId="0" borderId="1" xfId="0" applyNumberFormat="1" applyFont="1" applyBorder="1" applyAlignment="1">
      <alignment horizontal="center"/>
    </xf>
    <xf numFmtId="179" fontId="0" fillId="0" borderId="0" xfId="0" applyNumberFormat="1" applyAlignment="1">
      <alignment horizontal="center"/>
    </xf>
    <xf numFmtId="179" fontId="0" fillId="3" borderId="1" xfId="0" applyNumberFormat="1" applyFont="1" applyFill="1" applyBorder="1" applyAlignment="1">
      <alignment horizontal="center"/>
    </xf>
    <xf numFmtId="178" fontId="0" fillId="3" borderId="1" xfId="0" applyNumberFormat="1" applyFill="1" applyBorder="1" applyAlignment="1">
      <alignment horizontal="center"/>
    </xf>
    <xf numFmtId="17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3" borderId="0" xfId="0" applyNumberFormat="1" applyFill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176" fontId="4" fillId="3" borderId="0" xfId="0" applyNumberFormat="1" applyFont="1" applyFill="1"/>
    <xf numFmtId="0" fontId="0" fillId="0" borderId="1" xfId="0" applyBorder="1"/>
    <xf numFmtId="18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0" fillId="0" borderId="0" xfId="0" applyNumberFormat="1" applyFill="1" applyBorder="1"/>
    <xf numFmtId="0" fontId="5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0" xfId="0" applyNumberFormat="1" applyFill="1" applyBorder="1"/>
    <xf numFmtId="178" fontId="0" fillId="2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178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/>
    <xf numFmtId="181" fontId="7" fillId="4" borderId="6" xfId="0" applyNumberFormat="1" applyFont="1" applyFill="1" applyBorder="1" applyAlignment="1">
      <alignment horizontal="right" vertical="center"/>
    </xf>
    <xf numFmtId="181" fontId="0" fillId="0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81" fontId="7" fillId="4" borderId="7" xfId="0" applyNumberFormat="1" applyFont="1" applyFill="1" applyBorder="1" applyAlignment="1">
      <alignment horizontal="right" vertical="center"/>
    </xf>
    <xf numFmtId="179" fontId="4" fillId="0" borderId="1" xfId="0" applyNumberFormat="1" applyFont="1" applyFill="1" applyBorder="1" applyAlignment="1">
      <alignment horizontal="center"/>
    </xf>
    <xf numFmtId="181" fontId="0" fillId="3" borderId="1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/>
    </xf>
    <xf numFmtId="179" fontId="0" fillId="0" borderId="2" xfId="0" applyNumberFormat="1" applyFill="1" applyBorder="1" applyAlignment="1">
      <alignment horizontal="center"/>
    </xf>
    <xf numFmtId="179" fontId="4" fillId="0" borderId="2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/>
    <xf numFmtId="179" fontId="0" fillId="0" borderId="1" xfId="0" applyNumberFormat="1" applyFill="1" applyBorder="1"/>
    <xf numFmtId="179" fontId="4" fillId="0" borderId="1" xfId="0" applyNumberFormat="1" applyFont="1" applyFill="1" applyBorder="1"/>
    <xf numFmtId="181" fontId="7" fillId="4" borderId="8" xfId="0" applyNumberFormat="1" applyFont="1" applyFill="1" applyBorder="1" applyAlignment="1">
      <alignment horizontal="right" vertical="center"/>
    </xf>
    <xf numFmtId="182" fontId="7" fillId="4" borderId="8" xfId="0" applyNumberFormat="1" applyFont="1" applyFill="1" applyBorder="1" applyAlignment="1">
      <alignment horizontal="right" vertical="center"/>
    </xf>
    <xf numFmtId="0" fontId="7" fillId="4" borderId="9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49" fontId="7" fillId="4" borderId="8" xfId="0" applyNumberFormat="1" applyFont="1" applyFill="1" applyBorder="1" applyAlignment="1">
      <alignment horizontal="left" vertical="center"/>
    </xf>
    <xf numFmtId="181" fontId="7" fillId="4" borderId="8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181" fontId="7" fillId="4" borderId="10" xfId="0" applyNumberFormat="1" applyFont="1" applyFill="1" applyBorder="1" applyAlignment="1">
      <alignment horizontal="right" vertical="center"/>
    </xf>
    <xf numFmtId="14" fontId="7" fillId="4" borderId="9" xfId="0" applyNumberFormat="1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49" fontId="7" fillId="4" borderId="8" xfId="0" applyNumberFormat="1" applyFont="1" applyFill="1" applyBorder="1" applyAlignment="1">
      <alignment horizontal="left" vertical="center"/>
    </xf>
    <xf numFmtId="181" fontId="7" fillId="4" borderId="8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181" fontId="7" fillId="4" borderId="0" xfId="0" applyNumberFormat="1" applyFont="1" applyFill="1" applyAlignment="1">
      <alignment horizontal="right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182" fontId="7" fillId="4" borderId="10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181" fontId="7" fillId="4" borderId="13" xfId="0" applyNumberFormat="1" applyFont="1" applyFill="1" applyBorder="1" applyAlignment="1">
      <alignment horizontal="right" vertical="center"/>
    </xf>
    <xf numFmtId="182" fontId="7" fillId="4" borderId="13" xfId="0" applyNumberFormat="1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81" fontId="7" fillId="4" borderId="1" xfId="0" applyNumberFormat="1" applyFont="1" applyFill="1" applyBorder="1" applyAlignment="1">
      <alignment horizontal="right" vertical="center"/>
    </xf>
    <xf numFmtId="182" fontId="7" fillId="4" borderId="1" xfId="0" applyNumberFormat="1" applyFont="1" applyFill="1" applyBorder="1" applyAlignment="1">
      <alignment horizontal="right" vertical="center"/>
    </xf>
    <xf numFmtId="181" fontId="7" fillId="4" borderId="1" xfId="0" applyNumberFormat="1" applyFont="1" applyFill="1" applyBorder="1" applyAlignment="1">
      <alignment horizontal="center" vertical="center"/>
    </xf>
    <xf numFmtId="181" fontId="7" fillId="4" borderId="8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left" vertical="center"/>
    </xf>
    <xf numFmtId="49" fontId="7" fillId="4" borderId="14" xfId="0" applyNumberFormat="1" applyFont="1" applyFill="1" applyBorder="1" applyAlignment="1">
      <alignment horizontal="left" vertical="center"/>
    </xf>
    <xf numFmtId="181" fontId="7" fillId="4" borderId="14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left" vertical="center"/>
    </xf>
    <xf numFmtId="181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49" fontId="7" fillId="4" borderId="0" xfId="0" applyNumberFormat="1" applyFont="1" applyFill="1" applyAlignment="1">
      <alignment horizontal="left" vertical="center"/>
    </xf>
    <xf numFmtId="181" fontId="7" fillId="4" borderId="7" xfId="0" applyNumberFormat="1" applyFont="1" applyFill="1" applyBorder="1" applyAlignment="1">
      <alignment horizontal="right" vertical="center"/>
    </xf>
    <xf numFmtId="181" fontId="7" fillId="4" borderId="1" xfId="0" applyNumberFormat="1" applyFont="1" applyFill="1" applyBorder="1" applyAlignment="1">
      <alignment horizontal="right" vertical="center"/>
    </xf>
    <xf numFmtId="179" fontId="0" fillId="0" borderId="1" xfId="0" applyNumberFormat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9" fillId="0" borderId="0" xfId="0" applyFont="1" applyFill="1"/>
    <xf numFmtId="0" fontId="1" fillId="0" borderId="0" xfId="0" applyFont="1" applyFill="1"/>
    <xf numFmtId="0" fontId="1" fillId="3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center"/>
    </xf>
    <xf numFmtId="179" fontId="1" fillId="0" borderId="0" xfId="0" applyNumberFormat="1" applyFont="1" applyFill="1" applyAlignment="1">
      <alignment horizontal="center"/>
    </xf>
    <xf numFmtId="178" fontId="1" fillId="0" borderId="0" xfId="0" applyNumberFormat="1" applyFont="1" applyFill="1" applyAlignment="1">
      <alignment horizontal="center"/>
    </xf>
    <xf numFmtId="183" fontId="1" fillId="0" borderId="0" xfId="0" applyNumberFormat="1" applyFont="1" applyFill="1" applyAlignment="1">
      <alignment horizontal="center"/>
    </xf>
    <xf numFmtId="177" fontId="1" fillId="0" borderId="0" xfId="0" applyNumberFormat="1" applyFont="1" applyFill="1" applyAlignment="1">
      <alignment horizontal="center"/>
    </xf>
    <xf numFmtId="10" fontId="1" fillId="0" borderId="0" xfId="0" applyNumberFormat="1" applyFont="1" applyFill="1" applyAlignment="1">
      <alignment horizontal="center"/>
    </xf>
    <xf numFmtId="184" fontId="1" fillId="0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/>
    </xf>
    <xf numFmtId="179" fontId="10" fillId="0" borderId="1" xfId="0" applyNumberFormat="1" applyFont="1" applyFill="1" applyBorder="1" applyAlignment="1">
      <alignment horizontal="center"/>
    </xf>
    <xf numFmtId="178" fontId="10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83" fontId="11" fillId="0" borderId="1" xfId="0" applyNumberFormat="1" applyFont="1" applyFill="1" applyBorder="1" applyAlignment="1">
      <alignment horizontal="center"/>
    </xf>
    <xf numFmtId="177" fontId="11" fillId="0" borderId="1" xfId="0" applyNumberFormat="1" applyFont="1" applyFill="1" applyBorder="1" applyAlignment="1">
      <alignment horizontal="center"/>
    </xf>
    <xf numFmtId="10" fontId="11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84" fontId="11" fillId="0" borderId="1" xfId="0" applyNumberFormat="1" applyFont="1" applyFill="1" applyBorder="1" applyAlignment="1">
      <alignment horizontal="center"/>
    </xf>
    <xf numFmtId="179" fontId="11" fillId="0" borderId="1" xfId="0" applyNumberFormat="1" applyFont="1" applyFill="1" applyBorder="1" applyAlignment="1">
      <alignment horizontal="center"/>
    </xf>
    <xf numFmtId="176" fontId="1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178" fontId="1" fillId="0" borderId="1" xfId="0" applyNumberFormat="1" applyFont="1" applyFill="1" applyBorder="1" applyAlignment="1">
      <alignment horizontal="center"/>
    </xf>
    <xf numFmtId="58" fontId="1" fillId="0" borderId="1" xfId="0" applyNumberFormat="1" applyFont="1" applyFill="1" applyBorder="1" applyAlignment="1">
      <alignment horizontal="center"/>
    </xf>
    <xf numFmtId="183" fontId="1" fillId="0" borderId="1" xfId="0" applyNumberFormat="1" applyFont="1" applyFill="1" applyBorder="1" applyAlignment="1">
      <alignment horizontal="center"/>
    </xf>
    <xf numFmtId="177" fontId="1" fillId="0" borderId="1" xfId="0" applyNumberFormat="1" applyFont="1" applyFill="1" applyBorder="1" applyAlignment="1">
      <alignment horizontal="center"/>
    </xf>
    <xf numFmtId="184" fontId="1" fillId="0" borderId="1" xfId="0" applyNumberFormat="1" applyFont="1" applyFill="1" applyBorder="1" applyAlignment="1">
      <alignment horizontal="center"/>
    </xf>
    <xf numFmtId="176" fontId="10" fillId="0" borderId="1" xfId="0" applyNumberFormat="1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180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179" fontId="1" fillId="0" borderId="1" xfId="0" applyNumberFormat="1" applyFont="1" applyFill="1" applyBorder="1" applyAlignment="1">
      <alignment horizontal="center"/>
    </xf>
    <xf numFmtId="178" fontId="1" fillId="0" borderId="1" xfId="0" applyNumberFormat="1" applyFont="1" applyFill="1" applyBorder="1" applyAlignment="1">
      <alignment horizontal="center"/>
    </xf>
    <xf numFmtId="58" fontId="1" fillId="0" borderId="1" xfId="0" applyNumberFormat="1" applyFont="1" applyFill="1" applyBorder="1" applyAlignment="1">
      <alignment horizontal="center"/>
    </xf>
    <xf numFmtId="183" fontId="1" fillId="0" borderId="1" xfId="0" applyNumberFormat="1" applyFont="1" applyFill="1" applyBorder="1" applyAlignment="1">
      <alignment horizontal="center"/>
    </xf>
    <xf numFmtId="177" fontId="1" fillId="0" borderId="1" xfId="0" applyNumberFormat="1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18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179" fontId="1" fillId="3" borderId="1" xfId="0" applyNumberFormat="1" applyFont="1" applyFill="1" applyBorder="1" applyAlignment="1">
      <alignment horizontal="center"/>
    </xf>
    <xf numFmtId="178" fontId="1" fillId="3" borderId="1" xfId="0" applyNumberFormat="1" applyFont="1" applyFill="1" applyBorder="1" applyAlignment="1">
      <alignment horizontal="center"/>
    </xf>
    <xf numFmtId="58" fontId="1" fillId="3" borderId="1" xfId="0" applyNumberFormat="1" applyFont="1" applyFill="1" applyBorder="1" applyAlignment="1">
      <alignment horizontal="center"/>
    </xf>
    <xf numFmtId="183" fontId="1" fillId="3" borderId="1" xfId="0" applyNumberFormat="1" applyFont="1" applyFill="1" applyBorder="1" applyAlignment="1">
      <alignment horizontal="center"/>
    </xf>
    <xf numFmtId="177" fontId="1" fillId="3" borderId="1" xfId="0" applyNumberFormat="1" applyFont="1" applyFill="1" applyBorder="1" applyAlignment="1">
      <alignment horizontal="center"/>
    </xf>
    <xf numFmtId="18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176" fontId="1" fillId="0" borderId="15" xfId="0" applyNumberFormat="1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176" fontId="1" fillId="0" borderId="5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185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UA206"/>
  <sheetViews>
    <sheetView tabSelected="1" topLeftCell="A97" workbookViewId="0">
      <pane xSplit="1" topLeftCell="G1" activePane="topRight" state="frozen"/>
      <selection/>
      <selection pane="topRight" activeCell="S104" sqref="S104"/>
    </sheetView>
  </sheetViews>
  <sheetFormatPr defaultColWidth="9" defaultRowHeight="14"/>
  <cols>
    <col min="1" max="1" width="8.625" style="195" customWidth="1"/>
    <col min="2" max="2" width="6.46666666666667" style="196" customWidth="1"/>
    <col min="3" max="3" width="15.5416666666667" style="197" customWidth="1"/>
    <col min="4" max="4" width="11.4166666666667" style="188" customWidth="1"/>
    <col min="5" max="5" width="8.375" style="198" customWidth="1"/>
    <col min="6" max="6" width="11.0666666666667" style="199" customWidth="1"/>
    <col min="7" max="7" width="7.875" style="198" customWidth="1"/>
    <col min="8" max="8" width="7.875" style="200" customWidth="1"/>
    <col min="9" max="9" width="11.075" style="188" customWidth="1"/>
    <col min="10" max="10" width="7.875" style="198" customWidth="1"/>
    <col min="11" max="11" width="7.625" style="200" customWidth="1"/>
    <col min="12" max="12" width="9.125" style="188" customWidth="1"/>
    <col min="13" max="13" width="9.08333333333333" style="198" customWidth="1"/>
    <col min="14" max="14" width="7.875" style="198" customWidth="1"/>
    <col min="15" max="15" width="12.125" style="200" customWidth="1"/>
    <col min="16" max="16" width="9" style="200" customWidth="1"/>
    <col min="17" max="17" width="7.875" style="201" customWidth="1"/>
    <col min="18" max="18" width="9.125" style="188" customWidth="1"/>
    <col min="19" max="19" width="7.875" style="188" customWidth="1"/>
    <col min="20" max="20" width="9.61666666666667" style="196" customWidth="1"/>
    <col min="21" max="21" width="9.875" style="200" customWidth="1"/>
    <col min="22" max="22" width="9" style="188" customWidth="1"/>
    <col min="23" max="23" width="8.5" style="188" customWidth="1"/>
    <col min="24" max="24" width="13.375" style="188" customWidth="1"/>
    <col min="25" max="25" width="12.7833333333333" style="196" customWidth="1"/>
    <col min="26" max="26" width="14.4083333333333" style="202" customWidth="1"/>
    <col min="27" max="27" width="11.5" style="202" customWidth="1"/>
    <col min="28" max="28" width="10.2833333333333" style="202" customWidth="1"/>
    <col min="29" max="29" width="10.75" style="8" customWidth="1"/>
    <col min="30" max="30" width="11.05" style="203" customWidth="1"/>
    <col min="31" max="31" width="11.15" style="8" customWidth="1"/>
    <col min="32" max="32" width="40.375" style="204" customWidth="1"/>
    <col min="33" max="33" width="17.0583333333333" style="194" customWidth="1"/>
    <col min="34" max="44" width="9" style="194"/>
    <col min="45" max="16384" width="9" style="188"/>
  </cols>
  <sheetData>
    <row r="1" s="187" customFormat="1" spans="1:1024 1025:2575">
      <c r="A1" s="205" t="s">
        <v>0</v>
      </c>
      <c r="B1" s="206" t="s">
        <v>1</v>
      </c>
      <c r="C1" s="207" t="s">
        <v>2</v>
      </c>
      <c r="D1" s="208" t="s">
        <v>3</v>
      </c>
      <c r="E1" s="209" t="s">
        <v>4</v>
      </c>
      <c r="F1" s="210" t="s">
        <v>5</v>
      </c>
      <c r="G1" s="209" t="s">
        <v>6</v>
      </c>
      <c r="H1" s="211" t="s">
        <v>7</v>
      </c>
      <c r="I1" s="212" t="s">
        <v>8</v>
      </c>
      <c r="J1" s="209" t="s">
        <v>9</v>
      </c>
      <c r="K1" s="211" t="s">
        <v>10</v>
      </c>
      <c r="L1" s="212" t="s">
        <v>11</v>
      </c>
      <c r="M1" s="209" t="s">
        <v>12</v>
      </c>
      <c r="N1" s="209" t="s">
        <v>13</v>
      </c>
      <c r="O1" s="211" t="s">
        <v>14</v>
      </c>
      <c r="P1" s="211"/>
      <c r="Q1" s="213" t="s">
        <v>15</v>
      </c>
      <c r="R1" s="212" t="s">
        <v>16</v>
      </c>
      <c r="S1" s="212" t="s">
        <v>17</v>
      </c>
      <c r="T1" s="214" t="s">
        <v>18</v>
      </c>
      <c r="U1" s="211" t="s">
        <v>19</v>
      </c>
      <c r="V1" s="212" t="s">
        <v>20</v>
      </c>
      <c r="W1" s="212" t="s">
        <v>21</v>
      </c>
      <c r="X1" s="212" t="s">
        <v>22</v>
      </c>
      <c r="Y1" s="214" t="s">
        <v>23</v>
      </c>
      <c r="Z1" s="215" t="s">
        <v>24</v>
      </c>
      <c r="AA1" s="215" t="s">
        <v>25</v>
      </c>
      <c r="AB1" s="215" t="s">
        <v>26</v>
      </c>
      <c r="AC1" s="215" t="s">
        <v>27</v>
      </c>
      <c r="AD1" s="212" t="s">
        <v>28</v>
      </c>
      <c r="AE1" s="215" t="s">
        <v>29</v>
      </c>
      <c r="AF1" s="20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88"/>
      <c r="CT1" s="188"/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8"/>
      <c r="DK1" s="188"/>
      <c r="DL1" s="188"/>
      <c r="DM1" s="188"/>
      <c r="DN1" s="188"/>
      <c r="DO1" s="188"/>
      <c r="DP1" s="188"/>
      <c r="DQ1" s="188"/>
      <c r="DR1" s="188"/>
      <c r="DS1" s="188"/>
      <c r="DT1" s="188"/>
      <c r="DU1" s="188"/>
      <c r="DV1" s="188"/>
      <c r="DW1" s="188"/>
      <c r="DX1" s="188"/>
      <c r="DY1" s="188"/>
      <c r="DZ1" s="188"/>
      <c r="EA1" s="188"/>
      <c r="EB1" s="188"/>
      <c r="EC1" s="188"/>
      <c r="ED1" s="188"/>
      <c r="EE1" s="188"/>
      <c r="EF1" s="188"/>
      <c r="EG1" s="188"/>
      <c r="EH1" s="188"/>
      <c r="EI1" s="188"/>
      <c r="EJ1" s="188"/>
      <c r="EK1" s="188"/>
      <c r="EL1" s="188"/>
      <c r="EM1" s="188"/>
      <c r="EN1" s="188"/>
      <c r="EO1" s="188"/>
      <c r="EP1" s="188"/>
      <c r="EQ1" s="188"/>
      <c r="ER1" s="188"/>
      <c r="ES1" s="188"/>
      <c r="ET1" s="188"/>
      <c r="EU1" s="188"/>
      <c r="EV1" s="188"/>
      <c r="EW1" s="188"/>
      <c r="EX1" s="188"/>
      <c r="EY1" s="188"/>
      <c r="EZ1" s="188"/>
      <c r="FA1" s="188"/>
      <c r="FB1" s="188"/>
      <c r="FC1" s="188"/>
      <c r="FD1" s="188"/>
      <c r="FE1" s="188"/>
      <c r="FF1" s="188"/>
      <c r="FG1" s="188"/>
      <c r="FH1" s="188"/>
      <c r="FI1" s="188"/>
      <c r="FJ1" s="188"/>
      <c r="FK1" s="188"/>
      <c r="FL1" s="188"/>
      <c r="FM1" s="188"/>
      <c r="FN1" s="188"/>
      <c r="FO1" s="188"/>
      <c r="FP1" s="188"/>
      <c r="FQ1" s="188"/>
      <c r="FR1" s="188"/>
      <c r="FS1" s="188"/>
      <c r="FT1" s="188"/>
      <c r="FU1" s="188"/>
      <c r="FV1" s="188"/>
      <c r="FW1" s="188"/>
      <c r="FX1" s="188"/>
      <c r="FY1" s="188"/>
      <c r="FZ1" s="188"/>
      <c r="GA1" s="188"/>
      <c r="GB1" s="188"/>
      <c r="GC1" s="188"/>
      <c r="GD1" s="188"/>
      <c r="GE1" s="188"/>
      <c r="GF1" s="188"/>
      <c r="GG1" s="188"/>
      <c r="GH1" s="188"/>
      <c r="GI1" s="188"/>
      <c r="GJ1" s="188"/>
      <c r="GK1" s="188"/>
      <c r="GL1" s="188"/>
      <c r="GM1" s="188"/>
      <c r="GN1" s="188"/>
      <c r="GO1" s="188"/>
      <c r="GP1" s="188"/>
      <c r="GQ1" s="188"/>
      <c r="GR1" s="188"/>
      <c r="GS1" s="188"/>
      <c r="GT1" s="188"/>
      <c r="GU1" s="188"/>
      <c r="GV1" s="188"/>
      <c r="GW1" s="188"/>
      <c r="GX1" s="188"/>
      <c r="GY1" s="188"/>
      <c r="GZ1" s="188"/>
      <c r="HA1" s="188"/>
      <c r="HB1" s="188"/>
      <c r="HC1" s="188"/>
      <c r="HD1" s="188"/>
      <c r="HE1" s="188"/>
      <c r="HF1" s="188"/>
      <c r="HG1" s="188"/>
      <c r="HH1" s="188"/>
      <c r="HI1" s="188"/>
      <c r="HJ1" s="188"/>
      <c r="HK1" s="188"/>
      <c r="HL1" s="188"/>
      <c r="HM1" s="188"/>
      <c r="HN1" s="188"/>
      <c r="HO1" s="188"/>
      <c r="HP1" s="188"/>
      <c r="HQ1" s="188"/>
      <c r="HR1" s="188"/>
      <c r="HS1" s="188"/>
      <c r="HT1" s="188"/>
      <c r="HU1" s="188"/>
      <c r="HV1" s="188"/>
      <c r="HW1" s="188"/>
      <c r="HX1" s="188"/>
      <c r="HY1" s="188"/>
      <c r="HZ1" s="188"/>
      <c r="IA1" s="188"/>
      <c r="IB1" s="188"/>
      <c r="IC1" s="188"/>
      <c r="ID1" s="188"/>
      <c r="IE1" s="188"/>
      <c r="IF1" s="188"/>
      <c r="IG1" s="188"/>
      <c r="IH1" s="188"/>
      <c r="II1" s="188"/>
      <c r="IJ1" s="188"/>
      <c r="IK1" s="188"/>
      <c r="IL1" s="188"/>
      <c r="IM1" s="188"/>
      <c r="IN1" s="188"/>
      <c r="IO1" s="188"/>
      <c r="IP1" s="188"/>
      <c r="IQ1" s="188"/>
      <c r="IR1" s="188"/>
      <c r="IS1" s="188"/>
      <c r="IT1" s="188"/>
      <c r="IU1" s="188"/>
      <c r="IV1" s="188"/>
      <c r="IW1" s="188"/>
      <c r="IX1" s="188"/>
      <c r="IY1" s="188"/>
      <c r="IZ1" s="188"/>
      <c r="JA1" s="188"/>
      <c r="JB1" s="188"/>
      <c r="JC1" s="188"/>
      <c r="JD1" s="188"/>
      <c r="JE1" s="188"/>
      <c r="JF1" s="188"/>
      <c r="JG1" s="188"/>
      <c r="JH1" s="188"/>
      <c r="JI1" s="188"/>
      <c r="JJ1" s="188"/>
      <c r="JK1" s="188"/>
      <c r="JL1" s="188"/>
      <c r="JM1" s="188"/>
      <c r="JN1" s="188"/>
      <c r="JO1" s="188"/>
      <c r="JP1" s="188"/>
      <c r="JQ1" s="188"/>
      <c r="JR1" s="188"/>
      <c r="JS1" s="188"/>
      <c r="JT1" s="188"/>
      <c r="JU1" s="188"/>
      <c r="JV1" s="188"/>
      <c r="JW1" s="188"/>
      <c r="JX1" s="188"/>
      <c r="JY1" s="188"/>
      <c r="JZ1" s="188"/>
      <c r="KA1" s="188"/>
      <c r="KB1" s="188"/>
      <c r="KC1" s="188"/>
      <c r="KD1" s="188"/>
      <c r="KE1" s="188"/>
      <c r="KF1" s="188"/>
      <c r="KG1" s="188"/>
      <c r="KH1" s="188"/>
      <c r="KI1" s="188"/>
      <c r="KJ1" s="188"/>
      <c r="KK1" s="188"/>
      <c r="KL1" s="188"/>
      <c r="KM1" s="188"/>
      <c r="KN1" s="188"/>
      <c r="KO1" s="188"/>
      <c r="KP1" s="188"/>
      <c r="KQ1" s="188"/>
      <c r="KR1" s="188"/>
      <c r="KS1" s="188"/>
      <c r="KT1" s="188"/>
      <c r="KU1" s="188"/>
      <c r="KV1" s="188"/>
      <c r="KW1" s="188"/>
      <c r="KX1" s="188"/>
      <c r="KY1" s="188"/>
      <c r="KZ1" s="188"/>
      <c r="LA1" s="188"/>
      <c r="LB1" s="188"/>
      <c r="LC1" s="188"/>
      <c r="LD1" s="188"/>
      <c r="LE1" s="188"/>
      <c r="LF1" s="188"/>
      <c r="LG1" s="188"/>
      <c r="LH1" s="188"/>
      <c r="LI1" s="188"/>
      <c r="LJ1" s="188"/>
      <c r="LK1" s="188"/>
      <c r="LL1" s="188"/>
      <c r="LM1" s="188"/>
      <c r="LN1" s="188"/>
      <c r="LO1" s="188"/>
      <c r="LP1" s="188"/>
      <c r="LQ1" s="188"/>
      <c r="LR1" s="188"/>
      <c r="LS1" s="188"/>
      <c r="LT1" s="188"/>
      <c r="LU1" s="188"/>
      <c r="LV1" s="188"/>
      <c r="LW1" s="188"/>
      <c r="LX1" s="188"/>
      <c r="LY1" s="188"/>
      <c r="LZ1" s="188"/>
      <c r="MA1" s="188"/>
      <c r="MB1" s="188"/>
      <c r="MC1" s="188"/>
      <c r="MD1" s="188"/>
      <c r="ME1" s="188"/>
      <c r="MF1" s="188"/>
      <c r="MG1" s="188"/>
      <c r="MH1" s="188"/>
      <c r="MI1" s="188"/>
      <c r="MJ1" s="188"/>
      <c r="MK1" s="188"/>
      <c r="ML1" s="188"/>
      <c r="MM1" s="188"/>
      <c r="MN1" s="188"/>
      <c r="MO1" s="188"/>
      <c r="MP1" s="188"/>
      <c r="MQ1" s="188"/>
      <c r="MR1" s="188"/>
      <c r="MS1" s="188"/>
      <c r="MT1" s="188"/>
      <c r="MU1" s="188"/>
      <c r="MV1" s="188"/>
      <c r="MW1" s="188"/>
      <c r="MX1" s="188"/>
      <c r="MY1" s="188"/>
      <c r="MZ1" s="188"/>
      <c r="NA1" s="188"/>
      <c r="NB1" s="188"/>
      <c r="NC1" s="188"/>
      <c r="ND1" s="188"/>
      <c r="NE1" s="188"/>
      <c r="NF1" s="188"/>
      <c r="NG1" s="188"/>
      <c r="NH1" s="188"/>
      <c r="NI1" s="188"/>
      <c r="NJ1" s="188"/>
      <c r="NK1" s="188"/>
      <c r="NL1" s="188"/>
      <c r="NM1" s="188"/>
      <c r="NN1" s="188"/>
      <c r="NO1" s="188"/>
      <c r="NP1" s="188"/>
      <c r="NQ1" s="188"/>
      <c r="NR1" s="188"/>
      <c r="NS1" s="188"/>
      <c r="NT1" s="188"/>
      <c r="NU1" s="188"/>
      <c r="NV1" s="188"/>
      <c r="NW1" s="188"/>
      <c r="NX1" s="188"/>
      <c r="NY1" s="188"/>
      <c r="NZ1" s="188"/>
      <c r="OA1" s="188"/>
      <c r="OB1" s="188"/>
      <c r="OC1" s="188"/>
      <c r="OD1" s="188"/>
      <c r="OE1" s="188"/>
      <c r="OF1" s="188"/>
      <c r="OG1" s="188"/>
      <c r="OH1" s="188"/>
      <c r="OI1" s="188"/>
      <c r="OJ1" s="188"/>
      <c r="OK1" s="188"/>
      <c r="OL1" s="188"/>
      <c r="OM1" s="188"/>
      <c r="ON1" s="188"/>
      <c r="OO1" s="188"/>
      <c r="OP1" s="188"/>
      <c r="OQ1" s="188"/>
      <c r="OR1" s="188"/>
      <c r="OS1" s="188"/>
      <c r="OT1" s="188"/>
      <c r="OU1" s="188"/>
      <c r="OV1" s="188"/>
      <c r="OW1" s="188"/>
      <c r="OX1" s="188"/>
      <c r="OY1" s="188"/>
      <c r="OZ1" s="188"/>
      <c r="PA1" s="188"/>
      <c r="PB1" s="188"/>
      <c r="PC1" s="188"/>
      <c r="PD1" s="188"/>
      <c r="PE1" s="188"/>
      <c r="PF1" s="188"/>
      <c r="PG1" s="188"/>
      <c r="PH1" s="188"/>
      <c r="PI1" s="188"/>
      <c r="PJ1" s="188"/>
      <c r="PK1" s="188"/>
      <c r="PL1" s="188"/>
      <c r="PM1" s="188"/>
      <c r="PN1" s="188"/>
      <c r="PO1" s="188"/>
      <c r="PP1" s="188"/>
      <c r="PQ1" s="188"/>
      <c r="PR1" s="188"/>
      <c r="PS1" s="188"/>
      <c r="PT1" s="188"/>
      <c r="PU1" s="188"/>
      <c r="PV1" s="188"/>
      <c r="PW1" s="188"/>
      <c r="PX1" s="188"/>
      <c r="PY1" s="188"/>
      <c r="PZ1" s="188"/>
      <c r="QA1" s="188"/>
      <c r="QB1" s="188"/>
      <c r="QC1" s="188"/>
      <c r="QD1" s="188"/>
      <c r="QE1" s="188"/>
      <c r="QF1" s="188"/>
      <c r="QG1" s="188"/>
      <c r="QH1" s="188"/>
      <c r="QI1" s="188"/>
      <c r="QJ1" s="188"/>
      <c r="QK1" s="188"/>
      <c r="QL1" s="188"/>
      <c r="QM1" s="188"/>
      <c r="QN1" s="188"/>
      <c r="QO1" s="188"/>
      <c r="QP1" s="188"/>
      <c r="QQ1" s="188"/>
      <c r="QR1" s="188"/>
      <c r="QS1" s="188"/>
      <c r="QT1" s="188"/>
      <c r="QU1" s="188"/>
      <c r="QV1" s="188"/>
      <c r="QW1" s="188"/>
      <c r="QX1" s="188"/>
      <c r="QY1" s="188"/>
      <c r="QZ1" s="188"/>
      <c r="RA1" s="188"/>
      <c r="RB1" s="188"/>
      <c r="RC1" s="188"/>
      <c r="RD1" s="188"/>
      <c r="RE1" s="188"/>
      <c r="RF1" s="188"/>
      <c r="RG1" s="188"/>
      <c r="RH1" s="188"/>
      <c r="RI1" s="188"/>
      <c r="RJ1" s="188"/>
      <c r="RK1" s="188"/>
      <c r="RL1" s="188"/>
      <c r="RM1" s="188"/>
      <c r="RN1" s="188"/>
      <c r="RO1" s="188"/>
      <c r="RP1" s="188"/>
      <c r="RQ1" s="188"/>
      <c r="RR1" s="188"/>
      <c r="RS1" s="188"/>
      <c r="RT1" s="188"/>
      <c r="RU1" s="188"/>
      <c r="RV1" s="188"/>
      <c r="RW1" s="188"/>
      <c r="RX1" s="188"/>
      <c r="RY1" s="188"/>
      <c r="RZ1" s="188"/>
      <c r="SA1" s="188"/>
      <c r="SB1" s="188"/>
      <c r="SC1" s="188"/>
      <c r="SD1" s="188"/>
      <c r="SE1" s="188"/>
      <c r="SF1" s="188"/>
      <c r="SG1" s="188"/>
      <c r="SH1" s="188"/>
      <c r="SI1" s="188"/>
      <c r="SJ1" s="188"/>
      <c r="SK1" s="188"/>
      <c r="SL1" s="188"/>
      <c r="SM1" s="188"/>
      <c r="SN1" s="188"/>
      <c r="SO1" s="188"/>
      <c r="SP1" s="188"/>
      <c r="SQ1" s="188"/>
      <c r="SR1" s="188"/>
      <c r="SS1" s="188"/>
      <c r="ST1" s="188"/>
      <c r="SU1" s="188"/>
      <c r="SV1" s="188"/>
      <c r="SW1" s="188"/>
      <c r="SX1" s="188"/>
      <c r="SY1" s="188"/>
      <c r="SZ1" s="188"/>
      <c r="TA1" s="188"/>
      <c r="TB1" s="188"/>
      <c r="TC1" s="188"/>
      <c r="TD1" s="188"/>
      <c r="TE1" s="188"/>
      <c r="TF1" s="188"/>
      <c r="TG1" s="188"/>
      <c r="TH1" s="188"/>
      <c r="TI1" s="188"/>
      <c r="TJ1" s="188"/>
      <c r="TK1" s="188"/>
      <c r="TL1" s="188"/>
      <c r="TM1" s="188"/>
      <c r="TN1" s="188"/>
      <c r="TO1" s="188"/>
      <c r="TP1" s="188"/>
      <c r="TQ1" s="188"/>
      <c r="TR1" s="188"/>
      <c r="TS1" s="188"/>
      <c r="TT1" s="188"/>
      <c r="TU1" s="188"/>
      <c r="TV1" s="188"/>
      <c r="TW1" s="188"/>
      <c r="TX1" s="188"/>
      <c r="TY1" s="188"/>
      <c r="TZ1" s="188"/>
      <c r="UA1" s="188"/>
      <c r="UB1" s="188"/>
      <c r="UC1" s="188"/>
      <c r="UD1" s="188"/>
      <c r="UE1" s="188"/>
      <c r="UF1" s="188"/>
      <c r="UG1" s="188"/>
      <c r="UH1" s="188"/>
      <c r="UI1" s="188"/>
      <c r="UJ1" s="188"/>
      <c r="UK1" s="188"/>
      <c r="UL1" s="188"/>
      <c r="UM1" s="188"/>
      <c r="UN1" s="188"/>
      <c r="UO1" s="188"/>
      <c r="UP1" s="188"/>
      <c r="UQ1" s="188"/>
      <c r="UR1" s="188"/>
      <c r="US1" s="188"/>
      <c r="UT1" s="188"/>
      <c r="UU1" s="188"/>
      <c r="UV1" s="188"/>
      <c r="UW1" s="188"/>
      <c r="UX1" s="188"/>
      <c r="UY1" s="188"/>
      <c r="UZ1" s="188"/>
      <c r="VA1" s="188"/>
      <c r="VB1" s="188"/>
      <c r="VC1" s="188"/>
      <c r="VD1" s="188"/>
      <c r="VE1" s="188"/>
      <c r="VF1" s="188"/>
      <c r="VG1" s="188"/>
      <c r="VH1" s="188"/>
      <c r="VI1" s="188"/>
      <c r="VJ1" s="188"/>
      <c r="VK1" s="188"/>
      <c r="VL1" s="188"/>
      <c r="VM1" s="188"/>
      <c r="VN1" s="188"/>
      <c r="VO1" s="188"/>
      <c r="VP1" s="188"/>
      <c r="VQ1" s="188"/>
      <c r="VR1" s="188"/>
      <c r="VS1" s="188"/>
      <c r="VT1" s="188"/>
      <c r="VU1" s="188"/>
      <c r="VV1" s="188"/>
      <c r="VW1" s="188"/>
      <c r="VX1" s="188"/>
      <c r="VY1" s="188"/>
      <c r="VZ1" s="188"/>
      <c r="WA1" s="188"/>
      <c r="WB1" s="188"/>
      <c r="WC1" s="188"/>
      <c r="WD1" s="188"/>
      <c r="WE1" s="188"/>
      <c r="WF1" s="188"/>
      <c r="WG1" s="188"/>
      <c r="WH1" s="188"/>
      <c r="WI1" s="188"/>
      <c r="WJ1" s="188"/>
      <c r="WK1" s="188"/>
      <c r="WL1" s="188"/>
      <c r="WM1" s="188"/>
      <c r="WN1" s="188"/>
      <c r="WO1" s="188"/>
      <c r="WP1" s="188"/>
      <c r="WQ1" s="188"/>
      <c r="WR1" s="188"/>
      <c r="WS1" s="188"/>
      <c r="WT1" s="188"/>
      <c r="WU1" s="188"/>
      <c r="WV1" s="188"/>
      <c r="WW1" s="188"/>
      <c r="WX1" s="188"/>
      <c r="WY1" s="188"/>
      <c r="WZ1" s="188"/>
      <c r="XA1" s="188"/>
      <c r="XB1" s="188"/>
      <c r="XC1" s="188"/>
      <c r="XD1" s="188"/>
      <c r="XE1" s="188"/>
      <c r="XF1" s="188"/>
      <c r="XG1" s="188"/>
      <c r="XH1" s="188"/>
      <c r="XI1" s="188"/>
      <c r="XJ1" s="188"/>
      <c r="XK1" s="188"/>
      <c r="XL1" s="188"/>
      <c r="XM1" s="188"/>
      <c r="XN1" s="188"/>
      <c r="XO1" s="188"/>
      <c r="XP1" s="188"/>
      <c r="XQ1" s="188"/>
      <c r="XR1" s="188"/>
      <c r="XS1" s="188"/>
      <c r="XT1" s="188"/>
      <c r="XU1" s="188"/>
      <c r="XV1" s="188"/>
      <c r="XW1" s="188"/>
      <c r="XX1" s="188"/>
      <c r="XY1" s="188"/>
      <c r="XZ1" s="188"/>
      <c r="YA1" s="188"/>
      <c r="YB1" s="188"/>
      <c r="YC1" s="188"/>
      <c r="YD1" s="188"/>
      <c r="YE1" s="188"/>
      <c r="YF1" s="188"/>
      <c r="YG1" s="188"/>
      <c r="YH1" s="188"/>
      <c r="YI1" s="188"/>
      <c r="YJ1" s="188"/>
      <c r="YK1" s="188"/>
      <c r="YL1" s="188"/>
      <c r="YM1" s="188"/>
      <c r="YN1" s="188"/>
      <c r="YO1" s="188"/>
      <c r="YP1" s="188"/>
      <c r="YQ1" s="188"/>
      <c r="YR1" s="188"/>
      <c r="YS1" s="188"/>
      <c r="YT1" s="188"/>
      <c r="YU1" s="188"/>
      <c r="YV1" s="188"/>
      <c r="YW1" s="188"/>
      <c r="YX1" s="188"/>
      <c r="YY1" s="188"/>
      <c r="YZ1" s="188"/>
      <c r="ZA1" s="188"/>
      <c r="ZB1" s="188"/>
      <c r="ZC1" s="188"/>
      <c r="ZD1" s="188"/>
      <c r="ZE1" s="188"/>
      <c r="ZF1" s="188"/>
      <c r="ZG1" s="188"/>
      <c r="ZH1" s="188"/>
      <c r="ZI1" s="188"/>
      <c r="ZJ1" s="188"/>
      <c r="ZK1" s="188"/>
      <c r="ZL1" s="188"/>
      <c r="ZM1" s="188"/>
      <c r="ZN1" s="188"/>
      <c r="ZO1" s="188"/>
      <c r="ZP1" s="188"/>
      <c r="ZQ1" s="188"/>
      <c r="ZR1" s="188"/>
      <c r="ZS1" s="188"/>
      <c r="ZT1" s="188"/>
      <c r="ZU1" s="188"/>
      <c r="ZV1" s="188"/>
      <c r="ZW1" s="188"/>
      <c r="ZX1" s="188"/>
      <c r="ZY1" s="188"/>
      <c r="ZZ1" s="188"/>
      <c r="AAA1" s="188"/>
      <c r="AAB1" s="188"/>
      <c r="AAC1" s="188"/>
      <c r="AAD1" s="188"/>
      <c r="AAE1" s="188"/>
      <c r="AAF1" s="188"/>
      <c r="AAG1" s="188"/>
      <c r="AAH1" s="188"/>
      <c r="AAI1" s="188"/>
      <c r="AAJ1" s="188"/>
      <c r="AAK1" s="188"/>
      <c r="AAL1" s="188"/>
      <c r="AAM1" s="188"/>
      <c r="AAN1" s="188"/>
      <c r="AAO1" s="188"/>
      <c r="AAP1" s="188"/>
      <c r="AAQ1" s="188"/>
      <c r="AAR1" s="188"/>
      <c r="AAS1" s="188"/>
      <c r="AAT1" s="188"/>
      <c r="AAU1" s="188"/>
      <c r="AAV1" s="188"/>
      <c r="AAW1" s="188"/>
      <c r="AAX1" s="188"/>
      <c r="AAY1" s="188"/>
      <c r="AAZ1" s="188"/>
      <c r="ABA1" s="188"/>
      <c r="ABB1" s="188"/>
      <c r="ABC1" s="188"/>
      <c r="ABD1" s="188"/>
      <c r="ABE1" s="188"/>
      <c r="ABF1" s="188"/>
      <c r="ABG1" s="188"/>
      <c r="ABH1" s="188"/>
      <c r="ABI1" s="188"/>
      <c r="ABJ1" s="188"/>
      <c r="ABK1" s="188"/>
      <c r="ABL1" s="188"/>
      <c r="ABM1" s="188"/>
      <c r="ABN1" s="188"/>
      <c r="ABO1" s="188"/>
      <c r="ABP1" s="188"/>
      <c r="ABQ1" s="188"/>
      <c r="ABR1" s="188"/>
      <c r="ABS1" s="188"/>
      <c r="ABT1" s="188"/>
      <c r="ABU1" s="188"/>
      <c r="ABV1" s="188"/>
      <c r="ABW1" s="188"/>
      <c r="ABX1" s="188"/>
      <c r="ABY1" s="188"/>
      <c r="ABZ1" s="188"/>
      <c r="ACA1" s="188"/>
      <c r="ACB1" s="188"/>
      <c r="ACC1" s="188"/>
      <c r="ACD1" s="188"/>
      <c r="ACE1" s="188"/>
      <c r="ACF1" s="188"/>
      <c r="ACG1" s="188"/>
      <c r="ACH1" s="188"/>
      <c r="ACI1" s="188"/>
      <c r="ACJ1" s="188"/>
      <c r="ACK1" s="188"/>
      <c r="ACL1" s="188"/>
      <c r="ACM1" s="188"/>
      <c r="ACN1" s="188"/>
      <c r="ACO1" s="188"/>
      <c r="ACP1" s="188"/>
      <c r="ACQ1" s="188"/>
      <c r="ACR1" s="188"/>
      <c r="ACS1" s="188"/>
      <c r="ACT1" s="188"/>
      <c r="ACU1" s="188"/>
      <c r="ACV1" s="188"/>
      <c r="ACW1" s="188"/>
      <c r="ACX1" s="188"/>
      <c r="ACY1" s="188"/>
      <c r="ACZ1" s="188"/>
      <c r="ADA1" s="188"/>
      <c r="ADB1" s="188"/>
      <c r="ADC1" s="188"/>
      <c r="ADD1" s="188"/>
      <c r="ADE1" s="188"/>
      <c r="ADF1" s="188"/>
      <c r="ADG1" s="188"/>
      <c r="ADH1" s="188"/>
      <c r="ADI1" s="188"/>
      <c r="ADJ1" s="188"/>
      <c r="ADK1" s="188"/>
      <c r="ADL1" s="188"/>
      <c r="ADM1" s="188"/>
      <c r="ADN1" s="188"/>
      <c r="ADO1" s="188"/>
      <c r="ADP1" s="188"/>
      <c r="ADQ1" s="188"/>
      <c r="ADR1" s="188"/>
      <c r="ADS1" s="188"/>
      <c r="ADT1" s="188"/>
      <c r="ADU1" s="188"/>
      <c r="ADV1" s="188"/>
      <c r="ADW1" s="188"/>
      <c r="ADX1" s="188"/>
      <c r="ADY1" s="188"/>
      <c r="ADZ1" s="188"/>
      <c r="AEA1" s="188"/>
      <c r="AEB1" s="188"/>
      <c r="AEC1" s="188"/>
      <c r="AED1" s="188"/>
      <c r="AEE1" s="188"/>
      <c r="AEF1" s="188"/>
      <c r="AEG1" s="188"/>
      <c r="AEH1" s="188"/>
      <c r="AEI1" s="188"/>
      <c r="AEJ1" s="188"/>
      <c r="AEK1" s="188"/>
      <c r="AEL1" s="188"/>
      <c r="AEM1" s="188"/>
      <c r="AEN1" s="188"/>
      <c r="AEO1" s="188"/>
      <c r="AEP1" s="188"/>
      <c r="AEQ1" s="188"/>
      <c r="AER1" s="188"/>
      <c r="AES1" s="188"/>
      <c r="AET1" s="188"/>
      <c r="AEU1" s="188"/>
      <c r="AEV1" s="188"/>
      <c r="AEW1" s="188"/>
      <c r="AEX1" s="188"/>
      <c r="AEY1" s="188"/>
      <c r="AEZ1" s="188"/>
      <c r="AFA1" s="188"/>
      <c r="AFB1" s="188"/>
      <c r="AFC1" s="188"/>
      <c r="AFD1" s="188"/>
      <c r="AFE1" s="188"/>
      <c r="AFF1" s="188"/>
      <c r="AFG1" s="188"/>
      <c r="AFH1" s="188"/>
      <c r="AFI1" s="188"/>
      <c r="AFJ1" s="188"/>
      <c r="AFK1" s="188"/>
      <c r="AFL1" s="188"/>
      <c r="AFM1" s="188"/>
      <c r="AFN1" s="188"/>
      <c r="AFO1" s="188"/>
      <c r="AFP1" s="188"/>
      <c r="AFQ1" s="188"/>
      <c r="AFR1" s="188"/>
      <c r="AFS1" s="188"/>
      <c r="AFT1" s="188"/>
      <c r="AFU1" s="188"/>
      <c r="AFV1" s="188"/>
      <c r="AFW1" s="188"/>
      <c r="AFX1" s="188"/>
      <c r="AFY1" s="188"/>
      <c r="AFZ1" s="188"/>
      <c r="AGA1" s="188"/>
      <c r="AGB1" s="188"/>
      <c r="AGC1" s="188"/>
      <c r="AGD1" s="188"/>
      <c r="AGE1" s="188"/>
      <c r="AGF1" s="188"/>
      <c r="AGG1" s="188"/>
      <c r="AGH1" s="188"/>
      <c r="AGI1" s="188"/>
      <c r="AGJ1" s="188"/>
      <c r="AGK1" s="188"/>
      <c r="AGL1" s="188"/>
      <c r="AGM1" s="188"/>
      <c r="AGN1" s="188"/>
      <c r="AGO1" s="188"/>
      <c r="AGP1" s="188"/>
      <c r="AGQ1" s="188"/>
      <c r="AGR1" s="188"/>
      <c r="AGS1" s="188"/>
      <c r="AGT1" s="188"/>
      <c r="AGU1" s="188"/>
      <c r="AGV1" s="188"/>
      <c r="AGW1" s="188"/>
      <c r="AGX1" s="188"/>
      <c r="AGY1" s="188"/>
      <c r="AGZ1" s="188"/>
      <c r="AHA1" s="188"/>
      <c r="AHB1" s="188"/>
      <c r="AHC1" s="188"/>
      <c r="AHD1" s="188"/>
      <c r="AHE1" s="188"/>
      <c r="AHF1" s="188"/>
      <c r="AHG1" s="188"/>
      <c r="AHH1" s="188"/>
      <c r="AHI1" s="188"/>
      <c r="AHJ1" s="188"/>
      <c r="AHK1" s="188"/>
      <c r="AHL1" s="188"/>
      <c r="AHM1" s="188"/>
      <c r="AHN1" s="188"/>
      <c r="AHO1" s="188"/>
      <c r="AHP1" s="188"/>
      <c r="AHQ1" s="188"/>
      <c r="AHR1" s="188"/>
      <c r="AHS1" s="188"/>
      <c r="AHT1" s="188"/>
      <c r="AHU1" s="188"/>
      <c r="AHV1" s="188"/>
      <c r="AHW1" s="188"/>
      <c r="AHX1" s="188"/>
      <c r="AHY1" s="188"/>
      <c r="AHZ1" s="188"/>
      <c r="AIA1" s="188"/>
      <c r="AIB1" s="188"/>
      <c r="AIC1" s="188"/>
      <c r="AID1" s="188"/>
      <c r="AIE1" s="188"/>
      <c r="AIF1" s="188"/>
      <c r="AIG1" s="188"/>
      <c r="AIH1" s="188"/>
      <c r="AII1" s="188"/>
      <c r="AIJ1" s="188"/>
      <c r="AIK1" s="188"/>
      <c r="AIL1" s="188"/>
      <c r="AIM1" s="188"/>
      <c r="AIN1" s="188"/>
      <c r="AIO1" s="188"/>
      <c r="AIP1" s="188"/>
      <c r="AIQ1" s="188"/>
      <c r="AIR1" s="188"/>
      <c r="AIS1" s="188"/>
      <c r="AIT1" s="188"/>
      <c r="AIU1" s="188"/>
      <c r="AIV1" s="188"/>
      <c r="AIW1" s="188"/>
      <c r="AIX1" s="188"/>
      <c r="AIY1" s="188"/>
      <c r="AIZ1" s="188"/>
      <c r="AJA1" s="188"/>
      <c r="AJB1" s="188"/>
      <c r="AJC1" s="188"/>
      <c r="AJD1" s="188"/>
      <c r="AJE1" s="188"/>
      <c r="AJF1" s="188"/>
      <c r="AJG1" s="188"/>
      <c r="AJH1" s="188"/>
      <c r="AJI1" s="188"/>
      <c r="AJJ1" s="188"/>
      <c r="AJK1" s="188"/>
      <c r="AJL1" s="188"/>
      <c r="AJM1" s="188"/>
      <c r="AJN1" s="188"/>
      <c r="AJO1" s="188"/>
      <c r="AJP1" s="188"/>
      <c r="AJQ1" s="188"/>
      <c r="AJR1" s="188"/>
      <c r="AJS1" s="188"/>
      <c r="AJT1" s="188"/>
      <c r="AJU1" s="188"/>
      <c r="AJV1" s="188"/>
      <c r="AJW1" s="188"/>
      <c r="AJX1" s="188"/>
      <c r="AJY1" s="188"/>
      <c r="AJZ1" s="188"/>
      <c r="AKA1" s="188"/>
      <c r="AKB1" s="188"/>
      <c r="AKC1" s="188"/>
      <c r="AKD1" s="188"/>
      <c r="AKE1" s="188"/>
      <c r="AKF1" s="188"/>
      <c r="AKG1" s="188"/>
      <c r="AKH1" s="188"/>
      <c r="AKI1" s="188"/>
      <c r="AKJ1" s="188"/>
      <c r="AKK1" s="188"/>
      <c r="AKL1" s="188"/>
      <c r="AKM1" s="188"/>
      <c r="AKN1" s="188"/>
      <c r="AKO1" s="188"/>
      <c r="AKP1" s="188"/>
      <c r="AKQ1" s="188"/>
      <c r="AKR1" s="188"/>
      <c r="AKS1" s="188"/>
      <c r="AKT1" s="188"/>
      <c r="AKU1" s="188"/>
      <c r="AKV1" s="188"/>
      <c r="AKW1" s="188"/>
      <c r="AKX1" s="188"/>
      <c r="AKY1" s="188"/>
      <c r="AKZ1" s="188"/>
      <c r="ALA1" s="188"/>
      <c r="ALB1" s="188"/>
      <c r="ALC1" s="188"/>
      <c r="ALD1" s="188"/>
      <c r="ALE1" s="188"/>
      <c r="ALF1" s="188"/>
      <c r="ALG1" s="188"/>
      <c r="ALH1" s="188"/>
      <c r="ALI1" s="188"/>
      <c r="ALJ1" s="188"/>
      <c r="ALK1" s="188"/>
      <c r="ALL1" s="188"/>
      <c r="ALM1" s="188"/>
      <c r="ALN1" s="188"/>
      <c r="ALO1" s="188"/>
      <c r="ALP1" s="188"/>
      <c r="ALQ1" s="188"/>
      <c r="ALR1" s="188"/>
      <c r="ALS1" s="188"/>
      <c r="ALT1" s="188"/>
      <c r="ALU1" s="188"/>
      <c r="ALV1" s="188"/>
      <c r="ALW1" s="188"/>
      <c r="ALX1" s="188"/>
      <c r="ALY1" s="188"/>
      <c r="ALZ1" s="188"/>
      <c r="AMA1" s="188"/>
      <c r="AMB1" s="188"/>
      <c r="AMC1" s="188"/>
      <c r="AMD1" s="188"/>
      <c r="AME1" s="188"/>
      <c r="AMF1" s="188"/>
      <c r="AMG1" s="188"/>
      <c r="AMH1" s="188"/>
      <c r="AMI1" s="188"/>
      <c r="AMJ1" s="188"/>
      <c r="AMK1" s="188"/>
      <c r="AML1" s="188"/>
      <c r="AMM1" s="188"/>
      <c r="AMN1" s="188"/>
      <c r="AMO1" s="188"/>
      <c r="AMP1" s="188"/>
      <c r="AMQ1" s="188"/>
      <c r="AMR1" s="188"/>
      <c r="AMS1" s="188"/>
      <c r="AMT1" s="188"/>
      <c r="AMU1" s="188"/>
      <c r="AMV1" s="188"/>
      <c r="AMW1" s="188"/>
      <c r="AMX1" s="188"/>
      <c r="AMY1" s="188"/>
      <c r="AMZ1" s="188"/>
      <c r="ANA1" s="188"/>
      <c r="ANB1" s="188"/>
      <c r="ANC1" s="188"/>
      <c r="AND1" s="188"/>
      <c r="ANE1" s="188"/>
      <c r="ANF1" s="188"/>
      <c r="ANG1" s="188"/>
      <c r="ANH1" s="188"/>
      <c r="ANI1" s="188"/>
      <c r="ANJ1" s="188"/>
      <c r="ANK1" s="188"/>
      <c r="ANL1" s="188"/>
      <c r="ANM1" s="188"/>
      <c r="ANN1" s="188"/>
      <c r="ANO1" s="188"/>
      <c r="ANP1" s="188"/>
      <c r="ANQ1" s="188"/>
      <c r="ANR1" s="188"/>
      <c r="ANS1" s="188"/>
      <c r="ANT1" s="188"/>
      <c r="ANU1" s="188"/>
      <c r="ANV1" s="188"/>
      <c r="ANW1" s="188"/>
      <c r="ANX1" s="188"/>
      <c r="ANY1" s="188"/>
      <c r="ANZ1" s="188"/>
      <c r="AOA1" s="188"/>
      <c r="AOB1" s="188"/>
      <c r="AOC1" s="188"/>
      <c r="AOD1" s="188"/>
      <c r="AOE1" s="188"/>
      <c r="AOF1" s="188"/>
      <c r="AOG1" s="188"/>
      <c r="AOH1" s="188"/>
      <c r="AOI1" s="188"/>
      <c r="AOJ1" s="188"/>
      <c r="AOK1" s="188"/>
      <c r="AOL1" s="188"/>
      <c r="AOM1" s="188"/>
      <c r="AON1" s="188"/>
      <c r="AOO1" s="188"/>
      <c r="AOP1" s="188"/>
      <c r="AOQ1" s="188"/>
      <c r="AOR1" s="188"/>
      <c r="AOS1" s="188"/>
      <c r="AOT1" s="188"/>
      <c r="AOU1" s="188"/>
      <c r="AOV1" s="188"/>
      <c r="AOW1" s="188"/>
      <c r="AOX1" s="188"/>
      <c r="AOY1" s="188"/>
      <c r="AOZ1" s="188"/>
      <c r="APA1" s="188"/>
      <c r="APB1" s="188"/>
      <c r="APC1" s="188"/>
      <c r="APD1" s="188"/>
      <c r="APE1" s="188"/>
      <c r="APF1" s="188"/>
      <c r="APG1" s="188"/>
      <c r="APH1" s="188"/>
      <c r="API1" s="188"/>
      <c r="APJ1" s="188"/>
      <c r="APK1" s="188"/>
      <c r="APL1" s="188"/>
      <c r="APM1" s="188"/>
      <c r="APN1" s="188"/>
      <c r="APO1" s="188"/>
      <c r="APP1" s="188"/>
      <c r="APQ1" s="188"/>
      <c r="APR1" s="188"/>
      <c r="APS1" s="188"/>
      <c r="APT1" s="188"/>
      <c r="APU1" s="188"/>
      <c r="APV1" s="188"/>
      <c r="APW1" s="188"/>
      <c r="APX1" s="188"/>
      <c r="APY1" s="188"/>
      <c r="APZ1" s="188"/>
      <c r="AQA1" s="188"/>
      <c r="AQB1" s="188"/>
      <c r="AQC1" s="188"/>
      <c r="AQD1" s="188"/>
      <c r="AQE1" s="188"/>
      <c r="AQF1" s="188"/>
      <c r="AQG1" s="188"/>
      <c r="AQH1" s="188"/>
      <c r="AQI1" s="188"/>
      <c r="AQJ1" s="188"/>
      <c r="AQK1" s="188"/>
      <c r="AQL1" s="188"/>
      <c r="AQM1" s="188"/>
      <c r="AQN1" s="188"/>
      <c r="AQO1" s="188"/>
      <c r="AQP1" s="188"/>
      <c r="AQQ1" s="188"/>
      <c r="AQR1" s="188"/>
      <c r="AQS1" s="188"/>
      <c r="AQT1" s="188"/>
      <c r="AQU1" s="188"/>
      <c r="AQV1" s="188"/>
      <c r="AQW1" s="188"/>
      <c r="AQX1" s="188"/>
      <c r="AQY1" s="188"/>
      <c r="AQZ1" s="188"/>
      <c r="ARA1" s="188"/>
      <c r="ARB1" s="188"/>
      <c r="ARC1" s="188"/>
      <c r="ARD1" s="188"/>
      <c r="ARE1" s="188"/>
      <c r="ARF1" s="188"/>
      <c r="ARG1" s="188"/>
      <c r="ARH1" s="188"/>
      <c r="ARI1" s="188"/>
      <c r="ARJ1" s="188"/>
      <c r="ARK1" s="188"/>
      <c r="ARL1" s="188"/>
      <c r="ARM1" s="188"/>
      <c r="ARN1" s="188"/>
      <c r="ARO1" s="188"/>
      <c r="ARP1" s="188"/>
      <c r="ARQ1" s="188"/>
      <c r="ARR1" s="188"/>
      <c r="ARS1" s="188"/>
      <c r="ART1" s="188"/>
      <c r="ARU1" s="188"/>
      <c r="ARV1" s="188"/>
      <c r="ARW1" s="188"/>
      <c r="ARX1" s="188"/>
      <c r="ARY1" s="188"/>
      <c r="ARZ1" s="188"/>
      <c r="ASA1" s="188"/>
      <c r="ASB1" s="188"/>
      <c r="ASC1" s="188"/>
      <c r="ASD1" s="188"/>
      <c r="ASE1" s="188"/>
      <c r="ASF1" s="188"/>
      <c r="ASG1" s="188"/>
      <c r="ASH1" s="188"/>
      <c r="ASI1" s="188"/>
      <c r="ASJ1" s="188"/>
      <c r="ASK1" s="188"/>
      <c r="ASL1" s="188"/>
      <c r="ASM1" s="188"/>
      <c r="ASN1" s="188"/>
      <c r="ASO1" s="188"/>
      <c r="ASP1" s="188"/>
      <c r="ASQ1" s="188"/>
      <c r="ASR1" s="188"/>
      <c r="ASS1" s="188"/>
      <c r="AST1" s="188"/>
      <c r="ASU1" s="188"/>
      <c r="ASV1" s="188"/>
      <c r="ASW1" s="188"/>
      <c r="ASX1" s="188"/>
      <c r="ASY1" s="188"/>
      <c r="ASZ1" s="188"/>
      <c r="ATA1" s="188"/>
      <c r="ATB1" s="188"/>
      <c r="ATC1" s="188"/>
      <c r="ATD1" s="188"/>
      <c r="ATE1" s="188"/>
      <c r="ATF1" s="188"/>
      <c r="ATG1" s="188"/>
      <c r="ATH1" s="188"/>
      <c r="ATI1" s="188"/>
      <c r="ATJ1" s="188"/>
      <c r="ATK1" s="188"/>
      <c r="ATL1" s="188"/>
      <c r="ATM1" s="188"/>
      <c r="ATN1" s="188"/>
      <c r="ATO1" s="188"/>
      <c r="ATP1" s="188"/>
      <c r="ATQ1" s="188"/>
      <c r="ATR1" s="188"/>
      <c r="ATS1" s="188"/>
      <c r="ATT1" s="188"/>
      <c r="ATU1" s="188"/>
      <c r="ATV1" s="188"/>
      <c r="ATW1" s="188"/>
      <c r="ATX1" s="188"/>
      <c r="ATY1" s="188"/>
      <c r="ATZ1" s="188"/>
      <c r="AUA1" s="188"/>
      <c r="AUB1" s="188"/>
      <c r="AUC1" s="188"/>
      <c r="AUD1" s="188"/>
      <c r="AUE1" s="188"/>
      <c r="AUF1" s="188"/>
      <c r="AUG1" s="188"/>
      <c r="AUH1" s="188"/>
      <c r="AUI1" s="188"/>
      <c r="AUJ1" s="188"/>
      <c r="AUK1" s="188"/>
      <c r="AUL1" s="188"/>
      <c r="AUM1" s="188"/>
      <c r="AUN1" s="188"/>
      <c r="AUO1" s="188"/>
      <c r="AUP1" s="188"/>
      <c r="AUQ1" s="188"/>
      <c r="AUR1" s="188"/>
      <c r="AUS1" s="188"/>
      <c r="AUT1" s="188"/>
      <c r="AUU1" s="188"/>
      <c r="AUV1" s="188"/>
      <c r="AUW1" s="188"/>
      <c r="AUX1" s="188"/>
      <c r="AUY1" s="188"/>
      <c r="AUZ1" s="188"/>
      <c r="AVA1" s="188"/>
      <c r="AVB1" s="188"/>
      <c r="AVC1" s="188"/>
      <c r="AVD1" s="188"/>
      <c r="AVE1" s="188"/>
      <c r="AVF1" s="188"/>
      <c r="AVG1" s="188"/>
      <c r="AVH1" s="188"/>
      <c r="AVI1" s="188"/>
      <c r="AVJ1" s="188"/>
      <c r="AVK1" s="188"/>
      <c r="AVL1" s="188"/>
      <c r="AVM1" s="188"/>
      <c r="AVN1" s="188"/>
      <c r="AVO1" s="188"/>
      <c r="AVP1" s="188"/>
      <c r="AVQ1" s="188"/>
      <c r="AVR1" s="188"/>
      <c r="AVS1" s="188"/>
      <c r="AVT1" s="188"/>
      <c r="AVU1" s="188"/>
      <c r="AVV1" s="188"/>
      <c r="AVW1" s="188"/>
      <c r="AVX1" s="188"/>
      <c r="AVY1" s="188"/>
      <c r="AVZ1" s="188"/>
      <c r="AWA1" s="188"/>
      <c r="AWB1" s="188"/>
      <c r="AWC1" s="188"/>
      <c r="AWD1" s="188"/>
      <c r="AWE1" s="188"/>
      <c r="AWF1" s="188"/>
      <c r="AWG1" s="188"/>
      <c r="AWH1" s="188"/>
      <c r="AWI1" s="188"/>
      <c r="AWJ1" s="188"/>
      <c r="AWK1" s="188"/>
      <c r="AWL1" s="188"/>
      <c r="AWM1" s="188"/>
      <c r="AWN1" s="188"/>
      <c r="AWO1" s="188"/>
      <c r="AWP1" s="188"/>
      <c r="AWQ1" s="188"/>
      <c r="AWR1" s="188"/>
      <c r="AWS1" s="188"/>
      <c r="AWT1" s="188"/>
      <c r="AWU1" s="188"/>
      <c r="AWV1" s="188"/>
      <c r="AWW1" s="188"/>
      <c r="AWX1" s="188"/>
      <c r="AWY1" s="188"/>
      <c r="AWZ1" s="188"/>
      <c r="AXA1" s="188"/>
      <c r="AXB1" s="188"/>
      <c r="AXC1" s="188"/>
      <c r="AXD1" s="188"/>
      <c r="AXE1" s="188"/>
      <c r="AXF1" s="188"/>
      <c r="AXG1" s="188"/>
      <c r="AXH1" s="188"/>
      <c r="AXI1" s="188"/>
      <c r="AXJ1" s="188"/>
      <c r="AXK1" s="188"/>
      <c r="AXL1" s="188"/>
      <c r="AXM1" s="188"/>
      <c r="AXN1" s="188"/>
      <c r="AXO1" s="188"/>
      <c r="AXP1" s="188"/>
      <c r="AXQ1" s="188"/>
      <c r="AXR1" s="188"/>
      <c r="AXS1" s="188"/>
      <c r="AXT1" s="188"/>
      <c r="AXU1" s="188"/>
      <c r="AXV1" s="188"/>
      <c r="AXW1" s="188"/>
      <c r="AXX1" s="188"/>
      <c r="AXY1" s="188"/>
      <c r="AXZ1" s="188"/>
      <c r="AYA1" s="188"/>
      <c r="AYB1" s="188"/>
      <c r="AYC1" s="188"/>
      <c r="AYD1" s="188"/>
      <c r="AYE1" s="188"/>
      <c r="AYF1" s="188"/>
      <c r="AYG1" s="188"/>
      <c r="AYH1" s="188"/>
      <c r="AYI1" s="188"/>
      <c r="AYJ1" s="188"/>
      <c r="AYK1" s="188"/>
      <c r="AYL1" s="188"/>
      <c r="AYM1" s="188"/>
      <c r="AYN1" s="188"/>
      <c r="AYO1" s="188"/>
      <c r="AYP1" s="188"/>
      <c r="AYQ1" s="188"/>
      <c r="AYR1" s="188"/>
      <c r="AYS1" s="188"/>
      <c r="AYT1" s="188"/>
      <c r="AYU1" s="188"/>
      <c r="AYV1" s="188"/>
      <c r="AYW1" s="188"/>
      <c r="AYX1" s="188"/>
      <c r="AYY1" s="188"/>
      <c r="AYZ1" s="188"/>
      <c r="AZA1" s="188"/>
      <c r="AZB1" s="188"/>
      <c r="AZC1" s="188"/>
      <c r="AZD1" s="188"/>
      <c r="AZE1" s="188"/>
      <c r="AZF1" s="188"/>
      <c r="AZG1" s="188"/>
      <c r="AZH1" s="188"/>
      <c r="AZI1" s="188"/>
      <c r="AZJ1" s="188"/>
      <c r="AZK1" s="188"/>
      <c r="AZL1" s="188"/>
      <c r="AZM1" s="188"/>
      <c r="AZN1" s="188"/>
      <c r="AZO1" s="188"/>
      <c r="AZP1" s="188"/>
      <c r="AZQ1" s="188"/>
      <c r="AZR1" s="188"/>
      <c r="AZS1" s="188"/>
      <c r="AZT1" s="188"/>
      <c r="AZU1" s="188"/>
      <c r="AZV1" s="188"/>
      <c r="AZW1" s="188"/>
      <c r="AZX1" s="188"/>
      <c r="AZY1" s="188"/>
      <c r="AZZ1" s="188"/>
      <c r="BAA1" s="188"/>
      <c r="BAB1" s="188"/>
      <c r="BAC1" s="188"/>
      <c r="BAD1" s="188"/>
      <c r="BAE1" s="188"/>
      <c r="BAF1" s="188"/>
      <c r="BAG1" s="188"/>
      <c r="BAH1" s="188"/>
      <c r="BAI1" s="188"/>
      <c r="BAJ1" s="188"/>
      <c r="BAK1" s="188"/>
      <c r="BAL1" s="188"/>
      <c r="BAM1" s="188"/>
      <c r="BAN1" s="188"/>
      <c r="BAO1" s="188"/>
      <c r="BAP1" s="188"/>
      <c r="BAQ1" s="188"/>
      <c r="BAR1" s="188"/>
      <c r="BAS1" s="188"/>
      <c r="BAT1" s="188"/>
      <c r="BAU1" s="188"/>
      <c r="BAV1" s="188"/>
      <c r="BAW1" s="188"/>
      <c r="BAX1" s="188"/>
      <c r="BAY1" s="188"/>
      <c r="BAZ1" s="188"/>
      <c r="BBA1" s="188"/>
      <c r="BBB1" s="188"/>
      <c r="BBC1" s="188"/>
      <c r="BBD1" s="188"/>
      <c r="BBE1" s="188"/>
      <c r="BBF1" s="188"/>
      <c r="BBG1" s="188"/>
      <c r="BBH1" s="188"/>
      <c r="BBI1" s="188"/>
      <c r="BBJ1" s="188"/>
      <c r="BBK1" s="188"/>
      <c r="BBL1" s="188"/>
      <c r="BBM1" s="188"/>
      <c r="BBN1" s="188"/>
      <c r="BBO1" s="188"/>
      <c r="BBP1" s="188"/>
      <c r="BBQ1" s="188"/>
      <c r="BBR1" s="188"/>
      <c r="BBS1" s="188"/>
      <c r="BBT1" s="188"/>
      <c r="BBU1" s="188"/>
      <c r="BBV1" s="188"/>
      <c r="BBW1" s="188"/>
      <c r="BBX1" s="188"/>
      <c r="BBY1" s="188"/>
      <c r="BBZ1" s="188"/>
      <c r="BCA1" s="188"/>
      <c r="BCB1" s="188"/>
      <c r="BCC1" s="188"/>
      <c r="BCD1" s="188"/>
      <c r="BCE1" s="188"/>
      <c r="BCF1" s="188"/>
      <c r="BCG1" s="188"/>
      <c r="BCH1" s="188"/>
      <c r="BCI1" s="188"/>
      <c r="BCJ1" s="188"/>
      <c r="BCK1" s="188"/>
      <c r="BCL1" s="188"/>
      <c r="BCM1" s="188"/>
      <c r="BCN1" s="188"/>
      <c r="BCO1" s="188"/>
      <c r="BCP1" s="188"/>
      <c r="BCQ1" s="188"/>
      <c r="BCR1" s="188"/>
      <c r="BCS1" s="188"/>
      <c r="BCT1" s="188"/>
      <c r="BCU1" s="188"/>
      <c r="BCV1" s="188"/>
      <c r="BCW1" s="188"/>
      <c r="BCX1" s="188"/>
      <c r="BCY1" s="188"/>
      <c r="BCZ1" s="188"/>
      <c r="BDA1" s="188"/>
      <c r="BDB1" s="188"/>
      <c r="BDC1" s="188"/>
      <c r="BDD1" s="188"/>
      <c r="BDE1" s="188"/>
      <c r="BDF1" s="188"/>
      <c r="BDG1" s="188"/>
      <c r="BDH1" s="188"/>
      <c r="BDI1" s="188"/>
      <c r="BDJ1" s="188"/>
      <c r="BDK1" s="188"/>
      <c r="BDL1" s="188"/>
      <c r="BDM1" s="188"/>
      <c r="BDN1" s="188"/>
      <c r="BDO1" s="188"/>
      <c r="BDP1" s="188"/>
      <c r="BDQ1" s="188"/>
      <c r="BDR1" s="188"/>
      <c r="BDS1" s="188"/>
      <c r="BDT1" s="188"/>
      <c r="BDU1" s="188"/>
      <c r="BDV1" s="188"/>
      <c r="BDW1" s="188"/>
      <c r="BDX1" s="188"/>
      <c r="BDY1" s="188"/>
      <c r="BDZ1" s="188"/>
      <c r="BEA1" s="188"/>
      <c r="BEB1" s="188"/>
      <c r="BEC1" s="188"/>
      <c r="BED1" s="188"/>
      <c r="BEE1" s="188"/>
      <c r="BEF1" s="188"/>
      <c r="BEG1" s="188"/>
      <c r="BEH1" s="188"/>
      <c r="BEI1" s="188"/>
      <c r="BEJ1" s="188"/>
      <c r="BEK1" s="188"/>
      <c r="BEL1" s="188"/>
      <c r="BEM1" s="188"/>
      <c r="BEN1" s="188"/>
      <c r="BEO1" s="188"/>
      <c r="BEP1" s="188"/>
      <c r="BEQ1" s="188"/>
      <c r="BER1" s="188"/>
      <c r="BES1" s="188"/>
      <c r="BET1" s="188"/>
      <c r="BEU1" s="188"/>
      <c r="BEV1" s="188"/>
      <c r="BEW1" s="188"/>
      <c r="BEX1" s="188"/>
      <c r="BEY1" s="188"/>
      <c r="BEZ1" s="188"/>
      <c r="BFA1" s="188"/>
      <c r="BFB1" s="188"/>
      <c r="BFC1" s="188"/>
      <c r="BFD1" s="188"/>
      <c r="BFE1" s="188"/>
      <c r="BFF1" s="188"/>
      <c r="BFG1" s="188"/>
      <c r="BFH1" s="188"/>
      <c r="BFI1" s="188"/>
      <c r="BFJ1" s="188"/>
      <c r="BFK1" s="188"/>
      <c r="BFL1" s="188"/>
      <c r="BFM1" s="188"/>
      <c r="BFN1" s="188"/>
      <c r="BFO1" s="188"/>
      <c r="BFP1" s="188"/>
      <c r="BFQ1" s="188"/>
      <c r="BFR1" s="188"/>
      <c r="BFS1" s="188"/>
      <c r="BFT1" s="188"/>
      <c r="BFU1" s="188"/>
      <c r="BFV1" s="188"/>
      <c r="BFW1" s="188"/>
      <c r="BFX1" s="188"/>
      <c r="BFY1" s="188"/>
      <c r="BFZ1" s="188"/>
      <c r="BGA1" s="188"/>
      <c r="BGB1" s="188"/>
      <c r="BGC1" s="188"/>
      <c r="BGD1" s="188"/>
      <c r="BGE1" s="188"/>
      <c r="BGF1" s="188"/>
      <c r="BGG1" s="188"/>
      <c r="BGH1" s="188"/>
      <c r="BGI1" s="188"/>
      <c r="BGJ1" s="188"/>
      <c r="BGK1" s="188"/>
      <c r="BGL1" s="188"/>
      <c r="BGM1" s="188"/>
      <c r="BGN1" s="188"/>
      <c r="BGO1" s="188"/>
      <c r="BGP1" s="188"/>
      <c r="BGQ1" s="188"/>
      <c r="BGR1" s="188"/>
      <c r="BGS1" s="188"/>
      <c r="BGT1" s="188"/>
      <c r="BGU1" s="188"/>
      <c r="BGV1" s="188"/>
      <c r="BGW1" s="188"/>
      <c r="BGX1" s="188"/>
      <c r="BGY1" s="188"/>
      <c r="BGZ1" s="188"/>
      <c r="BHA1" s="188"/>
      <c r="BHB1" s="188"/>
      <c r="BHC1" s="188"/>
      <c r="BHD1" s="188"/>
      <c r="BHE1" s="188"/>
      <c r="BHF1" s="188"/>
      <c r="BHG1" s="188"/>
      <c r="BHH1" s="188"/>
      <c r="BHI1" s="188"/>
      <c r="BHJ1" s="188"/>
      <c r="BHK1" s="188"/>
      <c r="BHL1" s="188"/>
      <c r="BHM1" s="188"/>
      <c r="BHN1" s="188"/>
      <c r="BHO1" s="188"/>
      <c r="BHP1" s="188"/>
      <c r="BHQ1" s="188"/>
      <c r="BHR1" s="188"/>
      <c r="BHS1" s="188"/>
      <c r="BHT1" s="188"/>
      <c r="BHU1" s="188"/>
      <c r="BHV1" s="188"/>
      <c r="BHW1" s="188"/>
      <c r="BHX1" s="188"/>
      <c r="BHY1" s="188"/>
      <c r="BHZ1" s="188"/>
      <c r="BIA1" s="188"/>
      <c r="BIB1" s="188"/>
      <c r="BIC1" s="188"/>
      <c r="BID1" s="188"/>
      <c r="BIE1" s="188"/>
      <c r="BIF1" s="188"/>
      <c r="BIG1" s="188"/>
      <c r="BIH1" s="188"/>
      <c r="BII1" s="188"/>
      <c r="BIJ1" s="188"/>
      <c r="BIK1" s="188"/>
      <c r="BIL1" s="188"/>
      <c r="BIM1" s="188"/>
      <c r="BIN1" s="188"/>
      <c r="BIO1" s="188"/>
      <c r="BIP1" s="188"/>
      <c r="BIQ1" s="188"/>
      <c r="BIR1" s="188"/>
      <c r="BIS1" s="188"/>
      <c r="BIT1" s="188"/>
      <c r="BIU1" s="188"/>
      <c r="BIV1" s="188"/>
      <c r="BIW1" s="188"/>
      <c r="BIX1" s="188"/>
      <c r="BIY1" s="188"/>
      <c r="BIZ1" s="188"/>
      <c r="BJA1" s="188"/>
      <c r="BJB1" s="188"/>
      <c r="BJC1" s="188"/>
      <c r="BJD1" s="188"/>
      <c r="BJE1" s="188"/>
      <c r="BJF1" s="188"/>
      <c r="BJG1" s="188"/>
      <c r="BJH1" s="188"/>
      <c r="BJI1" s="188"/>
      <c r="BJJ1" s="188"/>
      <c r="BJK1" s="188"/>
      <c r="BJL1" s="188"/>
      <c r="BJM1" s="188"/>
      <c r="BJN1" s="188"/>
      <c r="BJO1" s="188"/>
      <c r="BJP1" s="188"/>
      <c r="BJQ1" s="188"/>
      <c r="BJR1" s="188"/>
      <c r="BJS1" s="188"/>
      <c r="BJT1" s="188"/>
      <c r="BJU1" s="188"/>
      <c r="BJV1" s="188"/>
      <c r="BJW1" s="188"/>
      <c r="BJX1" s="188"/>
      <c r="BJY1" s="188"/>
      <c r="BJZ1" s="188"/>
      <c r="BKA1" s="188"/>
      <c r="BKB1" s="188"/>
      <c r="BKC1" s="188"/>
      <c r="BKD1" s="188"/>
      <c r="BKE1" s="188"/>
      <c r="BKF1" s="188"/>
      <c r="BKG1" s="188"/>
      <c r="BKH1" s="188"/>
      <c r="BKI1" s="188"/>
      <c r="BKJ1" s="188"/>
      <c r="BKK1" s="188"/>
      <c r="BKL1" s="188"/>
      <c r="BKM1" s="188"/>
      <c r="BKN1" s="188"/>
      <c r="BKO1" s="188"/>
      <c r="BKP1" s="188"/>
      <c r="BKQ1" s="188"/>
      <c r="BKR1" s="188"/>
      <c r="BKS1" s="188"/>
      <c r="BKT1" s="188"/>
      <c r="BKU1" s="188"/>
      <c r="BKV1" s="188"/>
      <c r="BKW1" s="188"/>
      <c r="BKX1" s="188"/>
      <c r="BKY1" s="188"/>
      <c r="BKZ1" s="188"/>
      <c r="BLA1" s="188"/>
      <c r="BLB1" s="188"/>
      <c r="BLC1" s="188"/>
      <c r="BLD1" s="188"/>
      <c r="BLE1" s="188"/>
      <c r="BLF1" s="188"/>
      <c r="BLG1" s="188"/>
      <c r="BLH1" s="188"/>
      <c r="BLI1" s="188"/>
      <c r="BLJ1" s="188"/>
      <c r="BLK1" s="188"/>
      <c r="BLL1" s="188"/>
      <c r="BLM1" s="188"/>
      <c r="BLN1" s="188"/>
      <c r="BLO1" s="188"/>
      <c r="BLP1" s="188"/>
      <c r="BLQ1" s="188"/>
      <c r="BLR1" s="188"/>
      <c r="BLS1" s="188"/>
      <c r="BLT1" s="188"/>
      <c r="BLU1" s="188"/>
      <c r="BLV1" s="188"/>
      <c r="BLW1" s="188"/>
      <c r="BLX1" s="188"/>
      <c r="BLY1" s="188"/>
      <c r="BLZ1" s="188"/>
      <c r="BMA1" s="188"/>
      <c r="BMB1" s="188"/>
      <c r="BMC1" s="188"/>
      <c r="BMD1" s="188"/>
      <c r="BME1" s="188"/>
      <c r="BMF1" s="188"/>
      <c r="BMG1" s="188"/>
      <c r="BMH1" s="188"/>
      <c r="BMI1" s="188"/>
      <c r="BMJ1" s="188"/>
      <c r="BMK1" s="188"/>
      <c r="BML1" s="188"/>
      <c r="BMM1" s="188"/>
      <c r="BMN1" s="188"/>
      <c r="BMO1" s="188"/>
      <c r="BMP1" s="188"/>
      <c r="BMQ1" s="188"/>
      <c r="BMR1" s="188"/>
      <c r="BMS1" s="188"/>
      <c r="BMT1" s="188"/>
      <c r="BMU1" s="188"/>
      <c r="BMV1" s="188"/>
      <c r="BMW1" s="188"/>
      <c r="BMX1" s="188"/>
      <c r="BMY1" s="188"/>
      <c r="BMZ1" s="188"/>
      <c r="BNA1" s="188"/>
      <c r="BNB1" s="188"/>
      <c r="BNC1" s="188"/>
      <c r="BND1" s="188"/>
      <c r="BNE1" s="188"/>
      <c r="BNF1" s="188"/>
      <c r="BNG1" s="188"/>
      <c r="BNH1" s="188"/>
      <c r="BNI1" s="188"/>
      <c r="BNJ1" s="188"/>
      <c r="BNK1" s="188"/>
      <c r="BNL1" s="188"/>
      <c r="BNM1" s="188"/>
      <c r="BNN1" s="188"/>
      <c r="BNO1" s="188"/>
      <c r="BNP1" s="188"/>
      <c r="BNQ1" s="188"/>
      <c r="BNR1" s="188"/>
      <c r="BNS1" s="188"/>
      <c r="BNT1" s="188"/>
      <c r="BNU1" s="188"/>
      <c r="BNV1" s="188"/>
      <c r="BNW1" s="188"/>
      <c r="BNX1" s="188"/>
      <c r="BNY1" s="188"/>
      <c r="BNZ1" s="188"/>
      <c r="BOA1" s="188"/>
      <c r="BOB1" s="188"/>
      <c r="BOC1" s="188"/>
      <c r="BOD1" s="188"/>
      <c r="BOE1" s="188"/>
      <c r="BOF1" s="188"/>
      <c r="BOG1" s="188"/>
      <c r="BOH1" s="188"/>
      <c r="BOI1" s="188"/>
      <c r="BOJ1" s="188"/>
      <c r="BOK1" s="188"/>
      <c r="BOL1" s="188"/>
      <c r="BOM1" s="188"/>
      <c r="BON1" s="188"/>
      <c r="BOO1" s="188"/>
      <c r="BOP1" s="188"/>
      <c r="BOQ1" s="188"/>
      <c r="BOR1" s="188"/>
      <c r="BOS1" s="188"/>
      <c r="BOT1" s="188"/>
      <c r="BOU1" s="188"/>
      <c r="BOV1" s="188"/>
      <c r="BOW1" s="188"/>
      <c r="BOX1" s="188"/>
      <c r="BOY1" s="188"/>
      <c r="BOZ1" s="188"/>
      <c r="BPA1" s="188"/>
      <c r="BPB1" s="188"/>
      <c r="BPC1" s="188"/>
      <c r="BPD1" s="188"/>
      <c r="BPE1" s="188"/>
      <c r="BPF1" s="188"/>
      <c r="BPG1" s="188"/>
      <c r="BPH1" s="188"/>
      <c r="BPI1" s="188"/>
      <c r="BPJ1" s="188"/>
      <c r="BPK1" s="188"/>
      <c r="BPL1" s="188"/>
      <c r="BPM1" s="188"/>
      <c r="BPN1" s="188"/>
      <c r="BPO1" s="188"/>
      <c r="BPP1" s="188"/>
      <c r="BPQ1" s="188"/>
      <c r="BPR1" s="188"/>
      <c r="BPS1" s="188"/>
      <c r="BPT1" s="188"/>
      <c r="BPU1" s="188"/>
      <c r="BPV1" s="188"/>
      <c r="BPW1" s="188"/>
      <c r="BPX1" s="188"/>
      <c r="BPY1" s="188"/>
      <c r="BPZ1" s="188"/>
      <c r="BQA1" s="188"/>
      <c r="BQB1" s="188"/>
      <c r="BQC1" s="188"/>
      <c r="BQD1" s="188"/>
      <c r="BQE1" s="188"/>
      <c r="BQF1" s="188"/>
      <c r="BQG1" s="188"/>
      <c r="BQH1" s="188"/>
      <c r="BQI1" s="188"/>
      <c r="BQJ1" s="188"/>
      <c r="BQK1" s="188"/>
      <c r="BQL1" s="188"/>
      <c r="BQM1" s="188"/>
      <c r="BQN1" s="188"/>
      <c r="BQO1" s="188"/>
      <c r="BQP1" s="188"/>
      <c r="BQQ1" s="188"/>
      <c r="BQR1" s="188"/>
      <c r="BQS1" s="188"/>
      <c r="BQT1" s="188"/>
      <c r="BQU1" s="188"/>
      <c r="BQV1" s="188"/>
      <c r="BQW1" s="188"/>
      <c r="BQX1" s="188"/>
      <c r="BQY1" s="188"/>
      <c r="BQZ1" s="188"/>
      <c r="BRA1" s="188"/>
      <c r="BRB1" s="188"/>
      <c r="BRC1" s="188"/>
      <c r="BRD1" s="188"/>
      <c r="BRE1" s="188"/>
      <c r="BRF1" s="188"/>
      <c r="BRG1" s="188"/>
      <c r="BRH1" s="188"/>
      <c r="BRI1" s="188"/>
      <c r="BRJ1" s="188"/>
      <c r="BRK1" s="188"/>
      <c r="BRL1" s="188"/>
      <c r="BRM1" s="188"/>
      <c r="BRN1" s="188"/>
      <c r="BRO1" s="188"/>
      <c r="BRP1" s="188"/>
      <c r="BRQ1" s="188"/>
      <c r="BRR1" s="188"/>
      <c r="BRS1" s="188"/>
      <c r="BRT1" s="188"/>
      <c r="BRU1" s="188"/>
      <c r="BRV1" s="188"/>
      <c r="BRW1" s="188"/>
      <c r="BRX1" s="188"/>
      <c r="BRY1" s="188"/>
      <c r="BRZ1" s="188"/>
      <c r="BSA1" s="188"/>
      <c r="BSB1" s="188"/>
      <c r="BSC1" s="188"/>
      <c r="BSD1" s="188"/>
      <c r="BSE1" s="188"/>
      <c r="BSF1" s="188"/>
      <c r="BSG1" s="188"/>
      <c r="BSH1" s="188"/>
      <c r="BSI1" s="188"/>
      <c r="BSJ1" s="188"/>
      <c r="BSK1" s="188"/>
      <c r="BSL1" s="188"/>
      <c r="BSM1" s="188"/>
      <c r="BSN1" s="188"/>
      <c r="BSO1" s="188"/>
      <c r="BSP1" s="188"/>
      <c r="BSQ1" s="188"/>
      <c r="BSR1" s="188"/>
      <c r="BSS1" s="188"/>
      <c r="BST1" s="188"/>
      <c r="BSU1" s="188"/>
      <c r="BSV1" s="188"/>
      <c r="BSW1" s="188"/>
      <c r="BSX1" s="188"/>
      <c r="BSY1" s="188"/>
      <c r="BSZ1" s="188"/>
      <c r="BTA1" s="188"/>
      <c r="BTB1" s="188"/>
      <c r="BTC1" s="188"/>
      <c r="BTD1" s="188"/>
      <c r="BTE1" s="188"/>
      <c r="BTF1" s="188"/>
      <c r="BTG1" s="188"/>
      <c r="BTH1" s="188"/>
      <c r="BTI1" s="188"/>
      <c r="BTJ1" s="188"/>
      <c r="BTK1" s="188"/>
      <c r="BTL1" s="188"/>
      <c r="BTM1" s="188"/>
      <c r="BTN1" s="188"/>
      <c r="BTO1" s="188"/>
      <c r="BTP1" s="188"/>
      <c r="BTQ1" s="188"/>
      <c r="BTR1" s="188"/>
      <c r="BTS1" s="188"/>
      <c r="BTT1" s="188"/>
      <c r="BTU1" s="188"/>
      <c r="BTV1" s="188"/>
      <c r="BTW1" s="188"/>
      <c r="BTX1" s="188"/>
      <c r="BTY1" s="188"/>
      <c r="BTZ1" s="188"/>
      <c r="BUA1" s="188"/>
      <c r="BUB1" s="188"/>
      <c r="BUC1" s="188"/>
      <c r="BUD1" s="188"/>
      <c r="BUE1" s="188"/>
      <c r="BUF1" s="188"/>
      <c r="BUG1" s="188"/>
      <c r="BUH1" s="188"/>
      <c r="BUI1" s="188"/>
      <c r="BUJ1" s="188"/>
      <c r="BUK1" s="188"/>
      <c r="BUL1" s="188"/>
      <c r="BUM1" s="188"/>
      <c r="BUN1" s="188"/>
      <c r="BUO1" s="188"/>
      <c r="BUP1" s="188"/>
      <c r="BUQ1" s="188"/>
      <c r="BUR1" s="188"/>
      <c r="BUS1" s="188"/>
      <c r="BUT1" s="188"/>
      <c r="BUU1" s="188"/>
      <c r="BUV1" s="188"/>
      <c r="BUW1" s="188"/>
      <c r="BUX1" s="188"/>
      <c r="BUY1" s="188"/>
      <c r="BUZ1" s="188"/>
      <c r="BVA1" s="188"/>
      <c r="BVB1" s="188"/>
      <c r="BVC1" s="188"/>
      <c r="BVD1" s="188"/>
      <c r="BVE1" s="188"/>
      <c r="BVF1" s="188"/>
      <c r="BVG1" s="188"/>
      <c r="BVH1" s="188"/>
      <c r="BVI1" s="188"/>
      <c r="BVJ1" s="188"/>
      <c r="BVK1" s="188"/>
      <c r="BVL1" s="188"/>
      <c r="BVM1" s="188"/>
      <c r="BVN1" s="188"/>
      <c r="BVO1" s="188"/>
      <c r="BVP1" s="188"/>
      <c r="BVQ1" s="188"/>
      <c r="BVR1" s="188"/>
      <c r="BVS1" s="188"/>
      <c r="BVT1" s="188"/>
      <c r="BVU1" s="188"/>
      <c r="BVV1" s="188"/>
      <c r="BVW1" s="188"/>
      <c r="BVX1" s="188"/>
      <c r="BVY1" s="188"/>
      <c r="BVZ1" s="188"/>
      <c r="BWA1" s="188"/>
      <c r="BWB1" s="188"/>
      <c r="BWC1" s="188"/>
      <c r="BWD1" s="188"/>
      <c r="BWE1" s="188"/>
      <c r="BWF1" s="188"/>
      <c r="BWG1" s="188"/>
      <c r="BWH1" s="188"/>
      <c r="BWI1" s="188"/>
      <c r="BWJ1" s="188"/>
      <c r="BWK1" s="188"/>
      <c r="BWL1" s="188"/>
      <c r="BWM1" s="188"/>
      <c r="BWN1" s="188"/>
      <c r="BWO1" s="188"/>
      <c r="BWP1" s="188"/>
      <c r="BWQ1" s="188"/>
      <c r="BWR1" s="188"/>
      <c r="BWS1" s="188"/>
      <c r="BWT1" s="188"/>
      <c r="BWU1" s="188"/>
      <c r="BWV1" s="188"/>
      <c r="BWW1" s="188"/>
      <c r="BWX1" s="188"/>
      <c r="BWY1" s="188"/>
      <c r="BWZ1" s="188"/>
      <c r="BXA1" s="188"/>
      <c r="BXB1" s="188"/>
      <c r="BXC1" s="188"/>
      <c r="BXD1" s="188"/>
      <c r="BXE1" s="188"/>
      <c r="BXF1" s="188"/>
      <c r="BXG1" s="188"/>
      <c r="BXH1" s="188"/>
      <c r="BXI1" s="188"/>
      <c r="BXJ1" s="188"/>
      <c r="BXK1" s="188"/>
      <c r="BXL1" s="188"/>
      <c r="BXM1" s="188"/>
      <c r="BXN1" s="188"/>
      <c r="BXO1" s="188"/>
      <c r="BXP1" s="188"/>
      <c r="BXQ1" s="188"/>
      <c r="BXR1" s="188"/>
      <c r="BXS1" s="188"/>
      <c r="BXT1" s="188"/>
      <c r="BXU1" s="188"/>
      <c r="BXV1" s="188"/>
      <c r="BXW1" s="188"/>
      <c r="BXX1" s="188"/>
      <c r="BXY1" s="188"/>
      <c r="BXZ1" s="188"/>
      <c r="BYA1" s="188"/>
      <c r="BYB1" s="188"/>
      <c r="BYC1" s="188"/>
      <c r="BYD1" s="188"/>
      <c r="BYE1" s="188"/>
      <c r="BYF1" s="188"/>
      <c r="BYG1" s="188"/>
      <c r="BYH1" s="188"/>
      <c r="BYI1" s="188"/>
      <c r="BYJ1" s="188"/>
      <c r="BYK1" s="188"/>
      <c r="BYL1" s="188"/>
      <c r="BYM1" s="188"/>
      <c r="BYN1" s="188"/>
      <c r="BYO1" s="188"/>
      <c r="BYP1" s="188"/>
      <c r="BYQ1" s="188"/>
      <c r="BYR1" s="188"/>
      <c r="BYS1" s="188"/>
      <c r="BYT1" s="188"/>
      <c r="BYU1" s="188"/>
      <c r="BYV1" s="188"/>
      <c r="BYW1" s="188"/>
      <c r="BYX1" s="188"/>
      <c r="BYY1" s="188"/>
      <c r="BYZ1" s="188"/>
      <c r="BZA1" s="188"/>
      <c r="BZB1" s="188"/>
      <c r="BZC1" s="188"/>
      <c r="BZD1" s="188"/>
      <c r="BZE1" s="188"/>
      <c r="BZF1" s="188"/>
      <c r="BZG1" s="188"/>
      <c r="BZH1" s="188"/>
      <c r="BZI1" s="188"/>
      <c r="BZJ1" s="188"/>
      <c r="BZK1" s="188"/>
      <c r="BZL1" s="188"/>
      <c r="BZM1" s="188"/>
      <c r="BZN1" s="188"/>
      <c r="BZO1" s="188"/>
      <c r="BZP1" s="188"/>
      <c r="BZQ1" s="188"/>
      <c r="BZR1" s="188"/>
      <c r="BZS1" s="188"/>
      <c r="BZT1" s="188"/>
      <c r="BZU1" s="188"/>
      <c r="BZV1" s="188"/>
      <c r="BZW1" s="188"/>
      <c r="BZX1" s="188"/>
      <c r="BZY1" s="188"/>
      <c r="BZZ1" s="188"/>
      <c r="CAA1" s="188"/>
      <c r="CAB1" s="188"/>
      <c r="CAC1" s="188"/>
      <c r="CAD1" s="188"/>
      <c r="CAE1" s="188"/>
      <c r="CAF1" s="188"/>
      <c r="CAG1" s="188"/>
      <c r="CAH1" s="188"/>
      <c r="CAI1" s="188"/>
      <c r="CAJ1" s="188"/>
      <c r="CAK1" s="188"/>
      <c r="CAL1" s="188"/>
      <c r="CAM1" s="188"/>
      <c r="CAN1" s="188"/>
      <c r="CAO1" s="188"/>
      <c r="CAP1" s="188"/>
      <c r="CAQ1" s="188"/>
      <c r="CAR1" s="188"/>
      <c r="CAS1" s="188"/>
      <c r="CAT1" s="188"/>
      <c r="CAU1" s="188"/>
      <c r="CAV1" s="188"/>
      <c r="CAW1" s="188"/>
      <c r="CAX1" s="188"/>
      <c r="CAY1" s="188"/>
      <c r="CAZ1" s="188"/>
      <c r="CBA1" s="188"/>
      <c r="CBB1" s="188"/>
      <c r="CBC1" s="188"/>
      <c r="CBD1" s="188"/>
      <c r="CBE1" s="188"/>
      <c r="CBF1" s="188"/>
      <c r="CBG1" s="188"/>
      <c r="CBH1" s="188"/>
      <c r="CBI1" s="188"/>
      <c r="CBJ1" s="188"/>
      <c r="CBK1" s="188"/>
      <c r="CBL1" s="188"/>
      <c r="CBM1" s="188"/>
      <c r="CBN1" s="188"/>
      <c r="CBO1" s="188"/>
      <c r="CBP1" s="188"/>
      <c r="CBQ1" s="188"/>
      <c r="CBR1" s="188"/>
      <c r="CBS1" s="188"/>
      <c r="CBT1" s="188"/>
      <c r="CBU1" s="188"/>
      <c r="CBV1" s="188"/>
      <c r="CBW1" s="188"/>
      <c r="CBX1" s="188"/>
      <c r="CBY1" s="188"/>
      <c r="CBZ1" s="188"/>
      <c r="CCA1" s="188"/>
      <c r="CCB1" s="188"/>
      <c r="CCC1" s="188"/>
      <c r="CCD1" s="188"/>
      <c r="CCE1" s="188"/>
      <c r="CCF1" s="188"/>
      <c r="CCG1" s="188"/>
      <c r="CCH1" s="188"/>
      <c r="CCI1" s="188"/>
      <c r="CCJ1" s="188"/>
      <c r="CCK1" s="188"/>
      <c r="CCL1" s="188"/>
      <c r="CCM1" s="188"/>
      <c r="CCN1" s="188"/>
      <c r="CCO1" s="188"/>
      <c r="CCP1" s="188"/>
      <c r="CCQ1" s="188"/>
      <c r="CCR1" s="188"/>
      <c r="CCS1" s="188"/>
      <c r="CCT1" s="188"/>
      <c r="CCU1" s="188"/>
      <c r="CCV1" s="188"/>
      <c r="CCW1" s="188"/>
      <c r="CCX1" s="188"/>
      <c r="CCY1" s="188"/>
      <c r="CCZ1" s="188"/>
      <c r="CDA1" s="188"/>
      <c r="CDB1" s="188"/>
      <c r="CDC1" s="188"/>
      <c r="CDD1" s="188"/>
      <c r="CDE1" s="188"/>
      <c r="CDF1" s="188"/>
      <c r="CDG1" s="188"/>
      <c r="CDH1" s="188"/>
      <c r="CDI1" s="188"/>
      <c r="CDJ1" s="188"/>
      <c r="CDK1" s="188"/>
      <c r="CDL1" s="188"/>
      <c r="CDM1" s="188"/>
      <c r="CDN1" s="188"/>
      <c r="CDO1" s="188"/>
      <c r="CDP1" s="188"/>
      <c r="CDQ1" s="188"/>
      <c r="CDR1" s="188"/>
      <c r="CDS1" s="188"/>
      <c r="CDT1" s="188"/>
      <c r="CDU1" s="188"/>
      <c r="CDV1" s="188"/>
      <c r="CDW1" s="188"/>
      <c r="CDX1" s="188"/>
      <c r="CDY1" s="188"/>
      <c r="CDZ1" s="188"/>
      <c r="CEA1" s="188"/>
      <c r="CEB1" s="188"/>
      <c r="CEC1" s="188"/>
      <c r="CED1" s="188"/>
      <c r="CEE1" s="188"/>
      <c r="CEF1" s="188"/>
      <c r="CEG1" s="188"/>
      <c r="CEH1" s="188"/>
      <c r="CEI1" s="188"/>
      <c r="CEJ1" s="188"/>
      <c r="CEK1" s="188"/>
      <c r="CEL1" s="188"/>
      <c r="CEM1" s="188"/>
      <c r="CEN1" s="188"/>
      <c r="CEO1" s="188"/>
      <c r="CEP1" s="188"/>
      <c r="CEQ1" s="188"/>
      <c r="CER1" s="188"/>
      <c r="CES1" s="188"/>
      <c r="CET1" s="188"/>
      <c r="CEU1" s="188"/>
      <c r="CEV1" s="188"/>
      <c r="CEW1" s="188"/>
      <c r="CEX1" s="188"/>
      <c r="CEY1" s="188"/>
      <c r="CEZ1" s="188"/>
      <c r="CFA1" s="188"/>
      <c r="CFB1" s="188"/>
      <c r="CFC1" s="188"/>
      <c r="CFD1" s="188"/>
      <c r="CFE1" s="188"/>
      <c r="CFF1" s="188"/>
      <c r="CFG1" s="188"/>
      <c r="CFH1" s="188"/>
      <c r="CFI1" s="188"/>
      <c r="CFJ1" s="188"/>
      <c r="CFK1" s="188"/>
      <c r="CFL1" s="188"/>
      <c r="CFM1" s="188"/>
      <c r="CFN1" s="188"/>
      <c r="CFO1" s="188"/>
      <c r="CFP1" s="188"/>
      <c r="CFQ1" s="188"/>
      <c r="CFR1" s="188"/>
      <c r="CFS1" s="188"/>
      <c r="CFT1" s="188"/>
      <c r="CFU1" s="188"/>
      <c r="CFV1" s="188"/>
      <c r="CFW1" s="188"/>
      <c r="CFX1" s="188"/>
      <c r="CFY1" s="188"/>
      <c r="CFZ1" s="188"/>
      <c r="CGA1" s="188"/>
      <c r="CGB1" s="188"/>
      <c r="CGC1" s="188"/>
      <c r="CGD1" s="188"/>
      <c r="CGE1" s="188"/>
      <c r="CGF1" s="188"/>
      <c r="CGG1" s="188"/>
      <c r="CGH1" s="188"/>
      <c r="CGI1" s="188"/>
      <c r="CGJ1" s="188"/>
      <c r="CGK1" s="188"/>
      <c r="CGL1" s="188"/>
      <c r="CGM1" s="188"/>
      <c r="CGN1" s="188"/>
      <c r="CGO1" s="188"/>
      <c r="CGP1" s="188"/>
      <c r="CGQ1" s="188"/>
      <c r="CGR1" s="188"/>
      <c r="CGS1" s="188"/>
      <c r="CGT1" s="188"/>
      <c r="CGU1" s="188"/>
      <c r="CGV1" s="188"/>
      <c r="CGW1" s="188"/>
      <c r="CGX1" s="188"/>
      <c r="CGY1" s="188"/>
      <c r="CGZ1" s="188"/>
      <c r="CHA1" s="188"/>
      <c r="CHB1" s="188"/>
      <c r="CHC1" s="188"/>
      <c r="CHD1" s="188"/>
      <c r="CHE1" s="188"/>
      <c r="CHF1" s="188"/>
      <c r="CHG1" s="188"/>
      <c r="CHH1" s="188"/>
      <c r="CHI1" s="188"/>
      <c r="CHJ1" s="188"/>
      <c r="CHK1" s="188"/>
      <c r="CHL1" s="188"/>
      <c r="CHM1" s="188"/>
      <c r="CHN1" s="188"/>
      <c r="CHO1" s="188"/>
      <c r="CHP1" s="188"/>
      <c r="CHQ1" s="188"/>
      <c r="CHR1" s="188"/>
      <c r="CHS1" s="188"/>
      <c r="CHT1" s="188"/>
      <c r="CHU1" s="188"/>
      <c r="CHV1" s="188"/>
      <c r="CHW1" s="188"/>
      <c r="CHX1" s="188"/>
      <c r="CHY1" s="188"/>
      <c r="CHZ1" s="188"/>
      <c r="CIA1" s="188"/>
      <c r="CIB1" s="188"/>
      <c r="CIC1" s="188"/>
      <c r="CID1" s="188"/>
      <c r="CIE1" s="188"/>
      <c r="CIF1" s="188"/>
      <c r="CIG1" s="188"/>
      <c r="CIH1" s="188"/>
      <c r="CII1" s="188"/>
      <c r="CIJ1" s="188"/>
      <c r="CIK1" s="188"/>
      <c r="CIL1" s="188"/>
      <c r="CIM1" s="188"/>
      <c r="CIN1" s="188"/>
      <c r="CIO1" s="188"/>
      <c r="CIP1" s="188"/>
      <c r="CIQ1" s="188"/>
      <c r="CIR1" s="188"/>
      <c r="CIS1" s="188"/>
      <c r="CIT1" s="188"/>
      <c r="CIU1" s="188"/>
      <c r="CIV1" s="188"/>
      <c r="CIW1" s="188"/>
      <c r="CIX1" s="188"/>
      <c r="CIY1" s="188"/>
      <c r="CIZ1" s="188"/>
      <c r="CJA1" s="188"/>
      <c r="CJB1" s="188"/>
      <c r="CJC1" s="188"/>
      <c r="CJD1" s="188"/>
      <c r="CJE1" s="188"/>
      <c r="CJF1" s="188"/>
      <c r="CJG1" s="188"/>
      <c r="CJH1" s="188"/>
      <c r="CJI1" s="188"/>
      <c r="CJJ1" s="188"/>
      <c r="CJK1" s="188"/>
      <c r="CJL1" s="188"/>
      <c r="CJM1" s="188"/>
      <c r="CJN1" s="188"/>
      <c r="CJO1" s="188"/>
      <c r="CJP1" s="188"/>
      <c r="CJQ1" s="188"/>
      <c r="CJR1" s="188"/>
      <c r="CJS1" s="188"/>
      <c r="CJT1" s="188"/>
      <c r="CJU1" s="188"/>
      <c r="CJV1" s="188"/>
      <c r="CJW1" s="188"/>
      <c r="CJX1" s="188"/>
      <c r="CJY1" s="188"/>
      <c r="CJZ1" s="188"/>
      <c r="CKA1" s="188"/>
      <c r="CKB1" s="188"/>
      <c r="CKC1" s="188"/>
      <c r="CKD1" s="188"/>
      <c r="CKE1" s="188"/>
      <c r="CKF1" s="188"/>
      <c r="CKG1" s="188"/>
      <c r="CKH1" s="188"/>
      <c r="CKI1" s="188"/>
      <c r="CKJ1" s="188"/>
      <c r="CKK1" s="188"/>
      <c r="CKL1" s="188"/>
      <c r="CKM1" s="188"/>
      <c r="CKN1" s="188"/>
      <c r="CKO1" s="188"/>
      <c r="CKP1" s="188"/>
      <c r="CKQ1" s="188"/>
      <c r="CKR1" s="188"/>
      <c r="CKS1" s="188"/>
      <c r="CKT1" s="188"/>
      <c r="CKU1" s="188"/>
      <c r="CKV1" s="188"/>
      <c r="CKW1" s="188"/>
      <c r="CKX1" s="188"/>
      <c r="CKY1" s="188"/>
      <c r="CKZ1" s="188"/>
      <c r="CLA1" s="188"/>
      <c r="CLB1" s="188"/>
      <c r="CLC1" s="188"/>
      <c r="CLD1" s="188"/>
      <c r="CLE1" s="188"/>
      <c r="CLF1" s="188"/>
      <c r="CLG1" s="188"/>
      <c r="CLH1" s="188"/>
      <c r="CLI1" s="188"/>
      <c r="CLJ1" s="188"/>
      <c r="CLK1" s="188"/>
      <c r="CLL1" s="188"/>
      <c r="CLM1" s="188"/>
      <c r="CLN1" s="188"/>
      <c r="CLO1" s="188"/>
      <c r="CLP1" s="188"/>
      <c r="CLQ1" s="188"/>
      <c r="CLR1" s="188"/>
      <c r="CLS1" s="188"/>
      <c r="CLT1" s="188"/>
      <c r="CLU1" s="188"/>
      <c r="CLV1" s="188"/>
      <c r="CLW1" s="188"/>
      <c r="CLX1" s="188"/>
      <c r="CLY1" s="188"/>
      <c r="CLZ1" s="188"/>
      <c r="CMA1" s="188"/>
      <c r="CMB1" s="188"/>
      <c r="CMC1" s="188"/>
      <c r="CMD1" s="188"/>
      <c r="CME1" s="188"/>
      <c r="CMF1" s="188"/>
      <c r="CMG1" s="188"/>
      <c r="CMH1" s="188"/>
      <c r="CMI1" s="188"/>
      <c r="CMJ1" s="188"/>
      <c r="CMK1" s="188"/>
      <c r="CML1" s="188"/>
      <c r="CMM1" s="188"/>
      <c r="CMN1" s="188"/>
      <c r="CMO1" s="188"/>
      <c r="CMP1" s="188"/>
      <c r="CMQ1" s="188"/>
      <c r="CMR1" s="188"/>
      <c r="CMS1" s="188"/>
      <c r="CMT1" s="188"/>
      <c r="CMU1" s="188"/>
      <c r="CMV1" s="188"/>
      <c r="CMW1" s="188"/>
      <c r="CMX1" s="188"/>
      <c r="CMY1" s="188"/>
      <c r="CMZ1" s="188"/>
      <c r="CNA1" s="188"/>
      <c r="CNB1" s="188"/>
      <c r="CNC1" s="188"/>
      <c r="CND1" s="188"/>
      <c r="CNE1" s="188"/>
      <c r="CNF1" s="188"/>
      <c r="CNG1" s="188"/>
      <c r="CNH1" s="188"/>
      <c r="CNI1" s="188"/>
      <c r="CNJ1" s="188"/>
      <c r="CNK1" s="188"/>
      <c r="CNL1" s="188"/>
      <c r="CNM1" s="188"/>
      <c r="CNN1" s="188"/>
      <c r="CNO1" s="188"/>
      <c r="CNP1" s="188"/>
      <c r="CNQ1" s="188"/>
      <c r="CNR1" s="188"/>
      <c r="CNS1" s="188"/>
      <c r="CNT1" s="188"/>
      <c r="CNU1" s="188"/>
      <c r="CNV1" s="188"/>
      <c r="CNW1" s="188"/>
      <c r="CNX1" s="188"/>
      <c r="CNY1" s="188"/>
      <c r="CNZ1" s="188"/>
      <c r="COA1" s="188"/>
      <c r="COB1" s="188"/>
      <c r="COC1" s="188"/>
      <c r="COD1" s="188"/>
      <c r="COE1" s="188"/>
      <c r="COF1" s="188"/>
      <c r="COG1" s="188"/>
      <c r="COH1" s="188"/>
      <c r="COI1" s="188"/>
      <c r="COJ1" s="188"/>
      <c r="COK1" s="188"/>
      <c r="COL1" s="188"/>
      <c r="COM1" s="188"/>
      <c r="CON1" s="188"/>
      <c r="COO1" s="188"/>
      <c r="COP1" s="188"/>
      <c r="COQ1" s="188"/>
      <c r="COR1" s="188"/>
      <c r="COS1" s="188"/>
      <c r="COT1" s="188"/>
      <c r="COU1" s="188"/>
      <c r="COV1" s="188"/>
      <c r="COW1" s="188"/>
      <c r="COX1" s="188"/>
      <c r="COY1" s="188"/>
      <c r="COZ1" s="188"/>
      <c r="CPA1" s="188"/>
      <c r="CPB1" s="188"/>
      <c r="CPC1" s="188"/>
      <c r="CPD1" s="188"/>
      <c r="CPE1" s="188"/>
      <c r="CPF1" s="188"/>
      <c r="CPG1" s="188"/>
      <c r="CPH1" s="188"/>
      <c r="CPI1" s="188"/>
      <c r="CPJ1" s="188"/>
      <c r="CPK1" s="188"/>
      <c r="CPL1" s="188"/>
      <c r="CPM1" s="188"/>
      <c r="CPN1" s="188"/>
      <c r="CPO1" s="188"/>
      <c r="CPP1" s="188"/>
      <c r="CPQ1" s="188"/>
      <c r="CPR1" s="188"/>
      <c r="CPS1" s="188"/>
      <c r="CPT1" s="188"/>
      <c r="CPU1" s="188"/>
      <c r="CPV1" s="188"/>
      <c r="CPW1" s="188"/>
      <c r="CPX1" s="188"/>
      <c r="CPY1" s="188"/>
      <c r="CPZ1" s="188"/>
      <c r="CQA1" s="188"/>
      <c r="CQB1" s="188"/>
      <c r="CQC1" s="188"/>
      <c r="CQD1" s="188"/>
      <c r="CQE1" s="188"/>
      <c r="CQF1" s="188"/>
      <c r="CQG1" s="188"/>
      <c r="CQH1" s="188"/>
      <c r="CQI1" s="188"/>
      <c r="CQJ1" s="188"/>
      <c r="CQK1" s="188"/>
      <c r="CQL1" s="188"/>
      <c r="CQM1" s="188"/>
      <c r="CQN1" s="188"/>
      <c r="CQO1" s="188"/>
      <c r="CQP1" s="188"/>
      <c r="CQQ1" s="188"/>
      <c r="CQR1" s="188"/>
      <c r="CQS1" s="188"/>
      <c r="CQT1" s="188"/>
      <c r="CQU1" s="188"/>
      <c r="CQV1" s="188"/>
      <c r="CQW1" s="188"/>
      <c r="CQX1" s="188"/>
      <c r="CQY1" s="188"/>
      <c r="CQZ1" s="188"/>
      <c r="CRA1" s="188"/>
      <c r="CRB1" s="188"/>
      <c r="CRC1" s="188"/>
      <c r="CRD1" s="188"/>
      <c r="CRE1" s="188"/>
      <c r="CRF1" s="188"/>
      <c r="CRG1" s="188"/>
      <c r="CRH1" s="188"/>
      <c r="CRI1" s="188"/>
      <c r="CRJ1" s="188"/>
      <c r="CRK1" s="188"/>
      <c r="CRL1" s="188"/>
      <c r="CRM1" s="188"/>
      <c r="CRN1" s="188"/>
      <c r="CRO1" s="188"/>
      <c r="CRP1" s="188"/>
      <c r="CRQ1" s="188"/>
      <c r="CRR1" s="188"/>
      <c r="CRS1" s="188"/>
      <c r="CRT1" s="188"/>
      <c r="CRU1" s="188"/>
      <c r="CRV1" s="188"/>
      <c r="CRW1" s="188"/>
      <c r="CRX1" s="188"/>
      <c r="CRY1" s="188"/>
      <c r="CRZ1" s="188"/>
      <c r="CSA1" s="188"/>
      <c r="CSB1" s="188"/>
      <c r="CSC1" s="188"/>
      <c r="CSD1" s="188"/>
      <c r="CSE1" s="188"/>
      <c r="CSF1" s="188"/>
      <c r="CSG1" s="188"/>
      <c r="CSH1" s="188"/>
      <c r="CSI1" s="188"/>
      <c r="CSJ1" s="188"/>
      <c r="CSK1" s="188"/>
      <c r="CSL1" s="188"/>
      <c r="CSM1" s="188"/>
      <c r="CSN1" s="188"/>
      <c r="CSO1" s="188"/>
      <c r="CSP1" s="188"/>
      <c r="CSQ1" s="188"/>
      <c r="CSR1" s="188"/>
      <c r="CSS1" s="188"/>
      <c r="CST1" s="188"/>
      <c r="CSU1" s="188"/>
      <c r="CSV1" s="188"/>
      <c r="CSW1" s="188"/>
      <c r="CSX1" s="188"/>
      <c r="CSY1" s="188"/>
      <c r="CSZ1" s="188"/>
      <c r="CTA1" s="188"/>
      <c r="CTB1" s="188"/>
      <c r="CTC1" s="188"/>
      <c r="CTD1" s="188"/>
      <c r="CTE1" s="188"/>
      <c r="CTF1" s="188"/>
      <c r="CTG1" s="188"/>
      <c r="CTH1" s="188"/>
      <c r="CTI1" s="188"/>
      <c r="CTJ1" s="188"/>
      <c r="CTK1" s="188"/>
      <c r="CTL1" s="188"/>
      <c r="CTM1" s="188"/>
      <c r="CTN1" s="188"/>
      <c r="CTO1" s="188"/>
      <c r="CTP1" s="188"/>
      <c r="CTQ1" s="188"/>
      <c r="CTR1" s="188"/>
      <c r="CTS1" s="188"/>
      <c r="CTT1" s="188"/>
      <c r="CTU1" s="188"/>
      <c r="CTV1" s="188"/>
      <c r="CTW1" s="188"/>
      <c r="CTX1" s="188"/>
      <c r="CTY1" s="188"/>
      <c r="CTZ1" s="188"/>
      <c r="CUA1" s="188"/>
    </row>
    <row r="2" s="187" customFormat="1" spans="1:1024 1025:2575">
      <c r="A2" s="216" t="s">
        <v>30</v>
      </c>
      <c r="B2" s="84" t="s">
        <v>30</v>
      </c>
      <c r="C2" s="217">
        <v>45147</v>
      </c>
      <c r="D2" s="218">
        <f>C2+6</f>
        <v>45153</v>
      </c>
      <c r="E2" s="219">
        <v>975</v>
      </c>
      <c r="F2" s="220">
        <f>D2+14</f>
        <v>45167</v>
      </c>
      <c r="G2" s="219">
        <v>888</v>
      </c>
      <c r="H2" s="54">
        <f>G2/E2</f>
        <v>0.910769230769231</v>
      </c>
      <c r="I2" s="218">
        <f>D2+31</f>
        <v>45184</v>
      </c>
      <c r="J2" s="219">
        <v>864</v>
      </c>
      <c r="K2" s="54">
        <f t="shared" ref="K2:K65" si="0">J2/E2</f>
        <v>0.886153846153846</v>
      </c>
      <c r="L2" s="218">
        <f>I2+7</f>
        <v>45191</v>
      </c>
      <c r="M2" s="219">
        <v>866</v>
      </c>
      <c r="N2" s="219">
        <v>7400</v>
      </c>
      <c r="O2" s="54">
        <f t="shared" ref="O2:O65" si="1">M2/E2</f>
        <v>0.888205128205128</v>
      </c>
      <c r="P2" s="54">
        <f>H2-O2</f>
        <v>0.0225641025641028</v>
      </c>
      <c r="Q2" s="221">
        <f t="shared" ref="Q2:Q66" si="2">N2/M2</f>
        <v>8.54503464203233</v>
      </c>
      <c r="R2" s="218">
        <f>I2+35</f>
        <v>45219</v>
      </c>
      <c r="S2" s="219">
        <v>7150</v>
      </c>
      <c r="T2" s="84">
        <v>810</v>
      </c>
      <c r="U2" s="54">
        <f t="shared" ref="U2:U65" si="3">S2/N2</f>
        <v>0.966216216216216</v>
      </c>
      <c r="V2" s="218">
        <f>R2+35</f>
        <v>45254</v>
      </c>
      <c r="W2" s="219">
        <v>6956</v>
      </c>
      <c r="X2" s="54">
        <f t="shared" ref="X2:X65" si="4">W2/S2</f>
        <v>0.972867132867133</v>
      </c>
      <c r="Y2" s="84">
        <v>16357</v>
      </c>
      <c r="Z2" s="8">
        <v>14.2</v>
      </c>
      <c r="AA2" s="8">
        <f>Y2/W2</f>
        <v>2.35149511213341</v>
      </c>
      <c r="AB2" s="8">
        <f t="shared" ref="AB2:AB65" si="5">W2/E2</f>
        <v>7.13435897435897</v>
      </c>
      <c r="AC2" s="8">
        <v>3.53</v>
      </c>
      <c r="AD2" s="8">
        <v>3.54</v>
      </c>
      <c r="AE2" s="8"/>
      <c r="AF2" s="204" t="s">
        <v>31</v>
      </c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8"/>
      <c r="BI2" s="188"/>
      <c r="BJ2" s="188"/>
      <c r="BK2" s="188"/>
      <c r="BL2" s="188"/>
      <c r="BM2" s="188"/>
      <c r="BN2" s="188"/>
      <c r="BO2" s="188"/>
      <c r="BP2" s="188"/>
      <c r="BQ2" s="188"/>
      <c r="BR2" s="188"/>
      <c r="BS2" s="188"/>
      <c r="BT2" s="188"/>
      <c r="BU2" s="188"/>
      <c r="BV2" s="188"/>
      <c r="BW2" s="188"/>
      <c r="BX2" s="188"/>
      <c r="BY2" s="188"/>
      <c r="BZ2" s="188"/>
      <c r="CA2" s="188"/>
      <c r="CB2" s="188"/>
      <c r="CC2" s="188"/>
      <c r="CD2" s="188"/>
      <c r="CE2" s="188"/>
      <c r="CF2" s="188"/>
      <c r="CG2" s="188"/>
      <c r="CH2" s="188"/>
      <c r="CI2" s="188"/>
      <c r="CJ2" s="188"/>
      <c r="CK2" s="188"/>
      <c r="CL2" s="188"/>
      <c r="CM2" s="188"/>
      <c r="CN2" s="188"/>
      <c r="CO2" s="188"/>
      <c r="CP2" s="188"/>
      <c r="CQ2" s="188"/>
      <c r="CR2" s="188"/>
      <c r="CS2" s="188"/>
      <c r="CT2" s="188"/>
      <c r="CU2" s="188"/>
      <c r="CV2" s="188"/>
      <c r="CW2" s="188"/>
      <c r="CX2" s="188"/>
      <c r="CY2" s="188"/>
      <c r="CZ2" s="188"/>
      <c r="DA2" s="188"/>
      <c r="DB2" s="188"/>
      <c r="DC2" s="188"/>
      <c r="DD2" s="188"/>
      <c r="DE2" s="188"/>
      <c r="DF2" s="188"/>
      <c r="DG2" s="188"/>
      <c r="DH2" s="188"/>
      <c r="DI2" s="188"/>
      <c r="DJ2" s="188"/>
      <c r="DK2" s="188"/>
      <c r="DL2" s="188"/>
      <c r="DM2" s="188"/>
      <c r="DN2" s="188"/>
      <c r="DO2" s="188"/>
      <c r="DP2" s="188"/>
      <c r="DQ2" s="188"/>
      <c r="DR2" s="188"/>
      <c r="DS2" s="188"/>
      <c r="DT2" s="188"/>
      <c r="DU2" s="188"/>
      <c r="DV2" s="188"/>
      <c r="DW2" s="188"/>
      <c r="DX2" s="188"/>
      <c r="DY2" s="188"/>
      <c r="DZ2" s="188"/>
      <c r="EA2" s="188"/>
      <c r="EB2" s="188"/>
      <c r="EC2" s="188"/>
      <c r="ED2" s="188"/>
      <c r="EE2" s="188"/>
      <c r="EF2" s="188"/>
      <c r="EG2" s="188"/>
      <c r="EH2" s="188"/>
      <c r="EI2" s="188"/>
      <c r="EJ2" s="188"/>
      <c r="EK2" s="188"/>
      <c r="EL2" s="188"/>
      <c r="EM2" s="188"/>
      <c r="EN2" s="188"/>
      <c r="EO2" s="188"/>
      <c r="EP2" s="188"/>
      <c r="EQ2" s="188"/>
      <c r="ER2" s="188"/>
      <c r="ES2" s="188"/>
      <c r="ET2" s="188"/>
      <c r="EU2" s="188"/>
      <c r="EV2" s="188"/>
      <c r="EW2" s="188"/>
      <c r="EX2" s="188"/>
      <c r="EY2" s="188"/>
      <c r="EZ2" s="188"/>
      <c r="FA2" s="188"/>
      <c r="FB2" s="188"/>
      <c r="FC2" s="188"/>
      <c r="FD2" s="188"/>
      <c r="FE2" s="188"/>
      <c r="FF2" s="188"/>
      <c r="FG2" s="188"/>
      <c r="FH2" s="188"/>
      <c r="FI2" s="188"/>
      <c r="FJ2" s="188"/>
      <c r="FK2" s="188"/>
      <c r="FL2" s="188"/>
      <c r="FM2" s="188"/>
      <c r="FN2" s="188"/>
      <c r="FO2" s="188"/>
      <c r="FP2" s="188"/>
      <c r="FQ2" s="188"/>
      <c r="FR2" s="188"/>
      <c r="FS2" s="188"/>
      <c r="FT2" s="188"/>
      <c r="FU2" s="188"/>
      <c r="FV2" s="188"/>
      <c r="FW2" s="188"/>
      <c r="FX2" s="188"/>
      <c r="FY2" s="188"/>
      <c r="FZ2" s="188"/>
      <c r="GA2" s="188"/>
      <c r="GB2" s="188"/>
      <c r="GC2" s="188"/>
      <c r="GD2" s="188"/>
      <c r="GE2" s="188"/>
      <c r="GF2" s="188"/>
      <c r="GG2" s="188"/>
      <c r="GH2" s="188"/>
      <c r="GI2" s="188"/>
      <c r="GJ2" s="188"/>
      <c r="GK2" s="188"/>
      <c r="GL2" s="188"/>
      <c r="GM2" s="188"/>
      <c r="GN2" s="188"/>
      <c r="GO2" s="188"/>
      <c r="GP2" s="188"/>
      <c r="GQ2" s="188"/>
      <c r="GR2" s="188"/>
      <c r="GS2" s="188"/>
      <c r="GT2" s="188"/>
      <c r="GU2" s="188"/>
      <c r="GV2" s="188"/>
      <c r="GW2" s="188"/>
      <c r="GX2" s="188"/>
      <c r="GY2" s="188"/>
      <c r="GZ2" s="188"/>
      <c r="HA2" s="188"/>
      <c r="HB2" s="188"/>
      <c r="HC2" s="188"/>
      <c r="HD2" s="188"/>
      <c r="HE2" s="188"/>
      <c r="HF2" s="188"/>
      <c r="HG2" s="188"/>
      <c r="HH2" s="188"/>
      <c r="HI2" s="188"/>
      <c r="HJ2" s="188"/>
      <c r="HK2" s="188"/>
      <c r="HL2" s="188"/>
      <c r="HM2" s="188"/>
      <c r="HN2" s="188"/>
      <c r="HO2" s="188"/>
      <c r="HP2" s="188"/>
      <c r="HQ2" s="188"/>
      <c r="HR2" s="188"/>
      <c r="HS2" s="188"/>
      <c r="HT2" s="188"/>
      <c r="HU2" s="188"/>
      <c r="HV2" s="188"/>
      <c r="HW2" s="188"/>
      <c r="HX2" s="188"/>
      <c r="HY2" s="188"/>
      <c r="HZ2" s="188"/>
      <c r="IA2" s="188"/>
      <c r="IB2" s="188"/>
      <c r="IC2" s="188"/>
      <c r="ID2" s="188"/>
      <c r="IE2" s="188"/>
      <c r="IF2" s="188"/>
      <c r="IG2" s="188"/>
      <c r="IH2" s="188"/>
      <c r="II2" s="188"/>
      <c r="IJ2" s="188"/>
      <c r="IK2" s="188"/>
      <c r="IL2" s="188"/>
      <c r="IM2" s="188"/>
      <c r="IN2" s="188"/>
      <c r="IO2" s="188"/>
      <c r="IP2" s="188"/>
      <c r="IQ2" s="188"/>
      <c r="IR2" s="188"/>
      <c r="IS2" s="188"/>
      <c r="IT2" s="188"/>
      <c r="IU2" s="188"/>
      <c r="IV2" s="188"/>
      <c r="IW2" s="188"/>
      <c r="IX2" s="188"/>
      <c r="IY2" s="188"/>
      <c r="IZ2" s="188"/>
      <c r="JA2" s="188"/>
      <c r="JB2" s="188"/>
      <c r="JC2" s="188"/>
      <c r="JD2" s="188"/>
      <c r="JE2" s="188"/>
      <c r="JF2" s="188"/>
      <c r="JG2" s="188"/>
      <c r="JH2" s="188"/>
      <c r="JI2" s="188"/>
      <c r="JJ2" s="188"/>
      <c r="JK2" s="188"/>
      <c r="JL2" s="188"/>
      <c r="JM2" s="188"/>
      <c r="JN2" s="188"/>
      <c r="JO2" s="188"/>
      <c r="JP2" s="188"/>
      <c r="JQ2" s="188"/>
      <c r="JR2" s="188"/>
      <c r="JS2" s="188"/>
      <c r="JT2" s="188"/>
      <c r="JU2" s="188"/>
      <c r="JV2" s="188"/>
      <c r="JW2" s="188"/>
      <c r="JX2" s="188"/>
      <c r="JY2" s="188"/>
      <c r="JZ2" s="188"/>
      <c r="KA2" s="188"/>
      <c r="KB2" s="188"/>
      <c r="KC2" s="188"/>
      <c r="KD2" s="188"/>
      <c r="KE2" s="188"/>
      <c r="KF2" s="188"/>
      <c r="KG2" s="188"/>
      <c r="KH2" s="188"/>
      <c r="KI2" s="188"/>
      <c r="KJ2" s="188"/>
      <c r="KK2" s="188"/>
      <c r="KL2" s="188"/>
      <c r="KM2" s="188"/>
      <c r="KN2" s="188"/>
      <c r="KO2" s="188"/>
      <c r="KP2" s="188"/>
      <c r="KQ2" s="188"/>
      <c r="KR2" s="188"/>
      <c r="KS2" s="188"/>
      <c r="KT2" s="188"/>
      <c r="KU2" s="188"/>
      <c r="KV2" s="188"/>
      <c r="KW2" s="188"/>
      <c r="KX2" s="188"/>
      <c r="KY2" s="188"/>
      <c r="KZ2" s="188"/>
      <c r="LA2" s="188"/>
      <c r="LB2" s="188"/>
      <c r="LC2" s="188"/>
      <c r="LD2" s="188"/>
      <c r="LE2" s="188"/>
      <c r="LF2" s="188"/>
      <c r="LG2" s="188"/>
      <c r="LH2" s="188"/>
      <c r="LI2" s="188"/>
      <c r="LJ2" s="188"/>
      <c r="LK2" s="188"/>
      <c r="LL2" s="188"/>
      <c r="LM2" s="188"/>
      <c r="LN2" s="188"/>
      <c r="LO2" s="188"/>
      <c r="LP2" s="188"/>
      <c r="LQ2" s="188"/>
      <c r="LR2" s="188"/>
      <c r="LS2" s="188"/>
      <c r="LT2" s="188"/>
      <c r="LU2" s="188"/>
      <c r="LV2" s="188"/>
      <c r="LW2" s="188"/>
      <c r="LX2" s="188"/>
      <c r="LY2" s="188"/>
      <c r="LZ2" s="188"/>
      <c r="MA2" s="188"/>
      <c r="MB2" s="188"/>
      <c r="MC2" s="188"/>
      <c r="MD2" s="188"/>
      <c r="ME2" s="188"/>
      <c r="MF2" s="188"/>
      <c r="MG2" s="188"/>
      <c r="MH2" s="188"/>
      <c r="MI2" s="188"/>
      <c r="MJ2" s="188"/>
      <c r="MK2" s="188"/>
      <c r="ML2" s="188"/>
      <c r="MM2" s="188"/>
      <c r="MN2" s="188"/>
      <c r="MO2" s="188"/>
      <c r="MP2" s="188"/>
      <c r="MQ2" s="188"/>
      <c r="MR2" s="188"/>
      <c r="MS2" s="188"/>
      <c r="MT2" s="188"/>
      <c r="MU2" s="188"/>
      <c r="MV2" s="188"/>
      <c r="MW2" s="188"/>
      <c r="MX2" s="188"/>
      <c r="MY2" s="188"/>
      <c r="MZ2" s="188"/>
      <c r="NA2" s="188"/>
      <c r="NB2" s="188"/>
      <c r="NC2" s="188"/>
      <c r="ND2" s="188"/>
      <c r="NE2" s="188"/>
      <c r="NF2" s="188"/>
      <c r="NG2" s="188"/>
      <c r="NH2" s="188"/>
      <c r="NI2" s="188"/>
      <c r="NJ2" s="188"/>
      <c r="NK2" s="188"/>
      <c r="NL2" s="188"/>
      <c r="NM2" s="188"/>
      <c r="NN2" s="188"/>
      <c r="NO2" s="188"/>
      <c r="NP2" s="188"/>
      <c r="NQ2" s="188"/>
      <c r="NR2" s="188"/>
      <c r="NS2" s="188"/>
      <c r="NT2" s="188"/>
      <c r="NU2" s="188"/>
      <c r="NV2" s="188"/>
      <c r="NW2" s="188"/>
      <c r="NX2" s="188"/>
      <c r="NY2" s="188"/>
      <c r="NZ2" s="188"/>
      <c r="OA2" s="188"/>
      <c r="OB2" s="188"/>
      <c r="OC2" s="188"/>
      <c r="OD2" s="188"/>
      <c r="OE2" s="188"/>
      <c r="OF2" s="188"/>
      <c r="OG2" s="188"/>
      <c r="OH2" s="188"/>
      <c r="OI2" s="188"/>
      <c r="OJ2" s="188"/>
      <c r="OK2" s="188"/>
      <c r="OL2" s="188"/>
      <c r="OM2" s="188"/>
      <c r="ON2" s="188"/>
      <c r="OO2" s="188"/>
      <c r="OP2" s="188"/>
      <c r="OQ2" s="188"/>
      <c r="OR2" s="188"/>
      <c r="OS2" s="188"/>
      <c r="OT2" s="188"/>
      <c r="OU2" s="188"/>
      <c r="OV2" s="188"/>
      <c r="OW2" s="188"/>
      <c r="OX2" s="188"/>
      <c r="OY2" s="188"/>
      <c r="OZ2" s="188"/>
      <c r="PA2" s="188"/>
      <c r="PB2" s="188"/>
      <c r="PC2" s="188"/>
      <c r="PD2" s="188"/>
      <c r="PE2" s="188"/>
      <c r="PF2" s="188"/>
      <c r="PG2" s="188"/>
      <c r="PH2" s="188"/>
      <c r="PI2" s="188"/>
      <c r="PJ2" s="188"/>
      <c r="PK2" s="188"/>
      <c r="PL2" s="188"/>
      <c r="PM2" s="188"/>
      <c r="PN2" s="188"/>
      <c r="PO2" s="188"/>
      <c r="PP2" s="188"/>
      <c r="PQ2" s="188"/>
      <c r="PR2" s="188"/>
      <c r="PS2" s="188"/>
      <c r="PT2" s="188"/>
      <c r="PU2" s="188"/>
      <c r="PV2" s="188"/>
      <c r="PW2" s="188"/>
      <c r="PX2" s="188"/>
      <c r="PY2" s="188"/>
      <c r="PZ2" s="188"/>
      <c r="QA2" s="188"/>
      <c r="QB2" s="188"/>
      <c r="QC2" s="188"/>
      <c r="QD2" s="188"/>
      <c r="QE2" s="188"/>
      <c r="QF2" s="188"/>
      <c r="QG2" s="188"/>
      <c r="QH2" s="188"/>
      <c r="QI2" s="188"/>
      <c r="QJ2" s="188"/>
      <c r="QK2" s="188"/>
      <c r="QL2" s="188"/>
      <c r="QM2" s="188"/>
      <c r="QN2" s="188"/>
      <c r="QO2" s="188"/>
      <c r="QP2" s="188"/>
      <c r="QQ2" s="188"/>
      <c r="QR2" s="188"/>
      <c r="QS2" s="188"/>
      <c r="QT2" s="188"/>
      <c r="QU2" s="188"/>
      <c r="QV2" s="188"/>
      <c r="QW2" s="188"/>
      <c r="QX2" s="188"/>
      <c r="QY2" s="188"/>
      <c r="QZ2" s="188"/>
      <c r="RA2" s="188"/>
      <c r="RB2" s="188"/>
      <c r="RC2" s="188"/>
      <c r="RD2" s="188"/>
      <c r="RE2" s="188"/>
      <c r="RF2" s="188"/>
      <c r="RG2" s="188"/>
      <c r="RH2" s="188"/>
      <c r="RI2" s="188"/>
      <c r="RJ2" s="188"/>
      <c r="RK2" s="188"/>
      <c r="RL2" s="188"/>
      <c r="RM2" s="188"/>
      <c r="RN2" s="188"/>
      <c r="RO2" s="188"/>
      <c r="RP2" s="188"/>
      <c r="RQ2" s="188"/>
      <c r="RR2" s="188"/>
      <c r="RS2" s="188"/>
      <c r="RT2" s="188"/>
      <c r="RU2" s="188"/>
      <c r="RV2" s="188"/>
      <c r="RW2" s="188"/>
      <c r="RX2" s="188"/>
      <c r="RY2" s="188"/>
      <c r="RZ2" s="188"/>
      <c r="SA2" s="188"/>
      <c r="SB2" s="188"/>
      <c r="SC2" s="188"/>
      <c r="SD2" s="188"/>
      <c r="SE2" s="188"/>
      <c r="SF2" s="188"/>
      <c r="SG2" s="188"/>
      <c r="SH2" s="188"/>
      <c r="SI2" s="188"/>
      <c r="SJ2" s="188"/>
      <c r="SK2" s="188"/>
      <c r="SL2" s="188"/>
      <c r="SM2" s="188"/>
      <c r="SN2" s="188"/>
      <c r="SO2" s="188"/>
      <c r="SP2" s="188"/>
      <c r="SQ2" s="188"/>
      <c r="SR2" s="188"/>
      <c r="SS2" s="188"/>
      <c r="ST2" s="188"/>
      <c r="SU2" s="188"/>
      <c r="SV2" s="188"/>
      <c r="SW2" s="188"/>
      <c r="SX2" s="188"/>
      <c r="SY2" s="188"/>
      <c r="SZ2" s="188"/>
      <c r="TA2" s="188"/>
      <c r="TB2" s="188"/>
      <c r="TC2" s="188"/>
      <c r="TD2" s="188"/>
      <c r="TE2" s="188"/>
      <c r="TF2" s="188"/>
      <c r="TG2" s="188"/>
      <c r="TH2" s="188"/>
      <c r="TI2" s="188"/>
      <c r="TJ2" s="188"/>
      <c r="TK2" s="188"/>
      <c r="TL2" s="188"/>
      <c r="TM2" s="188"/>
      <c r="TN2" s="188"/>
      <c r="TO2" s="188"/>
      <c r="TP2" s="188"/>
      <c r="TQ2" s="188"/>
      <c r="TR2" s="188"/>
      <c r="TS2" s="188"/>
      <c r="TT2" s="188"/>
      <c r="TU2" s="188"/>
      <c r="TV2" s="188"/>
      <c r="TW2" s="188"/>
      <c r="TX2" s="188"/>
      <c r="TY2" s="188"/>
      <c r="TZ2" s="188"/>
      <c r="UA2" s="188"/>
      <c r="UB2" s="188"/>
      <c r="UC2" s="188"/>
      <c r="UD2" s="188"/>
      <c r="UE2" s="188"/>
      <c r="UF2" s="188"/>
      <c r="UG2" s="188"/>
      <c r="UH2" s="188"/>
      <c r="UI2" s="188"/>
      <c r="UJ2" s="188"/>
      <c r="UK2" s="188"/>
      <c r="UL2" s="188"/>
      <c r="UM2" s="188"/>
      <c r="UN2" s="188"/>
      <c r="UO2" s="188"/>
      <c r="UP2" s="188"/>
      <c r="UQ2" s="188"/>
      <c r="UR2" s="188"/>
      <c r="US2" s="188"/>
      <c r="UT2" s="188"/>
      <c r="UU2" s="188"/>
      <c r="UV2" s="188"/>
      <c r="UW2" s="188"/>
      <c r="UX2" s="188"/>
      <c r="UY2" s="188"/>
      <c r="UZ2" s="188"/>
      <c r="VA2" s="188"/>
      <c r="VB2" s="188"/>
      <c r="VC2" s="188"/>
      <c r="VD2" s="188"/>
      <c r="VE2" s="188"/>
      <c r="VF2" s="188"/>
      <c r="VG2" s="188"/>
      <c r="VH2" s="188"/>
      <c r="VI2" s="188"/>
      <c r="VJ2" s="188"/>
      <c r="VK2" s="188"/>
      <c r="VL2" s="188"/>
      <c r="VM2" s="188"/>
      <c r="VN2" s="188"/>
      <c r="VO2" s="188"/>
      <c r="VP2" s="188"/>
      <c r="VQ2" s="188"/>
      <c r="VR2" s="188"/>
      <c r="VS2" s="188"/>
      <c r="VT2" s="188"/>
      <c r="VU2" s="188"/>
      <c r="VV2" s="188"/>
      <c r="VW2" s="188"/>
      <c r="VX2" s="188"/>
      <c r="VY2" s="188"/>
      <c r="VZ2" s="188"/>
      <c r="WA2" s="188"/>
      <c r="WB2" s="188"/>
      <c r="WC2" s="188"/>
      <c r="WD2" s="188"/>
      <c r="WE2" s="188"/>
      <c r="WF2" s="188"/>
      <c r="WG2" s="188"/>
      <c r="WH2" s="188"/>
      <c r="WI2" s="188"/>
      <c r="WJ2" s="188"/>
      <c r="WK2" s="188"/>
      <c r="WL2" s="188"/>
      <c r="WM2" s="188"/>
      <c r="WN2" s="188"/>
      <c r="WO2" s="188"/>
      <c r="WP2" s="188"/>
      <c r="WQ2" s="188"/>
      <c r="WR2" s="188"/>
      <c r="WS2" s="188"/>
      <c r="WT2" s="188"/>
      <c r="WU2" s="188"/>
      <c r="WV2" s="188"/>
      <c r="WW2" s="188"/>
      <c r="WX2" s="188"/>
      <c r="WY2" s="188"/>
      <c r="WZ2" s="188"/>
      <c r="XA2" s="188"/>
      <c r="XB2" s="188"/>
      <c r="XC2" s="188"/>
      <c r="XD2" s="188"/>
      <c r="XE2" s="188"/>
      <c r="XF2" s="188"/>
      <c r="XG2" s="188"/>
      <c r="XH2" s="188"/>
      <c r="XI2" s="188"/>
      <c r="XJ2" s="188"/>
      <c r="XK2" s="188"/>
      <c r="XL2" s="188"/>
      <c r="XM2" s="188"/>
      <c r="XN2" s="188"/>
      <c r="XO2" s="188"/>
      <c r="XP2" s="188"/>
      <c r="XQ2" s="188"/>
      <c r="XR2" s="188"/>
      <c r="XS2" s="188"/>
      <c r="XT2" s="188"/>
      <c r="XU2" s="188"/>
      <c r="XV2" s="188"/>
      <c r="XW2" s="188"/>
      <c r="XX2" s="188"/>
      <c r="XY2" s="188"/>
      <c r="XZ2" s="188"/>
      <c r="YA2" s="188"/>
      <c r="YB2" s="188"/>
      <c r="YC2" s="188"/>
      <c r="YD2" s="188"/>
      <c r="YE2" s="188"/>
      <c r="YF2" s="188"/>
      <c r="YG2" s="188"/>
      <c r="YH2" s="188"/>
      <c r="YI2" s="188"/>
      <c r="YJ2" s="188"/>
      <c r="YK2" s="188"/>
      <c r="YL2" s="188"/>
      <c r="YM2" s="188"/>
      <c r="YN2" s="188"/>
      <c r="YO2" s="188"/>
      <c r="YP2" s="188"/>
      <c r="YQ2" s="188"/>
      <c r="YR2" s="188"/>
      <c r="YS2" s="188"/>
      <c r="YT2" s="188"/>
      <c r="YU2" s="188"/>
      <c r="YV2" s="188"/>
      <c r="YW2" s="188"/>
      <c r="YX2" s="188"/>
      <c r="YY2" s="188"/>
      <c r="YZ2" s="188"/>
      <c r="ZA2" s="188"/>
      <c r="ZB2" s="188"/>
      <c r="ZC2" s="188"/>
      <c r="ZD2" s="188"/>
      <c r="ZE2" s="188"/>
      <c r="ZF2" s="188"/>
      <c r="ZG2" s="188"/>
      <c r="ZH2" s="188"/>
      <c r="ZI2" s="188"/>
      <c r="ZJ2" s="188"/>
      <c r="ZK2" s="188"/>
      <c r="ZL2" s="188"/>
      <c r="ZM2" s="188"/>
      <c r="ZN2" s="188"/>
      <c r="ZO2" s="188"/>
      <c r="ZP2" s="188"/>
      <c r="ZQ2" s="188"/>
      <c r="ZR2" s="188"/>
      <c r="ZS2" s="188"/>
      <c r="ZT2" s="188"/>
      <c r="ZU2" s="188"/>
      <c r="ZV2" s="188"/>
      <c r="ZW2" s="188"/>
      <c r="ZX2" s="188"/>
      <c r="ZY2" s="188"/>
      <c r="ZZ2" s="188"/>
      <c r="AAA2" s="188"/>
      <c r="AAB2" s="188"/>
      <c r="AAC2" s="188"/>
      <c r="AAD2" s="188"/>
      <c r="AAE2" s="188"/>
      <c r="AAF2" s="188"/>
      <c r="AAG2" s="188"/>
      <c r="AAH2" s="188"/>
      <c r="AAI2" s="188"/>
      <c r="AAJ2" s="188"/>
      <c r="AAK2" s="188"/>
      <c r="AAL2" s="188"/>
      <c r="AAM2" s="188"/>
      <c r="AAN2" s="188"/>
      <c r="AAO2" s="188"/>
      <c r="AAP2" s="188"/>
      <c r="AAQ2" s="188"/>
      <c r="AAR2" s="188"/>
      <c r="AAS2" s="188"/>
      <c r="AAT2" s="188"/>
      <c r="AAU2" s="188"/>
      <c r="AAV2" s="188"/>
      <c r="AAW2" s="188"/>
      <c r="AAX2" s="188"/>
      <c r="AAY2" s="188"/>
      <c r="AAZ2" s="188"/>
      <c r="ABA2" s="188"/>
      <c r="ABB2" s="188"/>
      <c r="ABC2" s="188"/>
      <c r="ABD2" s="188"/>
      <c r="ABE2" s="188"/>
      <c r="ABF2" s="188"/>
      <c r="ABG2" s="188"/>
      <c r="ABH2" s="188"/>
      <c r="ABI2" s="188"/>
      <c r="ABJ2" s="188"/>
      <c r="ABK2" s="188"/>
      <c r="ABL2" s="188"/>
      <c r="ABM2" s="188"/>
      <c r="ABN2" s="188"/>
      <c r="ABO2" s="188"/>
      <c r="ABP2" s="188"/>
      <c r="ABQ2" s="188"/>
      <c r="ABR2" s="188"/>
      <c r="ABS2" s="188"/>
      <c r="ABT2" s="188"/>
      <c r="ABU2" s="188"/>
      <c r="ABV2" s="188"/>
      <c r="ABW2" s="188"/>
      <c r="ABX2" s="188"/>
      <c r="ABY2" s="188"/>
      <c r="ABZ2" s="188"/>
      <c r="ACA2" s="188"/>
      <c r="ACB2" s="188"/>
      <c r="ACC2" s="188"/>
      <c r="ACD2" s="188"/>
      <c r="ACE2" s="188"/>
      <c r="ACF2" s="188"/>
      <c r="ACG2" s="188"/>
      <c r="ACH2" s="188"/>
      <c r="ACI2" s="188"/>
      <c r="ACJ2" s="188"/>
      <c r="ACK2" s="188"/>
      <c r="ACL2" s="188"/>
      <c r="ACM2" s="188"/>
      <c r="ACN2" s="188"/>
      <c r="ACO2" s="188"/>
      <c r="ACP2" s="188"/>
      <c r="ACQ2" s="188"/>
      <c r="ACR2" s="188"/>
      <c r="ACS2" s="188"/>
      <c r="ACT2" s="188"/>
      <c r="ACU2" s="188"/>
      <c r="ACV2" s="188"/>
      <c r="ACW2" s="188"/>
      <c r="ACX2" s="188"/>
      <c r="ACY2" s="188"/>
      <c r="ACZ2" s="188"/>
      <c r="ADA2" s="188"/>
      <c r="ADB2" s="188"/>
      <c r="ADC2" s="188"/>
      <c r="ADD2" s="188"/>
      <c r="ADE2" s="188"/>
      <c r="ADF2" s="188"/>
      <c r="ADG2" s="188"/>
      <c r="ADH2" s="188"/>
      <c r="ADI2" s="188"/>
      <c r="ADJ2" s="188"/>
      <c r="ADK2" s="188"/>
      <c r="ADL2" s="188"/>
      <c r="ADM2" s="188"/>
      <c r="ADN2" s="188"/>
      <c r="ADO2" s="188"/>
      <c r="ADP2" s="188"/>
      <c r="ADQ2" s="188"/>
      <c r="ADR2" s="188"/>
      <c r="ADS2" s="188"/>
      <c r="ADT2" s="188"/>
      <c r="ADU2" s="188"/>
      <c r="ADV2" s="188"/>
      <c r="ADW2" s="188"/>
      <c r="ADX2" s="188"/>
      <c r="ADY2" s="188"/>
      <c r="ADZ2" s="188"/>
      <c r="AEA2" s="188"/>
      <c r="AEB2" s="188"/>
      <c r="AEC2" s="188"/>
      <c r="AED2" s="188"/>
      <c r="AEE2" s="188"/>
      <c r="AEF2" s="188"/>
      <c r="AEG2" s="188"/>
      <c r="AEH2" s="188"/>
      <c r="AEI2" s="188"/>
      <c r="AEJ2" s="188"/>
      <c r="AEK2" s="188"/>
      <c r="AEL2" s="188"/>
      <c r="AEM2" s="188"/>
      <c r="AEN2" s="188"/>
      <c r="AEO2" s="188"/>
      <c r="AEP2" s="188"/>
      <c r="AEQ2" s="188"/>
      <c r="AER2" s="188"/>
      <c r="AES2" s="188"/>
      <c r="AET2" s="188"/>
      <c r="AEU2" s="188"/>
      <c r="AEV2" s="188"/>
      <c r="AEW2" s="188"/>
      <c r="AEX2" s="188"/>
      <c r="AEY2" s="188"/>
      <c r="AEZ2" s="188"/>
      <c r="AFA2" s="188"/>
      <c r="AFB2" s="188"/>
      <c r="AFC2" s="188"/>
      <c r="AFD2" s="188"/>
      <c r="AFE2" s="188"/>
      <c r="AFF2" s="188"/>
      <c r="AFG2" s="188"/>
      <c r="AFH2" s="188"/>
      <c r="AFI2" s="188"/>
      <c r="AFJ2" s="188"/>
      <c r="AFK2" s="188"/>
      <c r="AFL2" s="188"/>
      <c r="AFM2" s="188"/>
      <c r="AFN2" s="188"/>
      <c r="AFO2" s="188"/>
      <c r="AFP2" s="188"/>
      <c r="AFQ2" s="188"/>
      <c r="AFR2" s="188"/>
      <c r="AFS2" s="188"/>
      <c r="AFT2" s="188"/>
      <c r="AFU2" s="188"/>
      <c r="AFV2" s="188"/>
      <c r="AFW2" s="188"/>
      <c r="AFX2" s="188"/>
      <c r="AFY2" s="188"/>
      <c r="AFZ2" s="188"/>
      <c r="AGA2" s="188"/>
      <c r="AGB2" s="188"/>
      <c r="AGC2" s="188"/>
      <c r="AGD2" s="188"/>
      <c r="AGE2" s="188"/>
      <c r="AGF2" s="188"/>
      <c r="AGG2" s="188"/>
      <c r="AGH2" s="188"/>
      <c r="AGI2" s="188"/>
      <c r="AGJ2" s="188"/>
      <c r="AGK2" s="188"/>
      <c r="AGL2" s="188"/>
      <c r="AGM2" s="188"/>
      <c r="AGN2" s="188"/>
      <c r="AGO2" s="188"/>
      <c r="AGP2" s="188"/>
      <c r="AGQ2" s="188"/>
      <c r="AGR2" s="188"/>
      <c r="AGS2" s="188"/>
      <c r="AGT2" s="188"/>
      <c r="AGU2" s="188"/>
      <c r="AGV2" s="188"/>
      <c r="AGW2" s="188"/>
      <c r="AGX2" s="188"/>
      <c r="AGY2" s="188"/>
      <c r="AGZ2" s="188"/>
      <c r="AHA2" s="188"/>
      <c r="AHB2" s="188"/>
      <c r="AHC2" s="188"/>
      <c r="AHD2" s="188"/>
      <c r="AHE2" s="188"/>
      <c r="AHF2" s="188"/>
      <c r="AHG2" s="188"/>
      <c r="AHH2" s="188"/>
      <c r="AHI2" s="188"/>
      <c r="AHJ2" s="188"/>
      <c r="AHK2" s="188"/>
      <c r="AHL2" s="188"/>
      <c r="AHM2" s="188"/>
      <c r="AHN2" s="188"/>
      <c r="AHO2" s="188"/>
      <c r="AHP2" s="188"/>
      <c r="AHQ2" s="188"/>
      <c r="AHR2" s="188"/>
      <c r="AHS2" s="188"/>
      <c r="AHT2" s="188"/>
      <c r="AHU2" s="188"/>
      <c r="AHV2" s="188"/>
      <c r="AHW2" s="188"/>
      <c r="AHX2" s="188"/>
      <c r="AHY2" s="188"/>
      <c r="AHZ2" s="188"/>
      <c r="AIA2" s="188"/>
      <c r="AIB2" s="188"/>
      <c r="AIC2" s="188"/>
      <c r="AID2" s="188"/>
      <c r="AIE2" s="188"/>
      <c r="AIF2" s="188"/>
      <c r="AIG2" s="188"/>
      <c r="AIH2" s="188"/>
      <c r="AII2" s="188"/>
      <c r="AIJ2" s="188"/>
      <c r="AIK2" s="188"/>
      <c r="AIL2" s="188"/>
      <c r="AIM2" s="188"/>
      <c r="AIN2" s="188"/>
      <c r="AIO2" s="188"/>
      <c r="AIP2" s="188"/>
      <c r="AIQ2" s="188"/>
      <c r="AIR2" s="188"/>
      <c r="AIS2" s="188"/>
      <c r="AIT2" s="188"/>
      <c r="AIU2" s="188"/>
      <c r="AIV2" s="188"/>
      <c r="AIW2" s="188"/>
      <c r="AIX2" s="188"/>
      <c r="AIY2" s="188"/>
      <c r="AIZ2" s="188"/>
      <c r="AJA2" s="188"/>
      <c r="AJB2" s="188"/>
      <c r="AJC2" s="188"/>
      <c r="AJD2" s="188"/>
      <c r="AJE2" s="188"/>
      <c r="AJF2" s="188"/>
      <c r="AJG2" s="188"/>
      <c r="AJH2" s="188"/>
      <c r="AJI2" s="188"/>
      <c r="AJJ2" s="188"/>
      <c r="AJK2" s="188"/>
      <c r="AJL2" s="188"/>
      <c r="AJM2" s="188"/>
      <c r="AJN2" s="188"/>
      <c r="AJO2" s="188"/>
      <c r="AJP2" s="188"/>
      <c r="AJQ2" s="188"/>
      <c r="AJR2" s="188"/>
      <c r="AJS2" s="188"/>
      <c r="AJT2" s="188"/>
      <c r="AJU2" s="188"/>
      <c r="AJV2" s="188"/>
      <c r="AJW2" s="188"/>
      <c r="AJX2" s="188"/>
      <c r="AJY2" s="188"/>
      <c r="AJZ2" s="188"/>
      <c r="AKA2" s="188"/>
      <c r="AKB2" s="188"/>
      <c r="AKC2" s="188"/>
      <c r="AKD2" s="188"/>
      <c r="AKE2" s="188"/>
      <c r="AKF2" s="188"/>
      <c r="AKG2" s="188"/>
      <c r="AKH2" s="188"/>
      <c r="AKI2" s="188"/>
      <c r="AKJ2" s="188"/>
      <c r="AKK2" s="188"/>
      <c r="AKL2" s="188"/>
      <c r="AKM2" s="188"/>
      <c r="AKN2" s="188"/>
      <c r="AKO2" s="188"/>
      <c r="AKP2" s="188"/>
      <c r="AKQ2" s="188"/>
      <c r="AKR2" s="188"/>
      <c r="AKS2" s="188"/>
      <c r="AKT2" s="188"/>
      <c r="AKU2" s="188"/>
      <c r="AKV2" s="188"/>
      <c r="AKW2" s="188"/>
      <c r="AKX2" s="188"/>
      <c r="AKY2" s="188"/>
      <c r="AKZ2" s="188"/>
      <c r="ALA2" s="188"/>
      <c r="ALB2" s="188"/>
      <c r="ALC2" s="188"/>
      <c r="ALD2" s="188"/>
      <c r="ALE2" s="188"/>
      <c r="ALF2" s="188"/>
      <c r="ALG2" s="188"/>
      <c r="ALH2" s="188"/>
      <c r="ALI2" s="188"/>
      <c r="ALJ2" s="188"/>
      <c r="ALK2" s="188"/>
      <c r="ALL2" s="188"/>
      <c r="ALM2" s="188"/>
      <c r="ALN2" s="188"/>
      <c r="ALO2" s="188"/>
      <c r="ALP2" s="188"/>
      <c r="ALQ2" s="188"/>
      <c r="ALR2" s="188"/>
      <c r="ALS2" s="188"/>
      <c r="ALT2" s="188"/>
      <c r="ALU2" s="188"/>
      <c r="ALV2" s="188"/>
      <c r="ALW2" s="188"/>
      <c r="ALX2" s="188"/>
      <c r="ALY2" s="188"/>
      <c r="ALZ2" s="188"/>
      <c r="AMA2" s="188"/>
      <c r="AMB2" s="188"/>
      <c r="AMC2" s="188"/>
      <c r="AMD2" s="188"/>
      <c r="AME2" s="188"/>
      <c r="AMF2" s="188"/>
      <c r="AMG2" s="188"/>
      <c r="AMH2" s="188"/>
      <c r="AMI2" s="188"/>
      <c r="AMJ2" s="188"/>
      <c r="AMK2" s="188"/>
      <c r="AML2" s="188"/>
      <c r="AMM2" s="188"/>
      <c r="AMN2" s="188"/>
      <c r="AMO2" s="188"/>
      <c r="AMP2" s="188"/>
      <c r="AMQ2" s="188"/>
      <c r="AMR2" s="188"/>
      <c r="AMS2" s="188"/>
      <c r="AMT2" s="188"/>
      <c r="AMU2" s="188"/>
      <c r="AMV2" s="188"/>
      <c r="AMW2" s="188"/>
      <c r="AMX2" s="188"/>
      <c r="AMY2" s="188"/>
      <c r="AMZ2" s="188"/>
      <c r="ANA2" s="188"/>
      <c r="ANB2" s="188"/>
      <c r="ANC2" s="188"/>
      <c r="AND2" s="188"/>
      <c r="ANE2" s="188"/>
      <c r="ANF2" s="188"/>
      <c r="ANG2" s="188"/>
      <c r="ANH2" s="188"/>
      <c r="ANI2" s="188"/>
      <c r="ANJ2" s="188"/>
      <c r="ANK2" s="188"/>
      <c r="ANL2" s="188"/>
      <c r="ANM2" s="188"/>
      <c r="ANN2" s="188"/>
      <c r="ANO2" s="188"/>
      <c r="ANP2" s="188"/>
      <c r="ANQ2" s="188"/>
      <c r="ANR2" s="188"/>
      <c r="ANS2" s="188"/>
      <c r="ANT2" s="188"/>
      <c r="ANU2" s="188"/>
      <c r="ANV2" s="188"/>
      <c r="ANW2" s="188"/>
      <c r="ANX2" s="188"/>
      <c r="ANY2" s="188"/>
      <c r="ANZ2" s="188"/>
      <c r="AOA2" s="188"/>
      <c r="AOB2" s="188"/>
      <c r="AOC2" s="188"/>
      <c r="AOD2" s="188"/>
      <c r="AOE2" s="188"/>
      <c r="AOF2" s="188"/>
      <c r="AOG2" s="188"/>
      <c r="AOH2" s="188"/>
      <c r="AOI2" s="188"/>
      <c r="AOJ2" s="188"/>
      <c r="AOK2" s="188"/>
      <c r="AOL2" s="188"/>
      <c r="AOM2" s="188"/>
      <c r="AON2" s="188"/>
      <c r="AOO2" s="188"/>
      <c r="AOP2" s="188"/>
      <c r="AOQ2" s="188"/>
      <c r="AOR2" s="188"/>
      <c r="AOS2" s="188"/>
      <c r="AOT2" s="188"/>
      <c r="AOU2" s="188"/>
      <c r="AOV2" s="188"/>
      <c r="AOW2" s="188"/>
      <c r="AOX2" s="188"/>
      <c r="AOY2" s="188"/>
      <c r="AOZ2" s="188"/>
      <c r="APA2" s="188"/>
      <c r="APB2" s="188"/>
      <c r="APC2" s="188"/>
      <c r="APD2" s="188"/>
      <c r="APE2" s="188"/>
      <c r="APF2" s="188"/>
      <c r="APG2" s="188"/>
      <c r="APH2" s="188"/>
      <c r="API2" s="188"/>
      <c r="APJ2" s="188"/>
      <c r="APK2" s="188"/>
      <c r="APL2" s="188"/>
      <c r="APM2" s="188"/>
      <c r="APN2" s="188"/>
      <c r="APO2" s="188"/>
      <c r="APP2" s="188"/>
      <c r="APQ2" s="188"/>
      <c r="APR2" s="188"/>
      <c r="APS2" s="188"/>
      <c r="APT2" s="188"/>
      <c r="APU2" s="188"/>
      <c r="APV2" s="188"/>
      <c r="APW2" s="188"/>
      <c r="APX2" s="188"/>
      <c r="APY2" s="188"/>
      <c r="APZ2" s="188"/>
      <c r="AQA2" s="188"/>
      <c r="AQB2" s="188"/>
      <c r="AQC2" s="188"/>
      <c r="AQD2" s="188"/>
      <c r="AQE2" s="188"/>
      <c r="AQF2" s="188"/>
      <c r="AQG2" s="188"/>
      <c r="AQH2" s="188"/>
      <c r="AQI2" s="188"/>
      <c r="AQJ2" s="188"/>
      <c r="AQK2" s="188"/>
      <c r="AQL2" s="188"/>
      <c r="AQM2" s="188"/>
      <c r="AQN2" s="188"/>
      <c r="AQO2" s="188"/>
      <c r="AQP2" s="188"/>
      <c r="AQQ2" s="188"/>
      <c r="AQR2" s="188"/>
      <c r="AQS2" s="188"/>
      <c r="AQT2" s="188"/>
      <c r="AQU2" s="188"/>
      <c r="AQV2" s="188"/>
      <c r="AQW2" s="188"/>
      <c r="AQX2" s="188"/>
      <c r="AQY2" s="188"/>
      <c r="AQZ2" s="188"/>
      <c r="ARA2" s="188"/>
      <c r="ARB2" s="188"/>
      <c r="ARC2" s="188"/>
      <c r="ARD2" s="188"/>
      <c r="ARE2" s="188"/>
      <c r="ARF2" s="188"/>
      <c r="ARG2" s="188"/>
      <c r="ARH2" s="188"/>
      <c r="ARI2" s="188"/>
      <c r="ARJ2" s="188"/>
      <c r="ARK2" s="188"/>
      <c r="ARL2" s="188"/>
      <c r="ARM2" s="188"/>
      <c r="ARN2" s="188"/>
      <c r="ARO2" s="188"/>
      <c r="ARP2" s="188"/>
      <c r="ARQ2" s="188"/>
      <c r="ARR2" s="188"/>
      <c r="ARS2" s="188"/>
      <c r="ART2" s="188"/>
      <c r="ARU2" s="188"/>
      <c r="ARV2" s="188"/>
      <c r="ARW2" s="188"/>
      <c r="ARX2" s="188"/>
      <c r="ARY2" s="188"/>
      <c r="ARZ2" s="188"/>
      <c r="ASA2" s="188"/>
      <c r="ASB2" s="188"/>
      <c r="ASC2" s="188"/>
      <c r="ASD2" s="188"/>
      <c r="ASE2" s="188"/>
      <c r="ASF2" s="188"/>
      <c r="ASG2" s="188"/>
      <c r="ASH2" s="188"/>
      <c r="ASI2" s="188"/>
      <c r="ASJ2" s="188"/>
      <c r="ASK2" s="188"/>
      <c r="ASL2" s="188"/>
      <c r="ASM2" s="188"/>
      <c r="ASN2" s="188"/>
      <c r="ASO2" s="188"/>
      <c r="ASP2" s="188"/>
      <c r="ASQ2" s="188"/>
      <c r="ASR2" s="188"/>
      <c r="ASS2" s="188"/>
      <c r="AST2" s="188"/>
      <c r="ASU2" s="188"/>
      <c r="ASV2" s="188"/>
      <c r="ASW2" s="188"/>
      <c r="ASX2" s="188"/>
      <c r="ASY2" s="188"/>
      <c r="ASZ2" s="188"/>
      <c r="ATA2" s="188"/>
      <c r="ATB2" s="188"/>
      <c r="ATC2" s="188"/>
      <c r="ATD2" s="188"/>
      <c r="ATE2" s="188"/>
      <c r="ATF2" s="188"/>
      <c r="ATG2" s="188"/>
      <c r="ATH2" s="188"/>
      <c r="ATI2" s="188"/>
      <c r="ATJ2" s="188"/>
      <c r="ATK2" s="188"/>
      <c r="ATL2" s="188"/>
      <c r="ATM2" s="188"/>
      <c r="ATN2" s="188"/>
      <c r="ATO2" s="188"/>
      <c r="ATP2" s="188"/>
      <c r="ATQ2" s="188"/>
      <c r="ATR2" s="188"/>
      <c r="ATS2" s="188"/>
      <c r="ATT2" s="188"/>
      <c r="ATU2" s="188"/>
      <c r="ATV2" s="188"/>
      <c r="ATW2" s="188"/>
      <c r="ATX2" s="188"/>
      <c r="ATY2" s="188"/>
      <c r="ATZ2" s="188"/>
      <c r="AUA2" s="188"/>
      <c r="AUB2" s="188"/>
      <c r="AUC2" s="188"/>
      <c r="AUD2" s="188"/>
      <c r="AUE2" s="188"/>
      <c r="AUF2" s="188"/>
      <c r="AUG2" s="188"/>
      <c r="AUH2" s="188"/>
      <c r="AUI2" s="188"/>
      <c r="AUJ2" s="188"/>
      <c r="AUK2" s="188"/>
      <c r="AUL2" s="188"/>
      <c r="AUM2" s="188"/>
      <c r="AUN2" s="188"/>
      <c r="AUO2" s="188"/>
      <c r="AUP2" s="188"/>
      <c r="AUQ2" s="188"/>
      <c r="AUR2" s="188"/>
      <c r="AUS2" s="188"/>
      <c r="AUT2" s="188"/>
      <c r="AUU2" s="188"/>
      <c r="AUV2" s="188"/>
      <c r="AUW2" s="188"/>
      <c r="AUX2" s="188"/>
      <c r="AUY2" s="188"/>
      <c r="AUZ2" s="188"/>
      <c r="AVA2" s="188"/>
      <c r="AVB2" s="188"/>
      <c r="AVC2" s="188"/>
      <c r="AVD2" s="188"/>
      <c r="AVE2" s="188"/>
      <c r="AVF2" s="188"/>
      <c r="AVG2" s="188"/>
      <c r="AVH2" s="188"/>
      <c r="AVI2" s="188"/>
      <c r="AVJ2" s="188"/>
      <c r="AVK2" s="188"/>
      <c r="AVL2" s="188"/>
      <c r="AVM2" s="188"/>
      <c r="AVN2" s="188"/>
      <c r="AVO2" s="188"/>
      <c r="AVP2" s="188"/>
      <c r="AVQ2" s="188"/>
      <c r="AVR2" s="188"/>
      <c r="AVS2" s="188"/>
      <c r="AVT2" s="188"/>
      <c r="AVU2" s="188"/>
      <c r="AVV2" s="188"/>
      <c r="AVW2" s="188"/>
      <c r="AVX2" s="188"/>
      <c r="AVY2" s="188"/>
      <c r="AVZ2" s="188"/>
      <c r="AWA2" s="188"/>
      <c r="AWB2" s="188"/>
      <c r="AWC2" s="188"/>
      <c r="AWD2" s="188"/>
      <c r="AWE2" s="188"/>
      <c r="AWF2" s="188"/>
      <c r="AWG2" s="188"/>
      <c r="AWH2" s="188"/>
      <c r="AWI2" s="188"/>
      <c r="AWJ2" s="188"/>
      <c r="AWK2" s="188"/>
      <c r="AWL2" s="188"/>
      <c r="AWM2" s="188"/>
      <c r="AWN2" s="188"/>
      <c r="AWO2" s="188"/>
      <c r="AWP2" s="188"/>
      <c r="AWQ2" s="188"/>
      <c r="AWR2" s="188"/>
      <c r="AWS2" s="188"/>
      <c r="AWT2" s="188"/>
      <c r="AWU2" s="188"/>
      <c r="AWV2" s="188"/>
      <c r="AWW2" s="188"/>
      <c r="AWX2" s="188"/>
      <c r="AWY2" s="188"/>
      <c r="AWZ2" s="188"/>
      <c r="AXA2" s="188"/>
      <c r="AXB2" s="188"/>
      <c r="AXC2" s="188"/>
      <c r="AXD2" s="188"/>
      <c r="AXE2" s="188"/>
      <c r="AXF2" s="188"/>
      <c r="AXG2" s="188"/>
      <c r="AXH2" s="188"/>
      <c r="AXI2" s="188"/>
      <c r="AXJ2" s="188"/>
      <c r="AXK2" s="188"/>
      <c r="AXL2" s="188"/>
      <c r="AXM2" s="188"/>
      <c r="AXN2" s="188"/>
      <c r="AXO2" s="188"/>
      <c r="AXP2" s="188"/>
      <c r="AXQ2" s="188"/>
      <c r="AXR2" s="188"/>
      <c r="AXS2" s="188"/>
      <c r="AXT2" s="188"/>
      <c r="AXU2" s="188"/>
      <c r="AXV2" s="188"/>
      <c r="AXW2" s="188"/>
      <c r="AXX2" s="188"/>
      <c r="AXY2" s="188"/>
      <c r="AXZ2" s="188"/>
      <c r="AYA2" s="188"/>
      <c r="AYB2" s="188"/>
      <c r="AYC2" s="188"/>
      <c r="AYD2" s="188"/>
      <c r="AYE2" s="188"/>
      <c r="AYF2" s="188"/>
      <c r="AYG2" s="188"/>
      <c r="AYH2" s="188"/>
      <c r="AYI2" s="188"/>
      <c r="AYJ2" s="188"/>
      <c r="AYK2" s="188"/>
      <c r="AYL2" s="188"/>
      <c r="AYM2" s="188"/>
      <c r="AYN2" s="188"/>
      <c r="AYO2" s="188"/>
      <c r="AYP2" s="188"/>
      <c r="AYQ2" s="188"/>
      <c r="AYR2" s="188"/>
      <c r="AYS2" s="188"/>
      <c r="AYT2" s="188"/>
      <c r="AYU2" s="188"/>
      <c r="AYV2" s="188"/>
      <c r="AYW2" s="188"/>
      <c r="AYX2" s="188"/>
      <c r="AYY2" s="188"/>
      <c r="AYZ2" s="188"/>
      <c r="AZA2" s="188"/>
      <c r="AZB2" s="188"/>
      <c r="AZC2" s="188"/>
      <c r="AZD2" s="188"/>
      <c r="AZE2" s="188"/>
      <c r="AZF2" s="188"/>
      <c r="AZG2" s="188"/>
      <c r="AZH2" s="188"/>
      <c r="AZI2" s="188"/>
      <c r="AZJ2" s="188"/>
      <c r="AZK2" s="188"/>
      <c r="AZL2" s="188"/>
      <c r="AZM2" s="188"/>
      <c r="AZN2" s="188"/>
      <c r="AZO2" s="188"/>
      <c r="AZP2" s="188"/>
      <c r="AZQ2" s="188"/>
      <c r="AZR2" s="188"/>
      <c r="AZS2" s="188"/>
      <c r="AZT2" s="188"/>
      <c r="AZU2" s="188"/>
      <c r="AZV2" s="188"/>
      <c r="AZW2" s="188"/>
      <c r="AZX2" s="188"/>
      <c r="AZY2" s="188"/>
      <c r="AZZ2" s="188"/>
      <c r="BAA2" s="188"/>
      <c r="BAB2" s="188"/>
      <c r="BAC2" s="188"/>
      <c r="BAD2" s="188"/>
      <c r="BAE2" s="188"/>
      <c r="BAF2" s="188"/>
      <c r="BAG2" s="188"/>
      <c r="BAH2" s="188"/>
      <c r="BAI2" s="188"/>
      <c r="BAJ2" s="188"/>
      <c r="BAK2" s="188"/>
      <c r="BAL2" s="188"/>
      <c r="BAM2" s="188"/>
      <c r="BAN2" s="188"/>
      <c r="BAO2" s="188"/>
      <c r="BAP2" s="188"/>
      <c r="BAQ2" s="188"/>
      <c r="BAR2" s="188"/>
      <c r="BAS2" s="188"/>
      <c r="BAT2" s="188"/>
      <c r="BAU2" s="188"/>
      <c r="BAV2" s="188"/>
      <c r="BAW2" s="188"/>
      <c r="BAX2" s="188"/>
      <c r="BAY2" s="188"/>
      <c r="BAZ2" s="188"/>
      <c r="BBA2" s="188"/>
      <c r="BBB2" s="188"/>
      <c r="BBC2" s="188"/>
      <c r="BBD2" s="188"/>
      <c r="BBE2" s="188"/>
      <c r="BBF2" s="188"/>
      <c r="BBG2" s="188"/>
      <c r="BBH2" s="188"/>
      <c r="BBI2" s="188"/>
      <c r="BBJ2" s="188"/>
      <c r="BBK2" s="188"/>
      <c r="BBL2" s="188"/>
      <c r="BBM2" s="188"/>
      <c r="BBN2" s="188"/>
      <c r="BBO2" s="188"/>
      <c r="BBP2" s="188"/>
      <c r="BBQ2" s="188"/>
      <c r="BBR2" s="188"/>
      <c r="BBS2" s="188"/>
      <c r="BBT2" s="188"/>
      <c r="BBU2" s="188"/>
      <c r="BBV2" s="188"/>
      <c r="BBW2" s="188"/>
      <c r="BBX2" s="188"/>
      <c r="BBY2" s="188"/>
      <c r="BBZ2" s="188"/>
      <c r="BCA2" s="188"/>
      <c r="BCB2" s="188"/>
      <c r="BCC2" s="188"/>
      <c r="BCD2" s="188"/>
      <c r="BCE2" s="188"/>
      <c r="BCF2" s="188"/>
      <c r="BCG2" s="188"/>
      <c r="BCH2" s="188"/>
      <c r="BCI2" s="188"/>
      <c r="BCJ2" s="188"/>
      <c r="BCK2" s="188"/>
      <c r="BCL2" s="188"/>
      <c r="BCM2" s="188"/>
      <c r="BCN2" s="188"/>
      <c r="BCO2" s="188"/>
      <c r="BCP2" s="188"/>
      <c r="BCQ2" s="188"/>
      <c r="BCR2" s="188"/>
      <c r="BCS2" s="188"/>
      <c r="BCT2" s="188"/>
      <c r="BCU2" s="188"/>
      <c r="BCV2" s="188"/>
      <c r="BCW2" s="188"/>
      <c r="BCX2" s="188"/>
      <c r="BCY2" s="188"/>
      <c r="BCZ2" s="188"/>
      <c r="BDA2" s="188"/>
      <c r="BDB2" s="188"/>
      <c r="BDC2" s="188"/>
      <c r="BDD2" s="188"/>
      <c r="BDE2" s="188"/>
      <c r="BDF2" s="188"/>
      <c r="BDG2" s="188"/>
      <c r="BDH2" s="188"/>
      <c r="BDI2" s="188"/>
      <c r="BDJ2" s="188"/>
      <c r="BDK2" s="188"/>
      <c r="BDL2" s="188"/>
      <c r="BDM2" s="188"/>
      <c r="BDN2" s="188"/>
      <c r="BDO2" s="188"/>
      <c r="BDP2" s="188"/>
      <c r="BDQ2" s="188"/>
      <c r="BDR2" s="188"/>
      <c r="BDS2" s="188"/>
      <c r="BDT2" s="188"/>
      <c r="BDU2" s="188"/>
      <c r="BDV2" s="188"/>
      <c r="BDW2" s="188"/>
      <c r="BDX2" s="188"/>
      <c r="BDY2" s="188"/>
      <c r="BDZ2" s="188"/>
      <c r="BEA2" s="188"/>
      <c r="BEB2" s="188"/>
      <c r="BEC2" s="188"/>
      <c r="BED2" s="188"/>
      <c r="BEE2" s="188"/>
      <c r="BEF2" s="188"/>
      <c r="BEG2" s="188"/>
      <c r="BEH2" s="188"/>
      <c r="BEI2" s="188"/>
      <c r="BEJ2" s="188"/>
      <c r="BEK2" s="188"/>
      <c r="BEL2" s="188"/>
      <c r="BEM2" s="188"/>
      <c r="BEN2" s="188"/>
      <c r="BEO2" s="188"/>
      <c r="BEP2" s="188"/>
      <c r="BEQ2" s="188"/>
      <c r="BER2" s="188"/>
      <c r="BES2" s="188"/>
      <c r="BET2" s="188"/>
      <c r="BEU2" s="188"/>
      <c r="BEV2" s="188"/>
      <c r="BEW2" s="188"/>
      <c r="BEX2" s="188"/>
      <c r="BEY2" s="188"/>
      <c r="BEZ2" s="188"/>
      <c r="BFA2" s="188"/>
      <c r="BFB2" s="188"/>
      <c r="BFC2" s="188"/>
      <c r="BFD2" s="188"/>
      <c r="BFE2" s="188"/>
      <c r="BFF2" s="188"/>
      <c r="BFG2" s="188"/>
      <c r="BFH2" s="188"/>
      <c r="BFI2" s="188"/>
      <c r="BFJ2" s="188"/>
      <c r="BFK2" s="188"/>
      <c r="BFL2" s="188"/>
      <c r="BFM2" s="188"/>
      <c r="BFN2" s="188"/>
      <c r="BFO2" s="188"/>
      <c r="BFP2" s="188"/>
      <c r="BFQ2" s="188"/>
      <c r="BFR2" s="188"/>
      <c r="BFS2" s="188"/>
      <c r="BFT2" s="188"/>
      <c r="BFU2" s="188"/>
      <c r="BFV2" s="188"/>
      <c r="BFW2" s="188"/>
      <c r="BFX2" s="188"/>
      <c r="BFY2" s="188"/>
      <c r="BFZ2" s="188"/>
      <c r="BGA2" s="188"/>
      <c r="BGB2" s="188"/>
      <c r="BGC2" s="188"/>
      <c r="BGD2" s="188"/>
      <c r="BGE2" s="188"/>
      <c r="BGF2" s="188"/>
      <c r="BGG2" s="188"/>
      <c r="BGH2" s="188"/>
      <c r="BGI2" s="188"/>
      <c r="BGJ2" s="188"/>
      <c r="BGK2" s="188"/>
      <c r="BGL2" s="188"/>
      <c r="BGM2" s="188"/>
      <c r="BGN2" s="188"/>
      <c r="BGO2" s="188"/>
      <c r="BGP2" s="188"/>
      <c r="BGQ2" s="188"/>
      <c r="BGR2" s="188"/>
      <c r="BGS2" s="188"/>
      <c r="BGT2" s="188"/>
      <c r="BGU2" s="188"/>
      <c r="BGV2" s="188"/>
      <c r="BGW2" s="188"/>
      <c r="BGX2" s="188"/>
      <c r="BGY2" s="188"/>
      <c r="BGZ2" s="188"/>
      <c r="BHA2" s="188"/>
      <c r="BHB2" s="188"/>
      <c r="BHC2" s="188"/>
      <c r="BHD2" s="188"/>
      <c r="BHE2" s="188"/>
      <c r="BHF2" s="188"/>
      <c r="BHG2" s="188"/>
      <c r="BHH2" s="188"/>
      <c r="BHI2" s="188"/>
      <c r="BHJ2" s="188"/>
      <c r="BHK2" s="188"/>
      <c r="BHL2" s="188"/>
      <c r="BHM2" s="188"/>
      <c r="BHN2" s="188"/>
      <c r="BHO2" s="188"/>
      <c r="BHP2" s="188"/>
      <c r="BHQ2" s="188"/>
      <c r="BHR2" s="188"/>
      <c r="BHS2" s="188"/>
      <c r="BHT2" s="188"/>
      <c r="BHU2" s="188"/>
      <c r="BHV2" s="188"/>
      <c r="BHW2" s="188"/>
      <c r="BHX2" s="188"/>
      <c r="BHY2" s="188"/>
      <c r="BHZ2" s="188"/>
      <c r="BIA2" s="188"/>
      <c r="BIB2" s="188"/>
      <c r="BIC2" s="188"/>
      <c r="BID2" s="188"/>
      <c r="BIE2" s="188"/>
      <c r="BIF2" s="188"/>
      <c r="BIG2" s="188"/>
      <c r="BIH2" s="188"/>
      <c r="BII2" s="188"/>
      <c r="BIJ2" s="188"/>
      <c r="BIK2" s="188"/>
      <c r="BIL2" s="188"/>
      <c r="BIM2" s="188"/>
      <c r="BIN2" s="188"/>
      <c r="BIO2" s="188"/>
      <c r="BIP2" s="188"/>
      <c r="BIQ2" s="188"/>
      <c r="BIR2" s="188"/>
      <c r="BIS2" s="188"/>
      <c r="BIT2" s="188"/>
      <c r="BIU2" s="188"/>
      <c r="BIV2" s="188"/>
      <c r="BIW2" s="188"/>
      <c r="BIX2" s="188"/>
      <c r="BIY2" s="188"/>
      <c r="BIZ2" s="188"/>
      <c r="BJA2" s="188"/>
      <c r="BJB2" s="188"/>
      <c r="BJC2" s="188"/>
      <c r="BJD2" s="188"/>
      <c r="BJE2" s="188"/>
      <c r="BJF2" s="188"/>
      <c r="BJG2" s="188"/>
      <c r="BJH2" s="188"/>
      <c r="BJI2" s="188"/>
      <c r="BJJ2" s="188"/>
      <c r="BJK2" s="188"/>
      <c r="BJL2" s="188"/>
      <c r="BJM2" s="188"/>
      <c r="BJN2" s="188"/>
      <c r="BJO2" s="188"/>
      <c r="BJP2" s="188"/>
      <c r="BJQ2" s="188"/>
      <c r="BJR2" s="188"/>
      <c r="BJS2" s="188"/>
      <c r="BJT2" s="188"/>
      <c r="BJU2" s="188"/>
      <c r="BJV2" s="188"/>
      <c r="BJW2" s="188"/>
      <c r="BJX2" s="188"/>
      <c r="BJY2" s="188"/>
      <c r="BJZ2" s="188"/>
      <c r="BKA2" s="188"/>
      <c r="BKB2" s="188"/>
      <c r="BKC2" s="188"/>
      <c r="BKD2" s="188"/>
      <c r="BKE2" s="188"/>
      <c r="BKF2" s="188"/>
      <c r="BKG2" s="188"/>
      <c r="BKH2" s="188"/>
      <c r="BKI2" s="188"/>
      <c r="BKJ2" s="188"/>
      <c r="BKK2" s="188"/>
      <c r="BKL2" s="188"/>
      <c r="BKM2" s="188"/>
      <c r="BKN2" s="188"/>
      <c r="BKO2" s="188"/>
      <c r="BKP2" s="188"/>
      <c r="BKQ2" s="188"/>
      <c r="BKR2" s="188"/>
      <c r="BKS2" s="188"/>
      <c r="BKT2" s="188"/>
      <c r="BKU2" s="188"/>
      <c r="BKV2" s="188"/>
      <c r="BKW2" s="188"/>
      <c r="BKX2" s="188"/>
      <c r="BKY2" s="188"/>
      <c r="BKZ2" s="188"/>
      <c r="BLA2" s="188"/>
      <c r="BLB2" s="188"/>
      <c r="BLC2" s="188"/>
      <c r="BLD2" s="188"/>
      <c r="BLE2" s="188"/>
      <c r="BLF2" s="188"/>
      <c r="BLG2" s="188"/>
      <c r="BLH2" s="188"/>
      <c r="BLI2" s="188"/>
      <c r="BLJ2" s="188"/>
      <c r="BLK2" s="188"/>
      <c r="BLL2" s="188"/>
      <c r="BLM2" s="188"/>
      <c r="BLN2" s="188"/>
      <c r="BLO2" s="188"/>
      <c r="BLP2" s="188"/>
      <c r="BLQ2" s="188"/>
      <c r="BLR2" s="188"/>
      <c r="BLS2" s="188"/>
      <c r="BLT2" s="188"/>
      <c r="BLU2" s="188"/>
      <c r="BLV2" s="188"/>
      <c r="BLW2" s="188"/>
      <c r="BLX2" s="188"/>
      <c r="BLY2" s="188"/>
      <c r="BLZ2" s="188"/>
      <c r="BMA2" s="188"/>
      <c r="BMB2" s="188"/>
      <c r="BMC2" s="188"/>
      <c r="BMD2" s="188"/>
      <c r="BME2" s="188"/>
      <c r="BMF2" s="188"/>
      <c r="BMG2" s="188"/>
      <c r="BMH2" s="188"/>
      <c r="BMI2" s="188"/>
      <c r="BMJ2" s="188"/>
      <c r="BMK2" s="188"/>
      <c r="BML2" s="188"/>
      <c r="BMM2" s="188"/>
      <c r="BMN2" s="188"/>
      <c r="BMO2" s="188"/>
      <c r="BMP2" s="188"/>
      <c r="BMQ2" s="188"/>
      <c r="BMR2" s="188"/>
      <c r="BMS2" s="188"/>
      <c r="BMT2" s="188"/>
      <c r="BMU2" s="188"/>
      <c r="BMV2" s="188"/>
      <c r="BMW2" s="188"/>
      <c r="BMX2" s="188"/>
      <c r="BMY2" s="188"/>
      <c r="BMZ2" s="188"/>
      <c r="BNA2" s="188"/>
      <c r="BNB2" s="188"/>
      <c r="BNC2" s="188"/>
      <c r="BND2" s="188"/>
      <c r="BNE2" s="188"/>
      <c r="BNF2" s="188"/>
      <c r="BNG2" s="188"/>
      <c r="BNH2" s="188"/>
      <c r="BNI2" s="188"/>
      <c r="BNJ2" s="188"/>
      <c r="BNK2" s="188"/>
      <c r="BNL2" s="188"/>
      <c r="BNM2" s="188"/>
      <c r="BNN2" s="188"/>
      <c r="BNO2" s="188"/>
      <c r="BNP2" s="188"/>
      <c r="BNQ2" s="188"/>
      <c r="BNR2" s="188"/>
      <c r="BNS2" s="188"/>
      <c r="BNT2" s="188"/>
      <c r="BNU2" s="188"/>
      <c r="BNV2" s="188"/>
      <c r="BNW2" s="188"/>
      <c r="BNX2" s="188"/>
      <c r="BNY2" s="188"/>
      <c r="BNZ2" s="188"/>
      <c r="BOA2" s="188"/>
      <c r="BOB2" s="188"/>
      <c r="BOC2" s="188"/>
      <c r="BOD2" s="188"/>
      <c r="BOE2" s="188"/>
      <c r="BOF2" s="188"/>
      <c r="BOG2" s="188"/>
      <c r="BOH2" s="188"/>
      <c r="BOI2" s="188"/>
      <c r="BOJ2" s="188"/>
      <c r="BOK2" s="188"/>
      <c r="BOL2" s="188"/>
      <c r="BOM2" s="188"/>
      <c r="BON2" s="188"/>
      <c r="BOO2" s="188"/>
      <c r="BOP2" s="188"/>
      <c r="BOQ2" s="188"/>
      <c r="BOR2" s="188"/>
      <c r="BOS2" s="188"/>
      <c r="BOT2" s="188"/>
      <c r="BOU2" s="188"/>
      <c r="BOV2" s="188"/>
      <c r="BOW2" s="188"/>
      <c r="BOX2" s="188"/>
      <c r="BOY2" s="188"/>
      <c r="BOZ2" s="188"/>
      <c r="BPA2" s="188"/>
      <c r="BPB2" s="188"/>
      <c r="BPC2" s="188"/>
      <c r="BPD2" s="188"/>
      <c r="BPE2" s="188"/>
      <c r="BPF2" s="188"/>
      <c r="BPG2" s="188"/>
      <c r="BPH2" s="188"/>
      <c r="BPI2" s="188"/>
      <c r="BPJ2" s="188"/>
      <c r="BPK2" s="188"/>
      <c r="BPL2" s="188"/>
      <c r="BPM2" s="188"/>
      <c r="BPN2" s="188"/>
      <c r="BPO2" s="188"/>
      <c r="BPP2" s="188"/>
      <c r="BPQ2" s="188"/>
      <c r="BPR2" s="188"/>
      <c r="BPS2" s="188"/>
      <c r="BPT2" s="188"/>
      <c r="BPU2" s="188"/>
      <c r="BPV2" s="188"/>
      <c r="BPW2" s="188"/>
      <c r="BPX2" s="188"/>
      <c r="BPY2" s="188"/>
      <c r="BPZ2" s="188"/>
      <c r="BQA2" s="188"/>
      <c r="BQB2" s="188"/>
      <c r="BQC2" s="188"/>
      <c r="BQD2" s="188"/>
      <c r="BQE2" s="188"/>
      <c r="BQF2" s="188"/>
      <c r="BQG2" s="188"/>
      <c r="BQH2" s="188"/>
      <c r="BQI2" s="188"/>
      <c r="BQJ2" s="188"/>
      <c r="BQK2" s="188"/>
      <c r="BQL2" s="188"/>
      <c r="BQM2" s="188"/>
      <c r="BQN2" s="188"/>
      <c r="BQO2" s="188"/>
      <c r="BQP2" s="188"/>
      <c r="BQQ2" s="188"/>
      <c r="BQR2" s="188"/>
      <c r="BQS2" s="188"/>
      <c r="BQT2" s="188"/>
      <c r="BQU2" s="188"/>
      <c r="BQV2" s="188"/>
      <c r="BQW2" s="188"/>
      <c r="BQX2" s="188"/>
      <c r="BQY2" s="188"/>
      <c r="BQZ2" s="188"/>
      <c r="BRA2" s="188"/>
      <c r="BRB2" s="188"/>
      <c r="BRC2" s="188"/>
      <c r="BRD2" s="188"/>
      <c r="BRE2" s="188"/>
      <c r="BRF2" s="188"/>
      <c r="BRG2" s="188"/>
      <c r="BRH2" s="188"/>
      <c r="BRI2" s="188"/>
      <c r="BRJ2" s="188"/>
      <c r="BRK2" s="188"/>
      <c r="BRL2" s="188"/>
      <c r="BRM2" s="188"/>
      <c r="BRN2" s="188"/>
      <c r="BRO2" s="188"/>
      <c r="BRP2" s="188"/>
      <c r="BRQ2" s="188"/>
      <c r="BRR2" s="188"/>
      <c r="BRS2" s="188"/>
      <c r="BRT2" s="188"/>
      <c r="BRU2" s="188"/>
      <c r="BRV2" s="188"/>
      <c r="BRW2" s="188"/>
      <c r="BRX2" s="188"/>
      <c r="BRY2" s="188"/>
      <c r="BRZ2" s="188"/>
      <c r="BSA2" s="188"/>
      <c r="BSB2" s="188"/>
      <c r="BSC2" s="188"/>
      <c r="BSD2" s="188"/>
      <c r="BSE2" s="188"/>
      <c r="BSF2" s="188"/>
      <c r="BSG2" s="188"/>
      <c r="BSH2" s="188"/>
      <c r="BSI2" s="188"/>
      <c r="BSJ2" s="188"/>
      <c r="BSK2" s="188"/>
      <c r="BSL2" s="188"/>
      <c r="BSM2" s="188"/>
      <c r="BSN2" s="188"/>
      <c r="BSO2" s="188"/>
      <c r="BSP2" s="188"/>
      <c r="BSQ2" s="188"/>
      <c r="BSR2" s="188"/>
      <c r="BSS2" s="188"/>
      <c r="BST2" s="188"/>
      <c r="BSU2" s="188"/>
      <c r="BSV2" s="188"/>
      <c r="BSW2" s="188"/>
      <c r="BSX2" s="188"/>
      <c r="BSY2" s="188"/>
      <c r="BSZ2" s="188"/>
      <c r="BTA2" s="188"/>
      <c r="BTB2" s="188"/>
      <c r="BTC2" s="188"/>
      <c r="BTD2" s="188"/>
      <c r="BTE2" s="188"/>
      <c r="BTF2" s="188"/>
      <c r="BTG2" s="188"/>
      <c r="BTH2" s="188"/>
      <c r="BTI2" s="188"/>
      <c r="BTJ2" s="188"/>
      <c r="BTK2" s="188"/>
      <c r="BTL2" s="188"/>
      <c r="BTM2" s="188"/>
      <c r="BTN2" s="188"/>
      <c r="BTO2" s="188"/>
      <c r="BTP2" s="188"/>
      <c r="BTQ2" s="188"/>
      <c r="BTR2" s="188"/>
      <c r="BTS2" s="188"/>
      <c r="BTT2" s="188"/>
      <c r="BTU2" s="188"/>
      <c r="BTV2" s="188"/>
      <c r="BTW2" s="188"/>
      <c r="BTX2" s="188"/>
      <c r="BTY2" s="188"/>
      <c r="BTZ2" s="188"/>
      <c r="BUA2" s="188"/>
      <c r="BUB2" s="188"/>
      <c r="BUC2" s="188"/>
      <c r="BUD2" s="188"/>
      <c r="BUE2" s="188"/>
      <c r="BUF2" s="188"/>
      <c r="BUG2" s="188"/>
      <c r="BUH2" s="188"/>
      <c r="BUI2" s="188"/>
      <c r="BUJ2" s="188"/>
      <c r="BUK2" s="188"/>
      <c r="BUL2" s="188"/>
      <c r="BUM2" s="188"/>
      <c r="BUN2" s="188"/>
      <c r="BUO2" s="188"/>
      <c r="BUP2" s="188"/>
      <c r="BUQ2" s="188"/>
      <c r="BUR2" s="188"/>
      <c r="BUS2" s="188"/>
      <c r="BUT2" s="188"/>
      <c r="BUU2" s="188"/>
      <c r="BUV2" s="188"/>
      <c r="BUW2" s="188"/>
      <c r="BUX2" s="188"/>
      <c r="BUY2" s="188"/>
      <c r="BUZ2" s="188"/>
      <c r="BVA2" s="188"/>
      <c r="BVB2" s="188"/>
      <c r="BVC2" s="188"/>
      <c r="BVD2" s="188"/>
      <c r="BVE2" s="188"/>
      <c r="BVF2" s="188"/>
      <c r="BVG2" s="188"/>
      <c r="BVH2" s="188"/>
      <c r="BVI2" s="188"/>
      <c r="BVJ2" s="188"/>
      <c r="BVK2" s="188"/>
      <c r="BVL2" s="188"/>
      <c r="BVM2" s="188"/>
      <c r="BVN2" s="188"/>
      <c r="BVO2" s="188"/>
      <c r="BVP2" s="188"/>
      <c r="BVQ2" s="188"/>
      <c r="BVR2" s="188"/>
      <c r="BVS2" s="188"/>
      <c r="BVT2" s="188"/>
      <c r="BVU2" s="188"/>
      <c r="BVV2" s="188"/>
      <c r="BVW2" s="188"/>
      <c r="BVX2" s="188"/>
      <c r="BVY2" s="188"/>
      <c r="BVZ2" s="188"/>
      <c r="BWA2" s="188"/>
      <c r="BWB2" s="188"/>
      <c r="BWC2" s="188"/>
      <c r="BWD2" s="188"/>
      <c r="BWE2" s="188"/>
      <c r="BWF2" s="188"/>
      <c r="BWG2" s="188"/>
      <c r="BWH2" s="188"/>
      <c r="BWI2" s="188"/>
      <c r="BWJ2" s="188"/>
      <c r="BWK2" s="188"/>
      <c r="BWL2" s="188"/>
      <c r="BWM2" s="188"/>
      <c r="BWN2" s="188"/>
      <c r="BWO2" s="188"/>
      <c r="BWP2" s="188"/>
      <c r="BWQ2" s="188"/>
      <c r="BWR2" s="188"/>
      <c r="BWS2" s="188"/>
      <c r="BWT2" s="188"/>
      <c r="BWU2" s="188"/>
      <c r="BWV2" s="188"/>
      <c r="BWW2" s="188"/>
      <c r="BWX2" s="188"/>
      <c r="BWY2" s="188"/>
      <c r="BWZ2" s="188"/>
      <c r="BXA2" s="188"/>
      <c r="BXB2" s="188"/>
      <c r="BXC2" s="188"/>
      <c r="BXD2" s="188"/>
      <c r="BXE2" s="188"/>
      <c r="BXF2" s="188"/>
      <c r="BXG2" s="188"/>
      <c r="BXH2" s="188"/>
      <c r="BXI2" s="188"/>
      <c r="BXJ2" s="188"/>
      <c r="BXK2" s="188"/>
      <c r="BXL2" s="188"/>
      <c r="BXM2" s="188"/>
      <c r="BXN2" s="188"/>
      <c r="BXO2" s="188"/>
      <c r="BXP2" s="188"/>
      <c r="BXQ2" s="188"/>
      <c r="BXR2" s="188"/>
      <c r="BXS2" s="188"/>
      <c r="BXT2" s="188"/>
      <c r="BXU2" s="188"/>
      <c r="BXV2" s="188"/>
      <c r="BXW2" s="188"/>
      <c r="BXX2" s="188"/>
      <c r="BXY2" s="188"/>
      <c r="BXZ2" s="188"/>
      <c r="BYA2" s="188"/>
      <c r="BYB2" s="188"/>
      <c r="BYC2" s="188"/>
      <c r="BYD2" s="188"/>
      <c r="BYE2" s="188"/>
      <c r="BYF2" s="188"/>
      <c r="BYG2" s="188"/>
      <c r="BYH2" s="188"/>
      <c r="BYI2" s="188"/>
      <c r="BYJ2" s="188"/>
      <c r="BYK2" s="188"/>
      <c r="BYL2" s="188"/>
      <c r="BYM2" s="188"/>
      <c r="BYN2" s="188"/>
      <c r="BYO2" s="188"/>
      <c r="BYP2" s="188"/>
      <c r="BYQ2" s="188"/>
      <c r="BYR2" s="188"/>
      <c r="BYS2" s="188"/>
      <c r="BYT2" s="188"/>
      <c r="BYU2" s="188"/>
      <c r="BYV2" s="188"/>
      <c r="BYW2" s="188"/>
      <c r="BYX2" s="188"/>
      <c r="BYY2" s="188"/>
      <c r="BYZ2" s="188"/>
      <c r="BZA2" s="188"/>
      <c r="BZB2" s="188"/>
      <c r="BZC2" s="188"/>
      <c r="BZD2" s="188"/>
      <c r="BZE2" s="188"/>
      <c r="BZF2" s="188"/>
      <c r="BZG2" s="188"/>
      <c r="BZH2" s="188"/>
      <c r="BZI2" s="188"/>
      <c r="BZJ2" s="188"/>
      <c r="BZK2" s="188"/>
      <c r="BZL2" s="188"/>
      <c r="BZM2" s="188"/>
      <c r="BZN2" s="188"/>
      <c r="BZO2" s="188"/>
      <c r="BZP2" s="188"/>
      <c r="BZQ2" s="188"/>
      <c r="BZR2" s="188"/>
      <c r="BZS2" s="188"/>
      <c r="BZT2" s="188"/>
      <c r="BZU2" s="188"/>
      <c r="BZV2" s="188"/>
      <c r="BZW2" s="188"/>
      <c r="BZX2" s="188"/>
      <c r="BZY2" s="188"/>
      <c r="BZZ2" s="188"/>
      <c r="CAA2" s="188"/>
      <c r="CAB2" s="188"/>
      <c r="CAC2" s="188"/>
      <c r="CAD2" s="188"/>
      <c r="CAE2" s="188"/>
      <c r="CAF2" s="188"/>
      <c r="CAG2" s="188"/>
      <c r="CAH2" s="188"/>
      <c r="CAI2" s="188"/>
      <c r="CAJ2" s="188"/>
      <c r="CAK2" s="188"/>
      <c r="CAL2" s="188"/>
      <c r="CAM2" s="188"/>
      <c r="CAN2" s="188"/>
      <c r="CAO2" s="188"/>
      <c r="CAP2" s="188"/>
      <c r="CAQ2" s="188"/>
      <c r="CAR2" s="188"/>
      <c r="CAS2" s="188"/>
      <c r="CAT2" s="188"/>
      <c r="CAU2" s="188"/>
      <c r="CAV2" s="188"/>
      <c r="CAW2" s="188"/>
      <c r="CAX2" s="188"/>
      <c r="CAY2" s="188"/>
      <c r="CAZ2" s="188"/>
      <c r="CBA2" s="188"/>
      <c r="CBB2" s="188"/>
      <c r="CBC2" s="188"/>
      <c r="CBD2" s="188"/>
      <c r="CBE2" s="188"/>
      <c r="CBF2" s="188"/>
      <c r="CBG2" s="188"/>
      <c r="CBH2" s="188"/>
      <c r="CBI2" s="188"/>
      <c r="CBJ2" s="188"/>
      <c r="CBK2" s="188"/>
      <c r="CBL2" s="188"/>
      <c r="CBM2" s="188"/>
      <c r="CBN2" s="188"/>
      <c r="CBO2" s="188"/>
      <c r="CBP2" s="188"/>
      <c r="CBQ2" s="188"/>
      <c r="CBR2" s="188"/>
      <c r="CBS2" s="188"/>
      <c r="CBT2" s="188"/>
      <c r="CBU2" s="188"/>
      <c r="CBV2" s="188"/>
      <c r="CBW2" s="188"/>
      <c r="CBX2" s="188"/>
      <c r="CBY2" s="188"/>
      <c r="CBZ2" s="188"/>
      <c r="CCA2" s="188"/>
      <c r="CCB2" s="188"/>
      <c r="CCC2" s="188"/>
      <c r="CCD2" s="188"/>
      <c r="CCE2" s="188"/>
      <c r="CCF2" s="188"/>
      <c r="CCG2" s="188"/>
      <c r="CCH2" s="188"/>
      <c r="CCI2" s="188"/>
      <c r="CCJ2" s="188"/>
      <c r="CCK2" s="188"/>
      <c r="CCL2" s="188"/>
      <c r="CCM2" s="188"/>
      <c r="CCN2" s="188"/>
      <c r="CCO2" s="188"/>
      <c r="CCP2" s="188"/>
      <c r="CCQ2" s="188"/>
      <c r="CCR2" s="188"/>
      <c r="CCS2" s="188"/>
      <c r="CCT2" s="188"/>
      <c r="CCU2" s="188"/>
      <c r="CCV2" s="188"/>
      <c r="CCW2" s="188"/>
      <c r="CCX2" s="188"/>
      <c r="CCY2" s="188"/>
      <c r="CCZ2" s="188"/>
      <c r="CDA2" s="188"/>
      <c r="CDB2" s="188"/>
      <c r="CDC2" s="188"/>
      <c r="CDD2" s="188"/>
      <c r="CDE2" s="188"/>
      <c r="CDF2" s="188"/>
      <c r="CDG2" s="188"/>
      <c r="CDH2" s="188"/>
      <c r="CDI2" s="188"/>
      <c r="CDJ2" s="188"/>
      <c r="CDK2" s="188"/>
      <c r="CDL2" s="188"/>
      <c r="CDM2" s="188"/>
      <c r="CDN2" s="188"/>
      <c r="CDO2" s="188"/>
      <c r="CDP2" s="188"/>
      <c r="CDQ2" s="188"/>
      <c r="CDR2" s="188"/>
      <c r="CDS2" s="188"/>
      <c r="CDT2" s="188"/>
      <c r="CDU2" s="188"/>
      <c r="CDV2" s="188"/>
      <c r="CDW2" s="188"/>
      <c r="CDX2" s="188"/>
      <c r="CDY2" s="188"/>
      <c r="CDZ2" s="188"/>
      <c r="CEA2" s="188"/>
      <c r="CEB2" s="188"/>
      <c r="CEC2" s="188"/>
      <c r="CED2" s="188"/>
      <c r="CEE2" s="188"/>
      <c r="CEF2" s="188"/>
      <c r="CEG2" s="188"/>
      <c r="CEH2" s="188"/>
      <c r="CEI2" s="188"/>
      <c r="CEJ2" s="188"/>
      <c r="CEK2" s="188"/>
      <c r="CEL2" s="188"/>
      <c r="CEM2" s="188"/>
      <c r="CEN2" s="188"/>
      <c r="CEO2" s="188"/>
      <c r="CEP2" s="188"/>
      <c r="CEQ2" s="188"/>
      <c r="CER2" s="188"/>
      <c r="CES2" s="188"/>
      <c r="CET2" s="188"/>
      <c r="CEU2" s="188"/>
      <c r="CEV2" s="188"/>
      <c r="CEW2" s="188"/>
      <c r="CEX2" s="188"/>
      <c r="CEY2" s="188"/>
      <c r="CEZ2" s="188"/>
      <c r="CFA2" s="188"/>
      <c r="CFB2" s="188"/>
      <c r="CFC2" s="188"/>
      <c r="CFD2" s="188"/>
      <c r="CFE2" s="188"/>
      <c r="CFF2" s="188"/>
      <c r="CFG2" s="188"/>
      <c r="CFH2" s="188"/>
      <c r="CFI2" s="188"/>
      <c r="CFJ2" s="188"/>
      <c r="CFK2" s="188"/>
      <c r="CFL2" s="188"/>
      <c r="CFM2" s="188"/>
      <c r="CFN2" s="188"/>
      <c r="CFO2" s="188"/>
      <c r="CFP2" s="188"/>
      <c r="CFQ2" s="188"/>
      <c r="CFR2" s="188"/>
      <c r="CFS2" s="188"/>
      <c r="CFT2" s="188"/>
      <c r="CFU2" s="188"/>
      <c r="CFV2" s="188"/>
      <c r="CFW2" s="188"/>
      <c r="CFX2" s="188"/>
      <c r="CFY2" s="188"/>
      <c r="CFZ2" s="188"/>
      <c r="CGA2" s="188"/>
      <c r="CGB2" s="188"/>
      <c r="CGC2" s="188"/>
      <c r="CGD2" s="188"/>
      <c r="CGE2" s="188"/>
      <c r="CGF2" s="188"/>
      <c r="CGG2" s="188"/>
      <c r="CGH2" s="188"/>
      <c r="CGI2" s="188"/>
      <c r="CGJ2" s="188"/>
      <c r="CGK2" s="188"/>
      <c r="CGL2" s="188"/>
      <c r="CGM2" s="188"/>
      <c r="CGN2" s="188"/>
      <c r="CGO2" s="188"/>
      <c r="CGP2" s="188"/>
      <c r="CGQ2" s="188"/>
      <c r="CGR2" s="188"/>
      <c r="CGS2" s="188"/>
      <c r="CGT2" s="188"/>
      <c r="CGU2" s="188"/>
      <c r="CGV2" s="188"/>
      <c r="CGW2" s="188"/>
      <c r="CGX2" s="188"/>
      <c r="CGY2" s="188"/>
      <c r="CGZ2" s="188"/>
      <c r="CHA2" s="188"/>
      <c r="CHB2" s="188"/>
      <c r="CHC2" s="188"/>
      <c r="CHD2" s="188"/>
      <c r="CHE2" s="188"/>
      <c r="CHF2" s="188"/>
      <c r="CHG2" s="188"/>
      <c r="CHH2" s="188"/>
      <c r="CHI2" s="188"/>
      <c r="CHJ2" s="188"/>
      <c r="CHK2" s="188"/>
      <c r="CHL2" s="188"/>
      <c r="CHM2" s="188"/>
      <c r="CHN2" s="188"/>
      <c r="CHO2" s="188"/>
      <c r="CHP2" s="188"/>
      <c r="CHQ2" s="188"/>
      <c r="CHR2" s="188"/>
      <c r="CHS2" s="188"/>
      <c r="CHT2" s="188"/>
      <c r="CHU2" s="188"/>
      <c r="CHV2" s="188"/>
      <c r="CHW2" s="188"/>
      <c r="CHX2" s="188"/>
      <c r="CHY2" s="188"/>
      <c r="CHZ2" s="188"/>
      <c r="CIA2" s="188"/>
      <c r="CIB2" s="188"/>
      <c r="CIC2" s="188"/>
      <c r="CID2" s="188"/>
      <c r="CIE2" s="188"/>
      <c r="CIF2" s="188"/>
      <c r="CIG2" s="188"/>
      <c r="CIH2" s="188"/>
      <c r="CII2" s="188"/>
      <c r="CIJ2" s="188"/>
      <c r="CIK2" s="188"/>
      <c r="CIL2" s="188"/>
      <c r="CIM2" s="188"/>
      <c r="CIN2" s="188"/>
      <c r="CIO2" s="188"/>
      <c r="CIP2" s="188"/>
      <c r="CIQ2" s="188"/>
      <c r="CIR2" s="188"/>
      <c r="CIS2" s="188"/>
      <c r="CIT2" s="188"/>
      <c r="CIU2" s="188"/>
      <c r="CIV2" s="188"/>
      <c r="CIW2" s="188"/>
      <c r="CIX2" s="188"/>
      <c r="CIY2" s="188"/>
      <c r="CIZ2" s="188"/>
      <c r="CJA2" s="188"/>
      <c r="CJB2" s="188"/>
      <c r="CJC2" s="188"/>
      <c r="CJD2" s="188"/>
      <c r="CJE2" s="188"/>
      <c r="CJF2" s="188"/>
      <c r="CJG2" s="188"/>
      <c r="CJH2" s="188"/>
      <c r="CJI2" s="188"/>
      <c r="CJJ2" s="188"/>
      <c r="CJK2" s="188"/>
      <c r="CJL2" s="188"/>
      <c r="CJM2" s="188"/>
      <c r="CJN2" s="188"/>
      <c r="CJO2" s="188"/>
      <c r="CJP2" s="188"/>
      <c r="CJQ2" s="188"/>
      <c r="CJR2" s="188"/>
      <c r="CJS2" s="188"/>
      <c r="CJT2" s="188"/>
      <c r="CJU2" s="188"/>
      <c r="CJV2" s="188"/>
      <c r="CJW2" s="188"/>
      <c r="CJX2" s="188"/>
      <c r="CJY2" s="188"/>
      <c r="CJZ2" s="188"/>
      <c r="CKA2" s="188"/>
      <c r="CKB2" s="188"/>
      <c r="CKC2" s="188"/>
      <c r="CKD2" s="188"/>
      <c r="CKE2" s="188"/>
      <c r="CKF2" s="188"/>
      <c r="CKG2" s="188"/>
      <c r="CKH2" s="188"/>
      <c r="CKI2" s="188"/>
      <c r="CKJ2" s="188"/>
      <c r="CKK2" s="188"/>
      <c r="CKL2" s="188"/>
      <c r="CKM2" s="188"/>
      <c r="CKN2" s="188"/>
      <c r="CKO2" s="188"/>
      <c r="CKP2" s="188"/>
      <c r="CKQ2" s="188"/>
      <c r="CKR2" s="188"/>
      <c r="CKS2" s="188"/>
      <c r="CKT2" s="188"/>
      <c r="CKU2" s="188"/>
      <c r="CKV2" s="188"/>
      <c r="CKW2" s="188"/>
      <c r="CKX2" s="188"/>
      <c r="CKY2" s="188"/>
      <c r="CKZ2" s="188"/>
      <c r="CLA2" s="188"/>
      <c r="CLB2" s="188"/>
      <c r="CLC2" s="188"/>
      <c r="CLD2" s="188"/>
      <c r="CLE2" s="188"/>
      <c r="CLF2" s="188"/>
      <c r="CLG2" s="188"/>
      <c r="CLH2" s="188"/>
      <c r="CLI2" s="188"/>
      <c r="CLJ2" s="188"/>
      <c r="CLK2" s="188"/>
      <c r="CLL2" s="188"/>
      <c r="CLM2" s="188"/>
      <c r="CLN2" s="188"/>
      <c r="CLO2" s="188"/>
      <c r="CLP2" s="188"/>
      <c r="CLQ2" s="188"/>
      <c r="CLR2" s="188"/>
      <c r="CLS2" s="188"/>
      <c r="CLT2" s="188"/>
      <c r="CLU2" s="188"/>
      <c r="CLV2" s="188"/>
      <c r="CLW2" s="188"/>
      <c r="CLX2" s="188"/>
      <c r="CLY2" s="188"/>
      <c r="CLZ2" s="188"/>
      <c r="CMA2" s="188"/>
      <c r="CMB2" s="188"/>
      <c r="CMC2" s="188"/>
      <c r="CMD2" s="188"/>
      <c r="CME2" s="188"/>
      <c r="CMF2" s="188"/>
      <c r="CMG2" s="188"/>
      <c r="CMH2" s="188"/>
      <c r="CMI2" s="188"/>
      <c r="CMJ2" s="188"/>
      <c r="CMK2" s="188"/>
      <c r="CML2" s="188"/>
      <c r="CMM2" s="188"/>
      <c r="CMN2" s="188"/>
      <c r="CMO2" s="188"/>
      <c r="CMP2" s="188"/>
      <c r="CMQ2" s="188"/>
      <c r="CMR2" s="188"/>
      <c r="CMS2" s="188"/>
      <c r="CMT2" s="188"/>
      <c r="CMU2" s="188"/>
      <c r="CMV2" s="188"/>
      <c r="CMW2" s="188"/>
      <c r="CMX2" s="188"/>
      <c r="CMY2" s="188"/>
      <c r="CMZ2" s="188"/>
      <c r="CNA2" s="188"/>
      <c r="CNB2" s="188"/>
      <c r="CNC2" s="188"/>
      <c r="CND2" s="188"/>
      <c r="CNE2" s="188"/>
      <c r="CNF2" s="188"/>
      <c r="CNG2" s="188"/>
      <c r="CNH2" s="188"/>
      <c r="CNI2" s="188"/>
      <c r="CNJ2" s="188"/>
      <c r="CNK2" s="188"/>
      <c r="CNL2" s="188"/>
      <c r="CNM2" s="188"/>
      <c r="CNN2" s="188"/>
      <c r="CNO2" s="188"/>
      <c r="CNP2" s="188"/>
      <c r="CNQ2" s="188"/>
      <c r="CNR2" s="188"/>
      <c r="CNS2" s="188"/>
      <c r="CNT2" s="188"/>
      <c r="CNU2" s="188"/>
      <c r="CNV2" s="188"/>
      <c r="CNW2" s="188"/>
      <c r="CNX2" s="188"/>
      <c r="CNY2" s="188"/>
      <c r="CNZ2" s="188"/>
      <c r="COA2" s="188"/>
      <c r="COB2" s="188"/>
      <c r="COC2" s="188"/>
      <c r="COD2" s="188"/>
      <c r="COE2" s="188"/>
      <c r="COF2" s="188"/>
      <c r="COG2" s="188"/>
      <c r="COH2" s="188"/>
      <c r="COI2" s="188"/>
      <c r="COJ2" s="188"/>
      <c r="COK2" s="188"/>
      <c r="COL2" s="188"/>
      <c r="COM2" s="188"/>
      <c r="CON2" s="188"/>
      <c r="COO2" s="188"/>
      <c r="COP2" s="188"/>
      <c r="COQ2" s="188"/>
      <c r="COR2" s="188"/>
      <c r="COS2" s="188"/>
      <c r="COT2" s="188"/>
      <c r="COU2" s="188"/>
      <c r="COV2" s="188"/>
      <c r="COW2" s="188"/>
      <c r="COX2" s="188"/>
      <c r="COY2" s="188"/>
      <c r="COZ2" s="188"/>
      <c r="CPA2" s="188"/>
      <c r="CPB2" s="188"/>
      <c r="CPC2" s="188"/>
      <c r="CPD2" s="188"/>
      <c r="CPE2" s="188"/>
      <c r="CPF2" s="188"/>
      <c r="CPG2" s="188"/>
      <c r="CPH2" s="188"/>
      <c r="CPI2" s="188"/>
      <c r="CPJ2" s="188"/>
      <c r="CPK2" s="188"/>
      <c r="CPL2" s="188"/>
      <c r="CPM2" s="188"/>
      <c r="CPN2" s="188"/>
      <c r="CPO2" s="188"/>
      <c r="CPP2" s="188"/>
      <c r="CPQ2" s="188"/>
      <c r="CPR2" s="188"/>
      <c r="CPS2" s="188"/>
      <c r="CPT2" s="188"/>
      <c r="CPU2" s="188"/>
      <c r="CPV2" s="188"/>
      <c r="CPW2" s="188"/>
      <c r="CPX2" s="188"/>
      <c r="CPY2" s="188"/>
      <c r="CPZ2" s="188"/>
      <c r="CQA2" s="188"/>
      <c r="CQB2" s="188"/>
      <c r="CQC2" s="188"/>
      <c r="CQD2" s="188"/>
      <c r="CQE2" s="188"/>
      <c r="CQF2" s="188"/>
      <c r="CQG2" s="188"/>
      <c r="CQH2" s="188"/>
      <c r="CQI2" s="188"/>
      <c r="CQJ2" s="188"/>
      <c r="CQK2" s="188"/>
      <c r="CQL2" s="188"/>
      <c r="CQM2" s="188"/>
      <c r="CQN2" s="188"/>
      <c r="CQO2" s="188"/>
      <c r="CQP2" s="188"/>
      <c r="CQQ2" s="188"/>
      <c r="CQR2" s="188"/>
      <c r="CQS2" s="188"/>
      <c r="CQT2" s="188"/>
      <c r="CQU2" s="188"/>
      <c r="CQV2" s="188"/>
      <c r="CQW2" s="188"/>
      <c r="CQX2" s="188"/>
      <c r="CQY2" s="188"/>
      <c r="CQZ2" s="188"/>
      <c r="CRA2" s="188"/>
      <c r="CRB2" s="188"/>
      <c r="CRC2" s="188"/>
      <c r="CRD2" s="188"/>
      <c r="CRE2" s="188"/>
      <c r="CRF2" s="188"/>
      <c r="CRG2" s="188"/>
      <c r="CRH2" s="188"/>
      <c r="CRI2" s="188"/>
      <c r="CRJ2" s="188"/>
      <c r="CRK2" s="188"/>
      <c r="CRL2" s="188"/>
      <c r="CRM2" s="188"/>
      <c r="CRN2" s="188"/>
      <c r="CRO2" s="188"/>
      <c r="CRP2" s="188"/>
      <c r="CRQ2" s="188"/>
      <c r="CRR2" s="188"/>
      <c r="CRS2" s="188"/>
      <c r="CRT2" s="188"/>
      <c r="CRU2" s="188"/>
      <c r="CRV2" s="188"/>
      <c r="CRW2" s="188"/>
      <c r="CRX2" s="188"/>
      <c r="CRY2" s="188"/>
      <c r="CRZ2" s="188"/>
      <c r="CSA2" s="188"/>
      <c r="CSB2" s="188"/>
      <c r="CSC2" s="188"/>
      <c r="CSD2" s="188"/>
      <c r="CSE2" s="188"/>
      <c r="CSF2" s="188"/>
      <c r="CSG2" s="188"/>
      <c r="CSH2" s="188"/>
      <c r="CSI2" s="188"/>
      <c r="CSJ2" s="188"/>
      <c r="CSK2" s="188"/>
      <c r="CSL2" s="188"/>
      <c r="CSM2" s="188"/>
      <c r="CSN2" s="188"/>
      <c r="CSO2" s="188"/>
      <c r="CSP2" s="188"/>
      <c r="CSQ2" s="188"/>
      <c r="CSR2" s="188"/>
      <c r="CSS2" s="188"/>
      <c r="CST2" s="188"/>
      <c r="CSU2" s="188"/>
      <c r="CSV2" s="188"/>
      <c r="CSW2" s="188"/>
      <c r="CSX2" s="188"/>
      <c r="CSY2" s="188"/>
      <c r="CSZ2" s="188"/>
      <c r="CTA2" s="188"/>
      <c r="CTB2" s="188"/>
      <c r="CTC2" s="188"/>
      <c r="CTD2" s="188"/>
      <c r="CTE2" s="188"/>
      <c r="CTF2" s="188"/>
      <c r="CTG2" s="188"/>
      <c r="CTH2" s="188"/>
      <c r="CTI2" s="188"/>
      <c r="CTJ2" s="188"/>
      <c r="CTK2" s="188"/>
      <c r="CTL2" s="188"/>
      <c r="CTM2" s="188"/>
      <c r="CTN2" s="188"/>
      <c r="CTO2" s="188"/>
      <c r="CTP2" s="188"/>
      <c r="CTQ2" s="188"/>
      <c r="CTR2" s="188"/>
      <c r="CTS2" s="188"/>
      <c r="CTT2" s="188"/>
      <c r="CTU2" s="188"/>
      <c r="CTV2" s="188"/>
      <c r="CTW2" s="188"/>
      <c r="CTX2" s="188"/>
      <c r="CTY2" s="188"/>
      <c r="CTZ2" s="188"/>
      <c r="CUA2" s="188"/>
    </row>
    <row r="3" s="187" customFormat="1" spans="1:1024 1025:2575">
      <c r="A3" s="216" t="s">
        <v>32</v>
      </c>
      <c r="B3" s="84" t="s">
        <v>30</v>
      </c>
      <c r="C3" s="217">
        <v>45180</v>
      </c>
      <c r="D3" s="218">
        <f>C3+6</f>
        <v>45186</v>
      </c>
      <c r="E3" s="219">
        <v>1063</v>
      </c>
      <c r="F3" s="220">
        <f t="shared" ref="F3:F14" si="6">D3+14</f>
        <v>45200</v>
      </c>
      <c r="G3" s="219">
        <v>978</v>
      </c>
      <c r="H3" s="54">
        <f>G3/E3</f>
        <v>0.920037629350894</v>
      </c>
      <c r="I3" s="218">
        <f>D3+31</f>
        <v>45217</v>
      </c>
      <c r="J3" s="219">
        <v>940</v>
      </c>
      <c r="K3" s="54">
        <f t="shared" si="0"/>
        <v>0.884289746001881</v>
      </c>
      <c r="L3" s="218">
        <f>I3+3</f>
        <v>45220</v>
      </c>
      <c r="M3" s="219">
        <v>922</v>
      </c>
      <c r="N3" s="219">
        <v>7820</v>
      </c>
      <c r="O3" s="54">
        <f t="shared" si="1"/>
        <v>0.867356538099718</v>
      </c>
      <c r="P3" s="54">
        <f t="shared" ref="P3:P66" si="7">H3-O3</f>
        <v>0.0526810912511761</v>
      </c>
      <c r="Q3" s="221">
        <f t="shared" si="2"/>
        <v>8.48156182212581</v>
      </c>
      <c r="R3" s="218">
        <f>I3+35</f>
        <v>45252</v>
      </c>
      <c r="S3" s="219">
        <v>7456</v>
      </c>
      <c r="T3" s="84">
        <v>810</v>
      </c>
      <c r="U3" s="54">
        <f t="shared" si="3"/>
        <v>0.953452685421995</v>
      </c>
      <c r="V3" s="218">
        <f>I3+70</f>
        <v>45287</v>
      </c>
      <c r="W3" s="219">
        <v>7039</v>
      </c>
      <c r="X3" s="54">
        <f t="shared" si="4"/>
        <v>0.944071888412017</v>
      </c>
      <c r="Y3" s="84">
        <v>15485.5</v>
      </c>
      <c r="Z3" s="8">
        <v>13.6</v>
      </c>
      <c r="AA3" s="8">
        <f t="shared" ref="AA2:AA11" si="8">Y3/W3</f>
        <v>2.1999573803097</v>
      </c>
      <c r="AB3" s="8">
        <f t="shared" si="5"/>
        <v>6.62182502351834</v>
      </c>
      <c r="AC3" s="8">
        <v>4.03</v>
      </c>
      <c r="AD3" s="8">
        <v>3.73</v>
      </c>
      <c r="AE3" s="8"/>
      <c r="AF3" s="204" t="s">
        <v>33</v>
      </c>
      <c r="AG3" s="194" t="s">
        <v>34</v>
      </c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M3" s="188"/>
      <c r="BN3" s="188"/>
      <c r="BO3" s="188"/>
      <c r="BP3" s="188"/>
      <c r="BQ3" s="188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8"/>
      <c r="CH3" s="188"/>
      <c r="CI3" s="188"/>
      <c r="CJ3" s="188"/>
      <c r="CK3" s="188"/>
      <c r="CL3" s="188"/>
      <c r="CM3" s="188"/>
      <c r="CN3" s="188"/>
      <c r="CO3" s="188"/>
      <c r="CP3" s="188"/>
      <c r="CQ3" s="188"/>
      <c r="CR3" s="188"/>
      <c r="CS3" s="188"/>
      <c r="CT3" s="188"/>
      <c r="CU3" s="188"/>
      <c r="CV3" s="188"/>
      <c r="CW3" s="188"/>
      <c r="CX3" s="188"/>
      <c r="CY3" s="188"/>
      <c r="CZ3" s="188"/>
      <c r="DA3" s="188"/>
      <c r="DB3" s="188"/>
      <c r="DC3" s="188"/>
      <c r="DD3" s="188"/>
      <c r="DE3" s="188"/>
      <c r="DF3" s="188"/>
      <c r="DG3" s="188"/>
      <c r="DH3" s="188"/>
      <c r="DI3" s="188"/>
      <c r="DJ3" s="188"/>
      <c r="DK3" s="188"/>
      <c r="DL3" s="188"/>
      <c r="DM3" s="188"/>
      <c r="DN3" s="188"/>
      <c r="DO3" s="188"/>
      <c r="DP3" s="188"/>
      <c r="DQ3" s="188"/>
      <c r="DR3" s="188"/>
      <c r="DS3" s="188"/>
      <c r="DT3" s="188"/>
      <c r="DU3" s="188"/>
      <c r="DV3" s="188"/>
      <c r="DW3" s="188"/>
      <c r="DX3" s="188"/>
      <c r="DY3" s="188"/>
      <c r="DZ3" s="188"/>
      <c r="EA3" s="188"/>
      <c r="EB3" s="188"/>
      <c r="EC3" s="188"/>
      <c r="ED3" s="188"/>
      <c r="EE3" s="188"/>
      <c r="EF3" s="188"/>
      <c r="EG3" s="188"/>
      <c r="EH3" s="188"/>
      <c r="EI3" s="188"/>
      <c r="EJ3" s="188"/>
      <c r="EK3" s="188"/>
      <c r="EL3" s="188"/>
      <c r="EM3" s="188"/>
      <c r="EN3" s="188"/>
      <c r="EO3" s="188"/>
      <c r="EP3" s="188"/>
      <c r="EQ3" s="188"/>
      <c r="ER3" s="188"/>
      <c r="ES3" s="188"/>
      <c r="ET3" s="188"/>
      <c r="EU3" s="188"/>
      <c r="EV3" s="188"/>
      <c r="EW3" s="188"/>
      <c r="EX3" s="188"/>
      <c r="EY3" s="188"/>
      <c r="EZ3" s="188"/>
      <c r="FA3" s="188"/>
      <c r="FB3" s="188"/>
      <c r="FC3" s="188"/>
      <c r="FD3" s="188"/>
      <c r="FE3" s="188"/>
      <c r="FF3" s="188"/>
      <c r="FG3" s="188"/>
      <c r="FH3" s="188"/>
      <c r="FI3" s="188"/>
      <c r="FJ3" s="188"/>
      <c r="FK3" s="188"/>
      <c r="FL3" s="188"/>
      <c r="FM3" s="188"/>
      <c r="FN3" s="188"/>
      <c r="FO3" s="188"/>
      <c r="FP3" s="188"/>
      <c r="FQ3" s="188"/>
      <c r="FR3" s="188"/>
      <c r="FS3" s="188"/>
      <c r="FT3" s="188"/>
      <c r="FU3" s="188"/>
      <c r="FV3" s="188"/>
      <c r="FW3" s="188"/>
      <c r="FX3" s="188"/>
      <c r="FY3" s="188"/>
      <c r="FZ3" s="188"/>
      <c r="GA3" s="188"/>
      <c r="GB3" s="188"/>
      <c r="GC3" s="188"/>
      <c r="GD3" s="188"/>
      <c r="GE3" s="188"/>
      <c r="GF3" s="188"/>
      <c r="GG3" s="188"/>
      <c r="GH3" s="188"/>
      <c r="GI3" s="188"/>
      <c r="GJ3" s="188"/>
      <c r="GK3" s="188"/>
      <c r="GL3" s="188"/>
      <c r="GM3" s="188"/>
      <c r="GN3" s="188"/>
      <c r="GO3" s="188"/>
      <c r="GP3" s="188"/>
      <c r="GQ3" s="188"/>
      <c r="GR3" s="188"/>
      <c r="GS3" s="188"/>
      <c r="GT3" s="188"/>
      <c r="GU3" s="188"/>
      <c r="GV3" s="188"/>
      <c r="GW3" s="188"/>
      <c r="GX3" s="188"/>
      <c r="GY3" s="188"/>
      <c r="GZ3" s="188"/>
      <c r="HA3" s="188"/>
      <c r="HB3" s="188"/>
      <c r="HC3" s="188"/>
      <c r="HD3" s="188"/>
      <c r="HE3" s="188"/>
      <c r="HF3" s="188"/>
      <c r="HG3" s="188"/>
      <c r="HH3" s="188"/>
      <c r="HI3" s="188"/>
      <c r="HJ3" s="188"/>
      <c r="HK3" s="188"/>
      <c r="HL3" s="188"/>
      <c r="HM3" s="188"/>
      <c r="HN3" s="188"/>
      <c r="HO3" s="188"/>
      <c r="HP3" s="188"/>
      <c r="HQ3" s="188"/>
      <c r="HR3" s="188"/>
      <c r="HS3" s="188"/>
      <c r="HT3" s="188"/>
      <c r="HU3" s="188"/>
      <c r="HV3" s="188"/>
      <c r="HW3" s="188"/>
      <c r="HX3" s="188"/>
      <c r="HY3" s="188"/>
      <c r="HZ3" s="188"/>
      <c r="IA3" s="188"/>
      <c r="IB3" s="188"/>
      <c r="IC3" s="188"/>
      <c r="ID3" s="188"/>
      <c r="IE3" s="188"/>
      <c r="IF3" s="188"/>
      <c r="IG3" s="188"/>
      <c r="IH3" s="188"/>
      <c r="II3" s="188"/>
      <c r="IJ3" s="188"/>
      <c r="IK3" s="188"/>
      <c r="IL3" s="188"/>
      <c r="IM3" s="188"/>
      <c r="IN3" s="188"/>
      <c r="IO3" s="188"/>
      <c r="IP3" s="188"/>
      <c r="IQ3" s="188"/>
      <c r="IR3" s="188"/>
      <c r="IS3" s="188"/>
      <c r="IT3" s="188"/>
      <c r="IU3" s="188"/>
      <c r="IV3" s="188"/>
      <c r="IW3" s="188"/>
      <c r="IX3" s="188"/>
      <c r="IY3" s="188"/>
      <c r="IZ3" s="188"/>
      <c r="JA3" s="188"/>
      <c r="JB3" s="188"/>
      <c r="JC3" s="188"/>
      <c r="JD3" s="188"/>
      <c r="JE3" s="188"/>
      <c r="JF3" s="188"/>
      <c r="JG3" s="188"/>
      <c r="JH3" s="188"/>
      <c r="JI3" s="188"/>
      <c r="JJ3" s="188"/>
      <c r="JK3" s="188"/>
      <c r="JL3" s="188"/>
      <c r="JM3" s="188"/>
      <c r="JN3" s="188"/>
      <c r="JO3" s="188"/>
      <c r="JP3" s="188"/>
      <c r="JQ3" s="188"/>
      <c r="JR3" s="188"/>
      <c r="JS3" s="188"/>
      <c r="JT3" s="188"/>
      <c r="JU3" s="188"/>
      <c r="JV3" s="188"/>
      <c r="JW3" s="188"/>
      <c r="JX3" s="188"/>
      <c r="JY3" s="188"/>
      <c r="JZ3" s="188"/>
      <c r="KA3" s="188"/>
      <c r="KB3" s="188"/>
      <c r="KC3" s="188"/>
      <c r="KD3" s="188"/>
      <c r="KE3" s="188"/>
      <c r="KF3" s="188"/>
      <c r="KG3" s="188"/>
      <c r="KH3" s="188"/>
      <c r="KI3" s="188"/>
      <c r="KJ3" s="188"/>
      <c r="KK3" s="188"/>
      <c r="KL3" s="188"/>
      <c r="KM3" s="188"/>
      <c r="KN3" s="188"/>
      <c r="KO3" s="188"/>
      <c r="KP3" s="188"/>
      <c r="KQ3" s="188"/>
      <c r="KR3" s="188"/>
      <c r="KS3" s="188"/>
      <c r="KT3" s="188"/>
      <c r="KU3" s="188"/>
      <c r="KV3" s="188"/>
      <c r="KW3" s="188"/>
      <c r="KX3" s="188"/>
      <c r="KY3" s="188"/>
      <c r="KZ3" s="188"/>
      <c r="LA3" s="188"/>
      <c r="LB3" s="188"/>
      <c r="LC3" s="188"/>
      <c r="LD3" s="188"/>
      <c r="LE3" s="188"/>
      <c r="LF3" s="188"/>
      <c r="LG3" s="188"/>
      <c r="LH3" s="188"/>
      <c r="LI3" s="188"/>
      <c r="LJ3" s="188"/>
      <c r="LK3" s="188"/>
      <c r="LL3" s="188"/>
      <c r="LM3" s="188"/>
      <c r="LN3" s="188"/>
      <c r="LO3" s="188"/>
      <c r="LP3" s="188"/>
      <c r="LQ3" s="188"/>
      <c r="LR3" s="188"/>
      <c r="LS3" s="188"/>
      <c r="LT3" s="188"/>
      <c r="LU3" s="188"/>
      <c r="LV3" s="188"/>
      <c r="LW3" s="188"/>
      <c r="LX3" s="188"/>
      <c r="LY3" s="188"/>
      <c r="LZ3" s="188"/>
      <c r="MA3" s="188"/>
      <c r="MB3" s="188"/>
      <c r="MC3" s="188"/>
      <c r="MD3" s="188"/>
      <c r="ME3" s="188"/>
      <c r="MF3" s="188"/>
      <c r="MG3" s="188"/>
      <c r="MH3" s="188"/>
      <c r="MI3" s="188"/>
      <c r="MJ3" s="188"/>
      <c r="MK3" s="188"/>
      <c r="ML3" s="188"/>
      <c r="MM3" s="188"/>
      <c r="MN3" s="188"/>
      <c r="MO3" s="188"/>
      <c r="MP3" s="188"/>
      <c r="MQ3" s="188"/>
      <c r="MR3" s="188"/>
      <c r="MS3" s="188"/>
      <c r="MT3" s="188"/>
      <c r="MU3" s="188"/>
      <c r="MV3" s="188"/>
      <c r="MW3" s="188"/>
      <c r="MX3" s="188"/>
      <c r="MY3" s="188"/>
      <c r="MZ3" s="188"/>
      <c r="NA3" s="188"/>
      <c r="NB3" s="188"/>
      <c r="NC3" s="188"/>
      <c r="ND3" s="188"/>
      <c r="NE3" s="188"/>
      <c r="NF3" s="188"/>
      <c r="NG3" s="188"/>
      <c r="NH3" s="188"/>
      <c r="NI3" s="188"/>
      <c r="NJ3" s="188"/>
      <c r="NK3" s="188"/>
      <c r="NL3" s="188"/>
      <c r="NM3" s="188"/>
      <c r="NN3" s="188"/>
      <c r="NO3" s="188"/>
      <c r="NP3" s="188"/>
      <c r="NQ3" s="188"/>
      <c r="NR3" s="188"/>
      <c r="NS3" s="188"/>
      <c r="NT3" s="188"/>
      <c r="NU3" s="188"/>
      <c r="NV3" s="188"/>
      <c r="NW3" s="188"/>
      <c r="NX3" s="188"/>
      <c r="NY3" s="188"/>
      <c r="NZ3" s="188"/>
      <c r="OA3" s="188"/>
      <c r="OB3" s="188"/>
      <c r="OC3" s="188"/>
      <c r="OD3" s="188"/>
      <c r="OE3" s="188"/>
      <c r="OF3" s="188"/>
      <c r="OG3" s="188"/>
      <c r="OH3" s="188"/>
      <c r="OI3" s="188"/>
      <c r="OJ3" s="188"/>
      <c r="OK3" s="188"/>
      <c r="OL3" s="188"/>
      <c r="OM3" s="188"/>
      <c r="ON3" s="188"/>
      <c r="OO3" s="188"/>
      <c r="OP3" s="188"/>
      <c r="OQ3" s="188"/>
      <c r="OR3" s="188"/>
      <c r="OS3" s="188"/>
      <c r="OT3" s="188"/>
      <c r="OU3" s="188"/>
      <c r="OV3" s="188"/>
      <c r="OW3" s="188"/>
      <c r="OX3" s="188"/>
      <c r="OY3" s="188"/>
      <c r="OZ3" s="188"/>
      <c r="PA3" s="188"/>
      <c r="PB3" s="188"/>
      <c r="PC3" s="188"/>
      <c r="PD3" s="188"/>
      <c r="PE3" s="188"/>
      <c r="PF3" s="188"/>
      <c r="PG3" s="188"/>
      <c r="PH3" s="188"/>
      <c r="PI3" s="188"/>
      <c r="PJ3" s="188"/>
      <c r="PK3" s="188"/>
      <c r="PL3" s="188"/>
      <c r="PM3" s="188"/>
      <c r="PN3" s="188"/>
      <c r="PO3" s="188"/>
      <c r="PP3" s="188"/>
      <c r="PQ3" s="188"/>
      <c r="PR3" s="188"/>
      <c r="PS3" s="188"/>
      <c r="PT3" s="188"/>
      <c r="PU3" s="188"/>
      <c r="PV3" s="188"/>
      <c r="PW3" s="188"/>
      <c r="PX3" s="188"/>
      <c r="PY3" s="188"/>
      <c r="PZ3" s="188"/>
      <c r="QA3" s="188"/>
      <c r="QB3" s="188"/>
      <c r="QC3" s="188"/>
      <c r="QD3" s="188"/>
      <c r="QE3" s="188"/>
      <c r="QF3" s="188"/>
      <c r="QG3" s="188"/>
      <c r="QH3" s="188"/>
      <c r="QI3" s="188"/>
      <c r="QJ3" s="188"/>
      <c r="QK3" s="188"/>
      <c r="QL3" s="188"/>
      <c r="QM3" s="188"/>
      <c r="QN3" s="188"/>
      <c r="QO3" s="188"/>
      <c r="QP3" s="188"/>
      <c r="QQ3" s="188"/>
      <c r="QR3" s="188"/>
      <c r="QS3" s="188"/>
      <c r="QT3" s="188"/>
      <c r="QU3" s="188"/>
      <c r="QV3" s="188"/>
      <c r="QW3" s="188"/>
      <c r="QX3" s="188"/>
      <c r="QY3" s="188"/>
      <c r="QZ3" s="188"/>
      <c r="RA3" s="188"/>
      <c r="RB3" s="188"/>
      <c r="RC3" s="188"/>
      <c r="RD3" s="188"/>
      <c r="RE3" s="188"/>
      <c r="RF3" s="188"/>
      <c r="RG3" s="188"/>
      <c r="RH3" s="188"/>
      <c r="RI3" s="188"/>
      <c r="RJ3" s="188"/>
      <c r="RK3" s="188"/>
      <c r="RL3" s="188"/>
      <c r="RM3" s="188"/>
      <c r="RN3" s="188"/>
      <c r="RO3" s="188"/>
      <c r="RP3" s="188"/>
      <c r="RQ3" s="188"/>
      <c r="RR3" s="188"/>
      <c r="RS3" s="188"/>
      <c r="RT3" s="188"/>
      <c r="RU3" s="188"/>
      <c r="RV3" s="188"/>
      <c r="RW3" s="188"/>
      <c r="RX3" s="188"/>
      <c r="RY3" s="188"/>
      <c r="RZ3" s="188"/>
      <c r="SA3" s="188"/>
      <c r="SB3" s="188"/>
      <c r="SC3" s="188"/>
      <c r="SD3" s="188"/>
      <c r="SE3" s="188"/>
      <c r="SF3" s="188"/>
      <c r="SG3" s="188"/>
      <c r="SH3" s="188"/>
      <c r="SI3" s="188"/>
      <c r="SJ3" s="188"/>
      <c r="SK3" s="188"/>
      <c r="SL3" s="188"/>
      <c r="SM3" s="188"/>
      <c r="SN3" s="188"/>
      <c r="SO3" s="188"/>
      <c r="SP3" s="188"/>
      <c r="SQ3" s="188"/>
      <c r="SR3" s="188"/>
      <c r="SS3" s="188"/>
      <c r="ST3" s="188"/>
      <c r="SU3" s="188"/>
      <c r="SV3" s="188"/>
      <c r="SW3" s="188"/>
      <c r="SX3" s="188"/>
      <c r="SY3" s="188"/>
      <c r="SZ3" s="188"/>
      <c r="TA3" s="188"/>
      <c r="TB3" s="188"/>
      <c r="TC3" s="188"/>
      <c r="TD3" s="188"/>
      <c r="TE3" s="188"/>
      <c r="TF3" s="188"/>
      <c r="TG3" s="188"/>
      <c r="TH3" s="188"/>
      <c r="TI3" s="188"/>
      <c r="TJ3" s="188"/>
      <c r="TK3" s="188"/>
      <c r="TL3" s="188"/>
      <c r="TM3" s="188"/>
      <c r="TN3" s="188"/>
      <c r="TO3" s="188"/>
      <c r="TP3" s="188"/>
      <c r="TQ3" s="188"/>
      <c r="TR3" s="188"/>
      <c r="TS3" s="188"/>
      <c r="TT3" s="188"/>
      <c r="TU3" s="188"/>
      <c r="TV3" s="188"/>
      <c r="TW3" s="188"/>
      <c r="TX3" s="188"/>
      <c r="TY3" s="188"/>
      <c r="TZ3" s="188"/>
      <c r="UA3" s="188"/>
      <c r="UB3" s="188"/>
      <c r="UC3" s="188"/>
      <c r="UD3" s="188"/>
      <c r="UE3" s="188"/>
      <c r="UF3" s="188"/>
      <c r="UG3" s="188"/>
      <c r="UH3" s="188"/>
      <c r="UI3" s="188"/>
      <c r="UJ3" s="188"/>
      <c r="UK3" s="188"/>
      <c r="UL3" s="188"/>
      <c r="UM3" s="188"/>
      <c r="UN3" s="188"/>
      <c r="UO3" s="188"/>
      <c r="UP3" s="188"/>
      <c r="UQ3" s="188"/>
      <c r="UR3" s="188"/>
      <c r="US3" s="188"/>
      <c r="UT3" s="188"/>
      <c r="UU3" s="188"/>
      <c r="UV3" s="188"/>
      <c r="UW3" s="188"/>
      <c r="UX3" s="188"/>
      <c r="UY3" s="188"/>
      <c r="UZ3" s="188"/>
      <c r="VA3" s="188"/>
      <c r="VB3" s="188"/>
      <c r="VC3" s="188"/>
      <c r="VD3" s="188"/>
      <c r="VE3" s="188"/>
      <c r="VF3" s="188"/>
      <c r="VG3" s="188"/>
      <c r="VH3" s="188"/>
      <c r="VI3" s="188"/>
      <c r="VJ3" s="188"/>
      <c r="VK3" s="188"/>
      <c r="VL3" s="188"/>
      <c r="VM3" s="188"/>
      <c r="VN3" s="188"/>
      <c r="VO3" s="188"/>
      <c r="VP3" s="188"/>
      <c r="VQ3" s="188"/>
      <c r="VR3" s="188"/>
      <c r="VS3" s="188"/>
      <c r="VT3" s="188"/>
      <c r="VU3" s="188"/>
      <c r="VV3" s="188"/>
      <c r="VW3" s="188"/>
      <c r="VX3" s="188"/>
      <c r="VY3" s="188"/>
      <c r="VZ3" s="188"/>
      <c r="WA3" s="188"/>
      <c r="WB3" s="188"/>
      <c r="WC3" s="188"/>
      <c r="WD3" s="188"/>
      <c r="WE3" s="188"/>
      <c r="WF3" s="188"/>
      <c r="WG3" s="188"/>
      <c r="WH3" s="188"/>
      <c r="WI3" s="188"/>
      <c r="WJ3" s="188"/>
      <c r="WK3" s="188"/>
      <c r="WL3" s="188"/>
      <c r="WM3" s="188"/>
      <c r="WN3" s="188"/>
      <c r="WO3" s="188"/>
      <c r="WP3" s="188"/>
      <c r="WQ3" s="188"/>
      <c r="WR3" s="188"/>
      <c r="WS3" s="188"/>
      <c r="WT3" s="188"/>
      <c r="WU3" s="188"/>
      <c r="WV3" s="188"/>
      <c r="WW3" s="188"/>
      <c r="WX3" s="188"/>
      <c r="WY3" s="188"/>
      <c r="WZ3" s="188"/>
      <c r="XA3" s="188"/>
      <c r="XB3" s="188"/>
      <c r="XC3" s="188"/>
      <c r="XD3" s="188"/>
      <c r="XE3" s="188"/>
      <c r="XF3" s="188"/>
      <c r="XG3" s="188"/>
      <c r="XH3" s="188"/>
      <c r="XI3" s="188"/>
      <c r="XJ3" s="188"/>
      <c r="XK3" s="188"/>
      <c r="XL3" s="188"/>
      <c r="XM3" s="188"/>
      <c r="XN3" s="188"/>
      <c r="XO3" s="188"/>
      <c r="XP3" s="188"/>
      <c r="XQ3" s="188"/>
      <c r="XR3" s="188"/>
      <c r="XS3" s="188"/>
      <c r="XT3" s="188"/>
      <c r="XU3" s="188"/>
      <c r="XV3" s="188"/>
      <c r="XW3" s="188"/>
      <c r="XX3" s="188"/>
      <c r="XY3" s="188"/>
      <c r="XZ3" s="188"/>
      <c r="YA3" s="188"/>
      <c r="YB3" s="188"/>
      <c r="YC3" s="188"/>
      <c r="YD3" s="188"/>
      <c r="YE3" s="188"/>
      <c r="YF3" s="188"/>
      <c r="YG3" s="188"/>
      <c r="YH3" s="188"/>
      <c r="YI3" s="188"/>
      <c r="YJ3" s="188"/>
      <c r="YK3" s="188"/>
      <c r="YL3" s="188"/>
      <c r="YM3" s="188"/>
      <c r="YN3" s="188"/>
      <c r="YO3" s="188"/>
      <c r="YP3" s="188"/>
      <c r="YQ3" s="188"/>
      <c r="YR3" s="188"/>
      <c r="YS3" s="188"/>
      <c r="YT3" s="188"/>
      <c r="YU3" s="188"/>
      <c r="YV3" s="188"/>
      <c r="YW3" s="188"/>
      <c r="YX3" s="188"/>
      <c r="YY3" s="188"/>
      <c r="YZ3" s="188"/>
      <c r="ZA3" s="188"/>
      <c r="ZB3" s="188"/>
      <c r="ZC3" s="188"/>
      <c r="ZD3" s="188"/>
      <c r="ZE3" s="188"/>
      <c r="ZF3" s="188"/>
      <c r="ZG3" s="188"/>
      <c r="ZH3" s="188"/>
      <c r="ZI3" s="188"/>
      <c r="ZJ3" s="188"/>
      <c r="ZK3" s="188"/>
      <c r="ZL3" s="188"/>
      <c r="ZM3" s="188"/>
      <c r="ZN3" s="188"/>
      <c r="ZO3" s="188"/>
      <c r="ZP3" s="188"/>
      <c r="ZQ3" s="188"/>
      <c r="ZR3" s="188"/>
      <c r="ZS3" s="188"/>
      <c r="ZT3" s="188"/>
      <c r="ZU3" s="188"/>
      <c r="ZV3" s="188"/>
      <c r="ZW3" s="188"/>
      <c r="ZX3" s="188"/>
      <c r="ZY3" s="188"/>
      <c r="ZZ3" s="188"/>
      <c r="AAA3" s="188"/>
      <c r="AAB3" s="188"/>
      <c r="AAC3" s="188"/>
      <c r="AAD3" s="188"/>
      <c r="AAE3" s="188"/>
      <c r="AAF3" s="188"/>
      <c r="AAG3" s="188"/>
      <c r="AAH3" s="188"/>
      <c r="AAI3" s="188"/>
      <c r="AAJ3" s="188"/>
      <c r="AAK3" s="188"/>
      <c r="AAL3" s="188"/>
      <c r="AAM3" s="188"/>
      <c r="AAN3" s="188"/>
      <c r="AAO3" s="188"/>
      <c r="AAP3" s="188"/>
      <c r="AAQ3" s="188"/>
      <c r="AAR3" s="188"/>
      <c r="AAS3" s="188"/>
      <c r="AAT3" s="188"/>
      <c r="AAU3" s="188"/>
      <c r="AAV3" s="188"/>
      <c r="AAW3" s="188"/>
      <c r="AAX3" s="188"/>
      <c r="AAY3" s="188"/>
      <c r="AAZ3" s="188"/>
      <c r="ABA3" s="188"/>
      <c r="ABB3" s="188"/>
      <c r="ABC3" s="188"/>
      <c r="ABD3" s="188"/>
      <c r="ABE3" s="188"/>
      <c r="ABF3" s="188"/>
      <c r="ABG3" s="188"/>
      <c r="ABH3" s="188"/>
      <c r="ABI3" s="188"/>
      <c r="ABJ3" s="188"/>
      <c r="ABK3" s="188"/>
      <c r="ABL3" s="188"/>
      <c r="ABM3" s="188"/>
      <c r="ABN3" s="188"/>
      <c r="ABO3" s="188"/>
      <c r="ABP3" s="188"/>
      <c r="ABQ3" s="188"/>
      <c r="ABR3" s="188"/>
      <c r="ABS3" s="188"/>
      <c r="ABT3" s="188"/>
      <c r="ABU3" s="188"/>
      <c r="ABV3" s="188"/>
      <c r="ABW3" s="188"/>
      <c r="ABX3" s="188"/>
      <c r="ABY3" s="188"/>
      <c r="ABZ3" s="188"/>
      <c r="ACA3" s="188"/>
      <c r="ACB3" s="188"/>
      <c r="ACC3" s="188"/>
      <c r="ACD3" s="188"/>
      <c r="ACE3" s="188"/>
      <c r="ACF3" s="188"/>
      <c r="ACG3" s="188"/>
      <c r="ACH3" s="188"/>
      <c r="ACI3" s="188"/>
      <c r="ACJ3" s="188"/>
      <c r="ACK3" s="188"/>
      <c r="ACL3" s="188"/>
      <c r="ACM3" s="188"/>
      <c r="ACN3" s="188"/>
      <c r="ACO3" s="188"/>
      <c r="ACP3" s="188"/>
      <c r="ACQ3" s="188"/>
      <c r="ACR3" s="188"/>
      <c r="ACS3" s="188"/>
      <c r="ACT3" s="188"/>
      <c r="ACU3" s="188"/>
      <c r="ACV3" s="188"/>
      <c r="ACW3" s="188"/>
      <c r="ACX3" s="188"/>
      <c r="ACY3" s="188"/>
      <c r="ACZ3" s="188"/>
      <c r="ADA3" s="188"/>
      <c r="ADB3" s="188"/>
      <c r="ADC3" s="188"/>
      <c r="ADD3" s="188"/>
      <c r="ADE3" s="188"/>
      <c r="ADF3" s="188"/>
      <c r="ADG3" s="188"/>
      <c r="ADH3" s="188"/>
      <c r="ADI3" s="188"/>
      <c r="ADJ3" s="188"/>
      <c r="ADK3" s="188"/>
      <c r="ADL3" s="188"/>
      <c r="ADM3" s="188"/>
      <c r="ADN3" s="188"/>
      <c r="ADO3" s="188"/>
      <c r="ADP3" s="188"/>
      <c r="ADQ3" s="188"/>
      <c r="ADR3" s="188"/>
      <c r="ADS3" s="188"/>
      <c r="ADT3" s="188"/>
      <c r="ADU3" s="188"/>
      <c r="ADV3" s="188"/>
      <c r="ADW3" s="188"/>
      <c r="ADX3" s="188"/>
      <c r="ADY3" s="188"/>
      <c r="ADZ3" s="188"/>
      <c r="AEA3" s="188"/>
      <c r="AEB3" s="188"/>
      <c r="AEC3" s="188"/>
      <c r="AED3" s="188"/>
      <c r="AEE3" s="188"/>
      <c r="AEF3" s="188"/>
      <c r="AEG3" s="188"/>
      <c r="AEH3" s="188"/>
      <c r="AEI3" s="188"/>
      <c r="AEJ3" s="188"/>
      <c r="AEK3" s="188"/>
      <c r="AEL3" s="188"/>
      <c r="AEM3" s="188"/>
      <c r="AEN3" s="188"/>
      <c r="AEO3" s="188"/>
      <c r="AEP3" s="188"/>
      <c r="AEQ3" s="188"/>
      <c r="AER3" s="188"/>
      <c r="AES3" s="188"/>
      <c r="AET3" s="188"/>
      <c r="AEU3" s="188"/>
      <c r="AEV3" s="188"/>
      <c r="AEW3" s="188"/>
      <c r="AEX3" s="188"/>
      <c r="AEY3" s="188"/>
      <c r="AEZ3" s="188"/>
      <c r="AFA3" s="188"/>
      <c r="AFB3" s="188"/>
      <c r="AFC3" s="188"/>
      <c r="AFD3" s="188"/>
      <c r="AFE3" s="188"/>
      <c r="AFF3" s="188"/>
      <c r="AFG3" s="188"/>
      <c r="AFH3" s="188"/>
      <c r="AFI3" s="188"/>
      <c r="AFJ3" s="188"/>
      <c r="AFK3" s="188"/>
      <c r="AFL3" s="188"/>
      <c r="AFM3" s="188"/>
      <c r="AFN3" s="188"/>
      <c r="AFO3" s="188"/>
      <c r="AFP3" s="188"/>
      <c r="AFQ3" s="188"/>
      <c r="AFR3" s="188"/>
      <c r="AFS3" s="188"/>
      <c r="AFT3" s="188"/>
      <c r="AFU3" s="188"/>
      <c r="AFV3" s="188"/>
      <c r="AFW3" s="188"/>
      <c r="AFX3" s="188"/>
      <c r="AFY3" s="188"/>
      <c r="AFZ3" s="188"/>
      <c r="AGA3" s="188"/>
      <c r="AGB3" s="188"/>
      <c r="AGC3" s="188"/>
      <c r="AGD3" s="188"/>
      <c r="AGE3" s="188"/>
      <c r="AGF3" s="188"/>
      <c r="AGG3" s="188"/>
      <c r="AGH3" s="188"/>
      <c r="AGI3" s="188"/>
      <c r="AGJ3" s="188"/>
      <c r="AGK3" s="188"/>
      <c r="AGL3" s="188"/>
      <c r="AGM3" s="188"/>
      <c r="AGN3" s="188"/>
      <c r="AGO3" s="188"/>
      <c r="AGP3" s="188"/>
      <c r="AGQ3" s="188"/>
      <c r="AGR3" s="188"/>
      <c r="AGS3" s="188"/>
      <c r="AGT3" s="188"/>
      <c r="AGU3" s="188"/>
      <c r="AGV3" s="188"/>
      <c r="AGW3" s="188"/>
      <c r="AGX3" s="188"/>
      <c r="AGY3" s="188"/>
      <c r="AGZ3" s="188"/>
      <c r="AHA3" s="188"/>
      <c r="AHB3" s="188"/>
      <c r="AHC3" s="188"/>
      <c r="AHD3" s="188"/>
      <c r="AHE3" s="188"/>
      <c r="AHF3" s="188"/>
      <c r="AHG3" s="188"/>
      <c r="AHH3" s="188"/>
      <c r="AHI3" s="188"/>
      <c r="AHJ3" s="188"/>
      <c r="AHK3" s="188"/>
      <c r="AHL3" s="188"/>
      <c r="AHM3" s="188"/>
      <c r="AHN3" s="188"/>
      <c r="AHO3" s="188"/>
      <c r="AHP3" s="188"/>
      <c r="AHQ3" s="188"/>
      <c r="AHR3" s="188"/>
      <c r="AHS3" s="188"/>
      <c r="AHT3" s="188"/>
      <c r="AHU3" s="188"/>
      <c r="AHV3" s="188"/>
      <c r="AHW3" s="188"/>
      <c r="AHX3" s="188"/>
      <c r="AHY3" s="188"/>
      <c r="AHZ3" s="188"/>
      <c r="AIA3" s="188"/>
      <c r="AIB3" s="188"/>
      <c r="AIC3" s="188"/>
      <c r="AID3" s="188"/>
      <c r="AIE3" s="188"/>
      <c r="AIF3" s="188"/>
      <c r="AIG3" s="188"/>
      <c r="AIH3" s="188"/>
      <c r="AII3" s="188"/>
      <c r="AIJ3" s="188"/>
      <c r="AIK3" s="188"/>
      <c r="AIL3" s="188"/>
      <c r="AIM3" s="188"/>
      <c r="AIN3" s="188"/>
      <c r="AIO3" s="188"/>
      <c r="AIP3" s="188"/>
      <c r="AIQ3" s="188"/>
      <c r="AIR3" s="188"/>
      <c r="AIS3" s="188"/>
      <c r="AIT3" s="188"/>
      <c r="AIU3" s="188"/>
      <c r="AIV3" s="188"/>
      <c r="AIW3" s="188"/>
      <c r="AIX3" s="188"/>
      <c r="AIY3" s="188"/>
      <c r="AIZ3" s="188"/>
      <c r="AJA3" s="188"/>
      <c r="AJB3" s="188"/>
      <c r="AJC3" s="188"/>
      <c r="AJD3" s="188"/>
      <c r="AJE3" s="188"/>
      <c r="AJF3" s="188"/>
      <c r="AJG3" s="188"/>
      <c r="AJH3" s="188"/>
      <c r="AJI3" s="188"/>
      <c r="AJJ3" s="188"/>
      <c r="AJK3" s="188"/>
      <c r="AJL3" s="188"/>
      <c r="AJM3" s="188"/>
      <c r="AJN3" s="188"/>
      <c r="AJO3" s="188"/>
      <c r="AJP3" s="188"/>
      <c r="AJQ3" s="188"/>
      <c r="AJR3" s="188"/>
      <c r="AJS3" s="188"/>
      <c r="AJT3" s="188"/>
      <c r="AJU3" s="188"/>
      <c r="AJV3" s="188"/>
      <c r="AJW3" s="188"/>
      <c r="AJX3" s="188"/>
      <c r="AJY3" s="188"/>
      <c r="AJZ3" s="188"/>
      <c r="AKA3" s="188"/>
      <c r="AKB3" s="188"/>
      <c r="AKC3" s="188"/>
      <c r="AKD3" s="188"/>
      <c r="AKE3" s="188"/>
      <c r="AKF3" s="188"/>
      <c r="AKG3" s="188"/>
      <c r="AKH3" s="188"/>
      <c r="AKI3" s="188"/>
      <c r="AKJ3" s="188"/>
      <c r="AKK3" s="188"/>
      <c r="AKL3" s="188"/>
      <c r="AKM3" s="188"/>
      <c r="AKN3" s="188"/>
      <c r="AKO3" s="188"/>
      <c r="AKP3" s="188"/>
      <c r="AKQ3" s="188"/>
      <c r="AKR3" s="188"/>
      <c r="AKS3" s="188"/>
      <c r="AKT3" s="188"/>
      <c r="AKU3" s="188"/>
      <c r="AKV3" s="188"/>
      <c r="AKW3" s="188"/>
      <c r="AKX3" s="188"/>
      <c r="AKY3" s="188"/>
      <c r="AKZ3" s="188"/>
      <c r="ALA3" s="188"/>
      <c r="ALB3" s="188"/>
      <c r="ALC3" s="188"/>
      <c r="ALD3" s="188"/>
      <c r="ALE3" s="188"/>
      <c r="ALF3" s="188"/>
      <c r="ALG3" s="188"/>
      <c r="ALH3" s="188"/>
      <c r="ALI3" s="188"/>
      <c r="ALJ3" s="188"/>
      <c r="ALK3" s="188"/>
      <c r="ALL3" s="188"/>
      <c r="ALM3" s="188"/>
      <c r="ALN3" s="188"/>
      <c r="ALO3" s="188"/>
      <c r="ALP3" s="188"/>
      <c r="ALQ3" s="188"/>
      <c r="ALR3" s="188"/>
      <c r="ALS3" s="188"/>
      <c r="ALT3" s="188"/>
      <c r="ALU3" s="188"/>
      <c r="ALV3" s="188"/>
      <c r="ALW3" s="188"/>
      <c r="ALX3" s="188"/>
      <c r="ALY3" s="188"/>
      <c r="ALZ3" s="188"/>
      <c r="AMA3" s="188"/>
      <c r="AMB3" s="188"/>
      <c r="AMC3" s="188"/>
      <c r="AMD3" s="188"/>
      <c r="AME3" s="188"/>
      <c r="AMF3" s="188"/>
      <c r="AMG3" s="188"/>
      <c r="AMH3" s="188"/>
      <c r="AMI3" s="188"/>
      <c r="AMJ3" s="188"/>
      <c r="AMK3" s="188"/>
      <c r="AML3" s="188"/>
      <c r="AMM3" s="188"/>
      <c r="AMN3" s="188"/>
      <c r="AMO3" s="188"/>
      <c r="AMP3" s="188"/>
      <c r="AMQ3" s="188"/>
      <c r="AMR3" s="188"/>
      <c r="AMS3" s="188"/>
      <c r="AMT3" s="188"/>
      <c r="AMU3" s="188"/>
      <c r="AMV3" s="188"/>
      <c r="AMW3" s="188"/>
      <c r="AMX3" s="188"/>
      <c r="AMY3" s="188"/>
      <c r="AMZ3" s="188"/>
      <c r="ANA3" s="188"/>
      <c r="ANB3" s="188"/>
      <c r="ANC3" s="188"/>
      <c r="AND3" s="188"/>
      <c r="ANE3" s="188"/>
      <c r="ANF3" s="188"/>
      <c r="ANG3" s="188"/>
      <c r="ANH3" s="188"/>
      <c r="ANI3" s="188"/>
      <c r="ANJ3" s="188"/>
      <c r="ANK3" s="188"/>
      <c r="ANL3" s="188"/>
      <c r="ANM3" s="188"/>
      <c r="ANN3" s="188"/>
      <c r="ANO3" s="188"/>
      <c r="ANP3" s="188"/>
      <c r="ANQ3" s="188"/>
      <c r="ANR3" s="188"/>
      <c r="ANS3" s="188"/>
      <c r="ANT3" s="188"/>
      <c r="ANU3" s="188"/>
      <c r="ANV3" s="188"/>
      <c r="ANW3" s="188"/>
      <c r="ANX3" s="188"/>
      <c r="ANY3" s="188"/>
      <c r="ANZ3" s="188"/>
      <c r="AOA3" s="188"/>
      <c r="AOB3" s="188"/>
      <c r="AOC3" s="188"/>
      <c r="AOD3" s="188"/>
      <c r="AOE3" s="188"/>
      <c r="AOF3" s="188"/>
      <c r="AOG3" s="188"/>
      <c r="AOH3" s="188"/>
      <c r="AOI3" s="188"/>
      <c r="AOJ3" s="188"/>
      <c r="AOK3" s="188"/>
      <c r="AOL3" s="188"/>
      <c r="AOM3" s="188"/>
      <c r="AON3" s="188"/>
      <c r="AOO3" s="188"/>
      <c r="AOP3" s="188"/>
      <c r="AOQ3" s="188"/>
      <c r="AOR3" s="188"/>
      <c r="AOS3" s="188"/>
      <c r="AOT3" s="188"/>
      <c r="AOU3" s="188"/>
      <c r="AOV3" s="188"/>
      <c r="AOW3" s="188"/>
      <c r="AOX3" s="188"/>
      <c r="AOY3" s="188"/>
      <c r="AOZ3" s="188"/>
      <c r="APA3" s="188"/>
      <c r="APB3" s="188"/>
      <c r="APC3" s="188"/>
      <c r="APD3" s="188"/>
      <c r="APE3" s="188"/>
      <c r="APF3" s="188"/>
      <c r="APG3" s="188"/>
      <c r="APH3" s="188"/>
      <c r="API3" s="188"/>
      <c r="APJ3" s="188"/>
      <c r="APK3" s="188"/>
      <c r="APL3" s="188"/>
      <c r="APM3" s="188"/>
      <c r="APN3" s="188"/>
      <c r="APO3" s="188"/>
      <c r="APP3" s="188"/>
      <c r="APQ3" s="188"/>
      <c r="APR3" s="188"/>
      <c r="APS3" s="188"/>
      <c r="APT3" s="188"/>
      <c r="APU3" s="188"/>
      <c r="APV3" s="188"/>
      <c r="APW3" s="188"/>
      <c r="APX3" s="188"/>
      <c r="APY3" s="188"/>
      <c r="APZ3" s="188"/>
      <c r="AQA3" s="188"/>
      <c r="AQB3" s="188"/>
      <c r="AQC3" s="188"/>
      <c r="AQD3" s="188"/>
      <c r="AQE3" s="188"/>
      <c r="AQF3" s="188"/>
      <c r="AQG3" s="188"/>
      <c r="AQH3" s="188"/>
      <c r="AQI3" s="188"/>
      <c r="AQJ3" s="188"/>
      <c r="AQK3" s="188"/>
      <c r="AQL3" s="188"/>
      <c r="AQM3" s="188"/>
      <c r="AQN3" s="188"/>
      <c r="AQO3" s="188"/>
      <c r="AQP3" s="188"/>
      <c r="AQQ3" s="188"/>
      <c r="AQR3" s="188"/>
      <c r="AQS3" s="188"/>
      <c r="AQT3" s="188"/>
      <c r="AQU3" s="188"/>
      <c r="AQV3" s="188"/>
      <c r="AQW3" s="188"/>
      <c r="AQX3" s="188"/>
      <c r="AQY3" s="188"/>
      <c r="AQZ3" s="188"/>
      <c r="ARA3" s="188"/>
      <c r="ARB3" s="188"/>
      <c r="ARC3" s="188"/>
      <c r="ARD3" s="188"/>
      <c r="ARE3" s="188"/>
      <c r="ARF3" s="188"/>
      <c r="ARG3" s="188"/>
      <c r="ARH3" s="188"/>
      <c r="ARI3" s="188"/>
      <c r="ARJ3" s="188"/>
      <c r="ARK3" s="188"/>
      <c r="ARL3" s="188"/>
      <c r="ARM3" s="188"/>
      <c r="ARN3" s="188"/>
      <c r="ARO3" s="188"/>
      <c r="ARP3" s="188"/>
      <c r="ARQ3" s="188"/>
      <c r="ARR3" s="188"/>
      <c r="ARS3" s="188"/>
      <c r="ART3" s="188"/>
      <c r="ARU3" s="188"/>
      <c r="ARV3" s="188"/>
      <c r="ARW3" s="188"/>
      <c r="ARX3" s="188"/>
      <c r="ARY3" s="188"/>
      <c r="ARZ3" s="188"/>
      <c r="ASA3" s="188"/>
      <c r="ASB3" s="188"/>
      <c r="ASC3" s="188"/>
      <c r="ASD3" s="188"/>
      <c r="ASE3" s="188"/>
      <c r="ASF3" s="188"/>
      <c r="ASG3" s="188"/>
      <c r="ASH3" s="188"/>
      <c r="ASI3" s="188"/>
      <c r="ASJ3" s="188"/>
      <c r="ASK3" s="188"/>
      <c r="ASL3" s="188"/>
      <c r="ASM3" s="188"/>
      <c r="ASN3" s="188"/>
      <c r="ASO3" s="188"/>
      <c r="ASP3" s="188"/>
      <c r="ASQ3" s="188"/>
      <c r="ASR3" s="188"/>
      <c r="ASS3" s="188"/>
      <c r="AST3" s="188"/>
      <c r="ASU3" s="188"/>
      <c r="ASV3" s="188"/>
      <c r="ASW3" s="188"/>
      <c r="ASX3" s="188"/>
      <c r="ASY3" s="188"/>
      <c r="ASZ3" s="188"/>
      <c r="ATA3" s="188"/>
      <c r="ATB3" s="188"/>
      <c r="ATC3" s="188"/>
      <c r="ATD3" s="188"/>
      <c r="ATE3" s="188"/>
      <c r="ATF3" s="188"/>
      <c r="ATG3" s="188"/>
      <c r="ATH3" s="188"/>
      <c r="ATI3" s="188"/>
      <c r="ATJ3" s="188"/>
      <c r="ATK3" s="188"/>
      <c r="ATL3" s="188"/>
      <c r="ATM3" s="188"/>
      <c r="ATN3" s="188"/>
      <c r="ATO3" s="188"/>
      <c r="ATP3" s="188"/>
      <c r="ATQ3" s="188"/>
      <c r="ATR3" s="188"/>
      <c r="ATS3" s="188"/>
      <c r="ATT3" s="188"/>
      <c r="ATU3" s="188"/>
      <c r="ATV3" s="188"/>
      <c r="ATW3" s="188"/>
      <c r="ATX3" s="188"/>
      <c r="ATY3" s="188"/>
      <c r="ATZ3" s="188"/>
      <c r="AUA3" s="188"/>
      <c r="AUB3" s="188"/>
      <c r="AUC3" s="188"/>
      <c r="AUD3" s="188"/>
      <c r="AUE3" s="188"/>
      <c r="AUF3" s="188"/>
      <c r="AUG3" s="188"/>
      <c r="AUH3" s="188"/>
      <c r="AUI3" s="188"/>
      <c r="AUJ3" s="188"/>
      <c r="AUK3" s="188"/>
      <c r="AUL3" s="188"/>
      <c r="AUM3" s="188"/>
      <c r="AUN3" s="188"/>
      <c r="AUO3" s="188"/>
      <c r="AUP3" s="188"/>
      <c r="AUQ3" s="188"/>
      <c r="AUR3" s="188"/>
      <c r="AUS3" s="188"/>
      <c r="AUT3" s="188"/>
      <c r="AUU3" s="188"/>
      <c r="AUV3" s="188"/>
      <c r="AUW3" s="188"/>
      <c r="AUX3" s="188"/>
      <c r="AUY3" s="188"/>
      <c r="AUZ3" s="188"/>
      <c r="AVA3" s="188"/>
      <c r="AVB3" s="188"/>
      <c r="AVC3" s="188"/>
      <c r="AVD3" s="188"/>
      <c r="AVE3" s="188"/>
      <c r="AVF3" s="188"/>
      <c r="AVG3" s="188"/>
      <c r="AVH3" s="188"/>
      <c r="AVI3" s="188"/>
      <c r="AVJ3" s="188"/>
      <c r="AVK3" s="188"/>
      <c r="AVL3" s="188"/>
      <c r="AVM3" s="188"/>
      <c r="AVN3" s="188"/>
      <c r="AVO3" s="188"/>
      <c r="AVP3" s="188"/>
      <c r="AVQ3" s="188"/>
      <c r="AVR3" s="188"/>
      <c r="AVS3" s="188"/>
      <c r="AVT3" s="188"/>
      <c r="AVU3" s="188"/>
      <c r="AVV3" s="188"/>
      <c r="AVW3" s="188"/>
      <c r="AVX3" s="188"/>
      <c r="AVY3" s="188"/>
      <c r="AVZ3" s="188"/>
      <c r="AWA3" s="188"/>
      <c r="AWB3" s="188"/>
      <c r="AWC3" s="188"/>
      <c r="AWD3" s="188"/>
      <c r="AWE3" s="188"/>
      <c r="AWF3" s="188"/>
      <c r="AWG3" s="188"/>
      <c r="AWH3" s="188"/>
      <c r="AWI3" s="188"/>
      <c r="AWJ3" s="188"/>
      <c r="AWK3" s="188"/>
      <c r="AWL3" s="188"/>
      <c r="AWM3" s="188"/>
      <c r="AWN3" s="188"/>
      <c r="AWO3" s="188"/>
      <c r="AWP3" s="188"/>
      <c r="AWQ3" s="188"/>
      <c r="AWR3" s="188"/>
      <c r="AWS3" s="188"/>
      <c r="AWT3" s="188"/>
      <c r="AWU3" s="188"/>
      <c r="AWV3" s="188"/>
      <c r="AWW3" s="188"/>
      <c r="AWX3" s="188"/>
      <c r="AWY3" s="188"/>
      <c r="AWZ3" s="188"/>
      <c r="AXA3" s="188"/>
      <c r="AXB3" s="188"/>
      <c r="AXC3" s="188"/>
      <c r="AXD3" s="188"/>
      <c r="AXE3" s="188"/>
      <c r="AXF3" s="188"/>
      <c r="AXG3" s="188"/>
      <c r="AXH3" s="188"/>
      <c r="AXI3" s="188"/>
      <c r="AXJ3" s="188"/>
      <c r="AXK3" s="188"/>
      <c r="AXL3" s="188"/>
      <c r="AXM3" s="188"/>
      <c r="AXN3" s="188"/>
      <c r="AXO3" s="188"/>
      <c r="AXP3" s="188"/>
      <c r="AXQ3" s="188"/>
      <c r="AXR3" s="188"/>
      <c r="AXS3" s="188"/>
      <c r="AXT3" s="188"/>
      <c r="AXU3" s="188"/>
      <c r="AXV3" s="188"/>
      <c r="AXW3" s="188"/>
      <c r="AXX3" s="188"/>
      <c r="AXY3" s="188"/>
      <c r="AXZ3" s="188"/>
      <c r="AYA3" s="188"/>
      <c r="AYB3" s="188"/>
      <c r="AYC3" s="188"/>
      <c r="AYD3" s="188"/>
      <c r="AYE3" s="188"/>
      <c r="AYF3" s="188"/>
      <c r="AYG3" s="188"/>
      <c r="AYH3" s="188"/>
      <c r="AYI3" s="188"/>
      <c r="AYJ3" s="188"/>
      <c r="AYK3" s="188"/>
      <c r="AYL3" s="188"/>
      <c r="AYM3" s="188"/>
      <c r="AYN3" s="188"/>
      <c r="AYO3" s="188"/>
      <c r="AYP3" s="188"/>
      <c r="AYQ3" s="188"/>
      <c r="AYR3" s="188"/>
      <c r="AYS3" s="188"/>
      <c r="AYT3" s="188"/>
      <c r="AYU3" s="188"/>
      <c r="AYV3" s="188"/>
      <c r="AYW3" s="188"/>
      <c r="AYX3" s="188"/>
      <c r="AYY3" s="188"/>
      <c r="AYZ3" s="188"/>
      <c r="AZA3" s="188"/>
      <c r="AZB3" s="188"/>
      <c r="AZC3" s="188"/>
      <c r="AZD3" s="188"/>
      <c r="AZE3" s="188"/>
      <c r="AZF3" s="188"/>
      <c r="AZG3" s="188"/>
      <c r="AZH3" s="188"/>
      <c r="AZI3" s="188"/>
      <c r="AZJ3" s="188"/>
      <c r="AZK3" s="188"/>
      <c r="AZL3" s="188"/>
      <c r="AZM3" s="188"/>
      <c r="AZN3" s="188"/>
      <c r="AZO3" s="188"/>
      <c r="AZP3" s="188"/>
      <c r="AZQ3" s="188"/>
      <c r="AZR3" s="188"/>
      <c r="AZS3" s="188"/>
      <c r="AZT3" s="188"/>
      <c r="AZU3" s="188"/>
      <c r="AZV3" s="188"/>
      <c r="AZW3" s="188"/>
      <c r="AZX3" s="188"/>
      <c r="AZY3" s="188"/>
      <c r="AZZ3" s="188"/>
      <c r="BAA3" s="188"/>
      <c r="BAB3" s="188"/>
      <c r="BAC3" s="188"/>
      <c r="BAD3" s="188"/>
      <c r="BAE3" s="188"/>
      <c r="BAF3" s="188"/>
      <c r="BAG3" s="188"/>
      <c r="BAH3" s="188"/>
      <c r="BAI3" s="188"/>
      <c r="BAJ3" s="188"/>
      <c r="BAK3" s="188"/>
      <c r="BAL3" s="188"/>
      <c r="BAM3" s="188"/>
      <c r="BAN3" s="188"/>
      <c r="BAO3" s="188"/>
      <c r="BAP3" s="188"/>
      <c r="BAQ3" s="188"/>
      <c r="BAR3" s="188"/>
      <c r="BAS3" s="188"/>
      <c r="BAT3" s="188"/>
      <c r="BAU3" s="188"/>
      <c r="BAV3" s="188"/>
      <c r="BAW3" s="188"/>
      <c r="BAX3" s="188"/>
      <c r="BAY3" s="188"/>
      <c r="BAZ3" s="188"/>
      <c r="BBA3" s="188"/>
      <c r="BBB3" s="188"/>
      <c r="BBC3" s="188"/>
      <c r="BBD3" s="188"/>
      <c r="BBE3" s="188"/>
      <c r="BBF3" s="188"/>
      <c r="BBG3" s="188"/>
      <c r="BBH3" s="188"/>
      <c r="BBI3" s="188"/>
      <c r="BBJ3" s="188"/>
      <c r="BBK3" s="188"/>
      <c r="BBL3" s="188"/>
      <c r="BBM3" s="188"/>
      <c r="BBN3" s="188"/>
      <c r="BBO3" s="188"/>
      <c r="BBP3" s="188"/>
      <c r="BBQ3" s="188"/>
      <c r="BBR3" s="188"/>
      <c r="BBS3" s="188"/>
      <c r="BBT3" s="188"/>
      <c r="BBU3" s="188"/>
      <c r="BBV3" s="188"/>
      <c r="BBW3" s="188"/>
      <c r="BBX3" s="188"/>
      <c r="BBY3" s="188"/>
      <c r="BBZ3" s="188"/>
      <c r="BCA3" s="188"/>
      <c r="BCB3" s="188"/>
      <c r="BCC3" s="188"/>
      <c r="BCD3" s="188"/>
      <c r="BCE3" s="188"/>
      <c r="BCF3" s="188"/>
      <c r="BCG3" s="188"/>
      <c r="BCH3" s="188"/>
      <c r="BCI3" s="188"/>
      <c r="BCJ3" s="188"/>
      <c r="BCK3" s="188"/>
      <c r="BCL3" s="188"/>
      <c r="BCM3" s="188"/>
      <c r="BCN3" s="188"/>
      <c r="BCO3" s="188"/>
      <c r="BCP3" s="188"/>
      <c r="BCQ3" s="188"/>
      <c r="BCR3" s="188"/>
      <c r="BCS3" s="188"/>
      <c r="BCT3" s="188"/>
      <c r="BCU3" s="188"/>
      <c r="BCV3" s="188"/>
      <c r="BCW3" s="188"/>
      <c r="BCX3" s="188"/>
      <c r="BCY3" s="188"/>
      <c r="BCZ3" s="188"/>
      <c r="BDA3" s="188"/>
      <c r="BDB3" s="188"/>
      <c r="BDC3" s="188"/>
      <c r="BDD3" s="188"/>
      <c r="BDE3" s="188"/>
      <c r="BDF3" s="188"/>
      <c r="BDG3" s="188"/>
      <c r="BDH3" s="188"/>
      <c r="BDI3" s="188"/>
      <c r="BDJ3" s="188"/>
      <c r="BDK3" s="188"/>
      <c r="BDL3" s="188"/>
      <c r="BDM3" s="188"/>
      <c r="BDN3" s="188"/>
      <c r="BDO3" s="188"/>
      <c r="BDP3" s="188"/>
      <c r="BDQ3" s="188"/>
      <c r="BDR3" s="188"/>
      <c r="BDS3" s="188"/>
      <c r="BDT3" s="188"/>
      <c r="BDU3" s="188"/>
      <c r="BDV3" s="188"/>
      <c r="BDW3" s="188"/>
      <c r="BDX3" s="188"/>
      <c r="BDY3" s="188"/>
      <c r="BDZ3" s="188"/>
      <c r="BEA3" s="188"/>
      <c r="BEB3" s="188"/>
      <c r="BEC3" s="188"/>
      <c r="BED3" s="188"/>
      <c r="BEE3" s="188"/>
      <c r="BEF3" s="188"/>
      <c r="BEG3" s="188"/>
      <c r="BEH3" s="188"/>
      <c r="BEI3" s="188"/>
      <c r="BEJ3" s="188"/>
      <c r="BEK3" s="188"/>
      <c r="BEL3" s="188"/>
      <c r="BEM3" s="188"/>
      <c r="BEN3" s="188"/>
      <c r="BEO3" s="188"/>
      <c r="BEP3" s="188"/>
      <c r="BEQ3" s="188"/>
      <c r="BER3" s="188"/>
      <c r="BES3" s="188"/>
      <c r="BET3" s="188"/>
      <c r="BEU3" s="188"/>
      <c r="BEV3" s="188"/>
      <c r="BEW3" s="188"/>
      <c r="BEX3" s="188"/>
      <c r="BEY3" s="188"/>
      <c r="BEZ3" s="188"/>
      <c r="BFA3" s="188"/>
      <c r="BFB3" s="188"/>
      <c r="BFC3" s="188"/>
      <c r="BFD3" s="188"/>
      <c r="BFE3" s="188"/>
      <c r="BFF3" s="188"/>
      <c r="BFG3" s="188"/>
      <c r="BFH3" s="188"/>
      <c r="BFI3" s="188"/>
      <c r="BFJ3" s="188"/>
      <c r="BFK3" s="188"/>
      <c r="BFL3" s="188"/>
      <c r="BFM3" s="188"/>
      <c r="BFN3" s="188"/>
      <c r="BFO3" s="188"/>
      <c r="BFP3" s="188"/>
      <c r="BFQ3" s="188"/>
      <c r="BFR3" s="188"/>
      <c r="BFS3" s="188"/>
      <c r="BFT3" s="188"/>
      <c r="BFU3" s="188"/>
      <c r="BFV3" s="188"/>
      <c r="BFW3" s="188"/>
      <c r="BFX3" s="188"/>
      <c r="BFY3" s="188"/>
      <c r="BFZ3" s="188"/>
      <c r="BGA3" s="188"/>
      <c r="BGB3" s="188"/>
      <c r="BGC3" s="188"/>
      <c r="BGD3" s="188"/>
      <c r="BGE3" s="188"/>
      <c r="BGF3" s="188"/>
      <c r="BGG3" s="188"/>
      <c r="BGH3" s="188"/>
      <c r="BGI3" s="188"/>
      <c r="BGJ3" s="188"/>
      <c r="BGK3" s="188"/>
      <c r="BGL3" s="188"/>
      <c r="BGM3" s="188"/>
      <c r="BGN3" s="188"/>
      <c r="BGO3" s="188"/>
      <c r="BGP3" s="188"/>
      <c r="BGQ3" s="188"/>
      <c r="BGR3" s="188"/>
      <c r="BGS3" s="188"/>
      <c r="BGT3" s="188"/>
      <c r="BGU3" s="188"/>
      <c r="BGV3" s="188"/>
      <c r="BGW3" s="188"/>
      <c r="BGX3" s="188"/>
      <c r="BGY3" s="188"/>
      <c r="BGZ3" s="188"/>
      <c r="BHA3" s="188"/>
      <c r="BHB3" s="188"/>
      <c r="BHC3" s="188"/>
      <c r="BHD3" s="188"/>
      <c r="BHE3" s="188"/>
      <c r="BHF3" s="188"/>
      <c r="BHG3" s="188"/>
      <c r="BHH3" s="188"/>
      <c r="BHI3" s="188"/>
      <c r="BHJ3" s="188"/>
      <c r="BHK3" s="188"/>
      <c r="BHL3" s="188"/>
      <c r="BHM3" s="188"/>
      <c r="BHN3" s="188"/>
      <c r="BHO3" s="188"/>
      <c r="BHP3" s="188"/>
      <c r="BHQ3" s="188"/>
      <c r="BHR3" s="188"/>
      <c r="BHS3" s="188"/>
      <c r="BHT3" s="188"/>
      <c r="BHU3" s="188"/>
      <c r="BHV3" s="188"/>
      <c r="BHW3" s="188"/>
      <c r="BHX3" s="188"/>
      <c r="BHY3" s="188"/>
      <c r="BHZ3" s="188"/>
      <c r="BIA3" s="188"/>
      <c r="BIB3" s="188"/>
      <c r="BIC3" s="188"/>
      <c r="BID3" s="188"/>
      <c r="BIE3" s="188"/>
      <c r="BIF3" s="188"/>
      <c r="BIG3" s="188"/>
      <c r="BIH3" s="188"/>
      <c r="BII3" s="188"/>
      <c r="BIJ3" s="188"/>
      <c r="BIK3" s="188"/>
      <c r="BIL3" s="188"/>
      <c r="BIM3" s="188"/>
      <c r="BIN3" s="188"/>
      <c r="BIO3" s="188"/>
      <c r="BIP3" s="188"/>
      <c r="BIQ3" s="188"/>
      <c r="BIR3" s="188"/>
      <c r="BIS3" s="188"/>
      <c r="BIT3" s="188"/>
      <c r="BIU3" s="188"/>
      <c r="BIV3" s="188"/>
      <c r="BIW3" s="188"/>
      <c r="BIX3" s="188"/>
      <c r="BIY3" s="188"/>
      <c r="BIZ3" s="188"/>
      <c r="BJA3" s="188"/>
      <c r="BJB3" s="188"/>
      <c r="BJC3" s="188"/>
      <c r="BJD3" s="188"/>
      <c r="BJE3" s="188"/>
      <c r="BJF3" s="188"/>
      <c r="BJG3" s="188"/>
      <c r="BJH3" s="188"/>
      <c r="BJI3" s="188"/>
      <c r="BJJ3" s="188"/>
      <c r="BJK3" s="188"/>
      <c r="BJL3" s="188"/>
      <c r="BJM3" s="188"/>
      <c r="BJN3" s="188"/>
      <c r="BJO3" s="188"/>
      <c r="BJP3" s="188"/>
      <c r="BJQ3" s="188"/>
      <c r="BJR3" s="188"/>
      <c r="BJS3" s="188"/>
      <c r="BJT3" s="188"/>
      <c r="BJU3" s="188"/>
      <c r="BJV3" s="188"/>
      <c r="BJW3" s="188"/>
      <c r="BJX3" s="188"/>
      <c r="BJY3" s="188"/>
      <c r="BJZ3" s="188"/>
      <c r="BKA3" s="188"/>
      <c r="BKB3" s="188"/>
      <c r="BKC3" s="188"/>
      <c r="BKD3" s="188"/>
      <c r="BKE3" s="188"/>
      <c r="BKF3" s="188"/>
      <c r="BKG3" s="188"/>
      <c r="BKH3" s="188"/>
      <c r="BKI3" s="188"/>
      <c r="BKJ3" s="188"/>
      <c r="BKK3" s="188"/>
      <c r="BKL3" s="188"/>
      <c r="BKM3" s="188"/>
      <c r="BKN3" s="188"/>
      <c r="BKO3" s="188"/>
      <c r="BKP3" s="188"/>
      <c r="BKQ3" s="188"/>
      <c r="BKR3" s="188"/>
      <c r="BKS3" s="188"/>
      <c r="BKT3" s="188"/>
      <c r="BKU3" s="188"/>
      <c r="BKV3" s="188"/>
      <c r="BKW3" s="188"/>
      <c r="BKX3" s="188"/>
      <c r="BKY3" s="188"/>
      <c r="BKZ3" s="188"/>
      <c r="BLA3" s="188"/>
      <c r="BLB3" s="188"/>
      <c r="BLC3" s="188"/>
      <c r="BLD3" s="188"/>
      <c r="BLE3" s="188"/>
      <c r="BLF3" s="188"/>
      <c r="BLG3" s="188"/>
      <c r="BLH3" s="188"/>
      <c r="BLI3" s="188"/>
      <c r="BLJ3" s="188"/>
      <c r="BLK3" s="188"/>
      <c r="BLL3" s="188"/>
      <c r="BLM3" s="188"/>
      <c r="BLN3" s="188"/>
      <c r="BLO3" s="188"/>
      <c r="BLP3" s="188"/>
      <c r="BLQ3" s="188"/>
      <c r="BLR3" s="188"/>
      <c r="BLS3" s="188"/>
      <c r="BLT3" s="188"/>
      <c r="BLU3" s="188"/>
      <c r="BLV3" s="188"/>
      <c r="BLW3" s="188"/>
      <c r="BLX3" s="188"/>
      <c r="BLY3" s="188"/>
      <c r="BLZ3" s="188"/>
      <c r="BMA3" s="188"/>
      <c r="BMB3" s="188"/>
      <c r="BMC3" s="188"/>
      <c r="BMD3" s="188"/>
      <c r="BME3" s="188"/>
      <c r="BMF3" s="188"/>
      <c r="BMG3" s="188"/>
      <c r="BMH3" s="188"/>
      <c r="BMI3" s="188"/>
      <c r="BMJ3" s="188"/>
      <c r="BMK3" s="188"/>
      <c r="BML3" s="188"/>
      <c r="BMM3" s="188"/>
      <c r="BMN3" s="188"/>
      <c r="BMO3" s="188"/>
      <c r="BMP3" s="188"/>
      <c r="BMQ3" s="188"/>
      <c r="BMR3" s="188"/>
      <c r="BMS3" s="188"/>
      <c r="BMT3" s="188"/>
      <c r="BMU3" s="188"/>
      <c r="BMV3" s="188"/>
      <c r="BMW3" s="188"/>
      <c r="BMX3" s="188"/>
      <c r="BMY3" s="188"/>
      <c r="BMZ3" s="188"/>
      <c r="BNA3" s="188"/>
      <c r="BNB3" s="188"/>
      <c r="BNC3" s="188"/>
      <c r="BND3" s="188"/>
      <c r="BNE3" s="188"/>
      <c r="BNF3" s="188"/>
      <c r="BNG3" s="188"/>
      <c r="BNH3" s="188"/>
      <c r="BNI3" s="188"/>
      <c r="BNJ3" s="188"/>
      <c r="BNK3" s="188"/>
      <c r="BNL3" s="188"/>
      <c r="BNM3" s="188"/>
      <c r="BNN3" s="188"/>
      <c r="BNO3" s="188"/>
      <c r="BNP3" s="188"/>
      <c r="BNQ3" s="188"/>
      <c r="BNR3" s="188"/>
      <c r="BNS3" s="188"/>
      <c r="BNT3" s="188"/>
      <c r="BNU3" s="188"/>
      <c r="BNV3" s="188"/>
      <c r="BNW3" s="188"/>
      <c r="BNX3" s="188"/>
      <c r="BNY3" s="188"/>
      <c r="BNZ3" s="188"/>
      <c r="BOA3" s="188"/>
      <c r="BOB3" s="188"/>
      <c r="BOC3" s="188"/>
      <c r="BOD3" s="188"/>
      <c r="BOE3" s="188"/>
      <c r="BOF3" s="188"/>
      <c r="BOG3" s="188"/>
      <c r="BOH3" s="188"/>
      <c r="BOI3" s="188"/>
      <c r="BOJ3" s="188"/>
      <c r="BOK3" s="188"/>
      <c r="BOL3" s="188"/>
      <c r="BOM3" s="188"/>
      <c r="BON3" s="188"/>
      <c r="BOO3" s="188"/>
      <c r="BOP3" s="188"/>
      <c r="BOQ3" s="188"/>
      <c r="BOR3" s="188"/>
      <c r="BOS3" s="188"/>
      <c r="BOT3" s="188"/>
      <c r="BOU3" s="188"/>
      <c r="BOV3" s="188"/>
      <c r="BOW3" s="188"/>
      <c r="BOX3" s="188"/>
      <c r="BOY3" s="188"/>
      <c r="BOZ3" s="188"/>
      <c r="BPA3" s="188"/>
      <c r="BPB3" s="188"/>
      <c r="BPC3" s="188"/>
      <c r="BPD3" s="188"/>
      <c r="BPE3" s="188"/>
      <c r="BPF3" s="188"/>
      <c r="BPG3" s="188"/>
      <c r="BPH3" s="188"/>
      <c r="BPI3" s="188"/>
      <c r="BPJ3" s="188"/>
      <c r="BPK3" s="188"/>
      <c r="BPL3" s="188"/>
      <c r="BPM3" s="188"/>
      <c r="BPN3" s="188"/>
      <c r="BPO3" s="188"/>
      <c r="BPP3" s="188"/>
      <c r="BPQ3" s="188"/>
      <c r="BPR3" s="188"/>
      <c r="BPS3" s="188"/>
      <c r="BPT3" s="188"/>
      <c r="BPU3" s="188"/>
      <c r="BPV3" s="188"/>
      <c r="BPW3" s="188"/>
      <c r="BPX3" s="188"/>
      <c r="BPY3" s="188"/>
      <c r="BPZ3" s="188"/>
      <c r="BQA3" s="188"/>
      <c r="BQB3" s="188"/>
      <c r="BQC3" s="188"/>
      <c r="BQD3" s="188"/>
      <c r="BQE3" s="188"/>
      <c r="BQF3" s="188"/>
      <c r="BQG3" s="188"/>
      <c r="BQH3" s="188"/>
      <c r="BQI3" s="188"/>
      <c r="BQJ3" s="188"/>
      <c r="BQK3" s="188"/>
      <c r="BQL3" s="188"/>
      <c r="BQM3" s="188"/>
      <c r="BQN3" s="188"/>
      <c r="BQO3" s="188"/>
      <c r="BQP3" s="188"/>
      <c r="BQQ3" s="188"/>
      <c r="BQR3" s="188"/>
      <c r="BQS3" s="188"/>
      <c r="BQT3" s="188"/>
      <c r="BQU3" s="188"/>
      <c r="BQV3" s="188"/>
      <c r="BQW3" s="188"/>
      <c r="BQX3" s="188"/>
      <c r="BQY3" s="188"/>
      <c r="BQZ3" s="188"/>
      <c r="BRA3" s="188"/>
      <c r="BRB3" s="188"/>
      <c r="BRC3" s="188"/>
      <c r="BRD3" s="188"/>
      <c r="BRE3" s="188"/>
      <c r="BRF3" s="188"/>
      <c r="BRG3" s="188"/>
      <c r="BRH3" s="188"/>
      <c r="BRI3" s="188"/>
      <c r="BRJ3" s="188"/>
      <c r="BRK3" s="188"/>
      <c r="BRL3" s="188"/>
      <c r="BRM3" s="188"/>
      <c r="BRN3" s="188"/>
      <c r="BRO3" s="188"/>
      <c r="BRP3" s="188"/>
      <c r="BRQ3" s="188"/>
      <c r="BRR3" s="188"/>
      <c r="BRS3" s="188"/>
      <c r="BRT3" s="188"/>
      <c r="BRU3" s="188"/>
      <c r="BRV3" s="188"/>
      <c r="BRW3" s="188"/>
      <c r="BRX3" s="188"/>
      <c r="BRY3" s="188"/>
      <c r="BRZ3" s="188"/>
      <c r="BSA3" s="188"/>
      <c r="BSB3" s="188"/>
      <c r="BSC3" s="188"/>
      <c r="BSD3" s="188"/>
      <c r="BSE3" s="188"/>
      <c r="BSF3" s="188"/>
      <c r="BSG3" s="188"/>
      <c r="BSH3" s="188"/>
      <c r="BSI3" s="188"/>
      <c r="BSJ3" s="188"/>
      <c r="BSK3" s="188"/>
      <c r="BSL3" s="188"/>
      <c r="BSM3" s="188"/>
      <c r="BSN3" s="188"/>
      <c r="BSO3" s="188"/>
      <c r="BSP3" s="188"/>
      <c r="BSQ3" s="188"/>
      <c r="BSR3" s="188"/>
      <c r="BSS3" s="188"/>
      <c r="BST3" s="188"/>
      <c r="BSU3" s="188"/>
      <c r="BSV3" s="188"/>
      <c r="BSW3" s="188"/>
      <c r="BSX3" s="188"/>
      <c r="BSY3" s="188"/>
      <c r="BSZ3" s="188"/>
      <c r="BTA3" s="188"/>
      <c r="BTB3" s="188"/>
      <c r="BTC3" s="188"/>
      <c r="BTD3" s="188"/>
      <c r="BTE3" s="188"/>
      <c r="BTF3" s="188"/>
      <c r="BTG3" s="188"/>
      <c r="BTH3" s="188"/>
      <c r="BTI3" s="188"/>
      <c r="BTJ3" s="188"/>
      <c r="BTK3" s="188"/>
      <c r="BTL3" s="188"/>
      <c r="BTM3" s="188"/>
      <c r="BTN3" s="188"/>
      <c r="BTO3" s="188"/>
      <c r="BTP3" s="188"/>
      <c r="BTQ3" s="188"/>
      <c r="BTR3" s="188"/>
      <c r="BTS3" s="188"/>
      <c r="BTT3" s="188"/>
      <c r="BTU3" s="188"/>
      <c r="BTV3" s="188"/>
      <c r="BTW3" s="188"/>
      <c r="BTX3" s="188"/>
      <c r="BTY3" s="188"/>
      <c r="BTZ3" s="188"/>
      <c r="BUA3" s="188"/>
      <c r="BUB3" s="188"/>
      <c r="BUC3" s="188"/>
      <c r="BUD3" s="188"/>
      <c r="BUE3" s="188"/>
      <c r="BUF3" s="188"/>
      <c r="BUG3" s="188"/>
      <c r="BUH3" s="188"/>
      <c r="BUI3" s="188"/>
      <c r="BUJ3" s="188"/>
      <c r="BUK3" s="188"/>
      <c r="BUL3" s="188"/>
      <c r="BUM3" s="188"/>
      <c r="BUN3" s="188"/>
      <c r="BUO3" s="188"/>
      <c r="BUP3" s="188"/>
      <c r="BUQ3" s="188"/>
      <c r="BUR3" s="188"/>
      <c r="BUS3" s="188"/>
      <c r="BUT3" s="188"/>
      <c r="BUU3" s="188"/>
      <c r="BUV3" s="188"/>
      <c r="BUW3" s="188"/>
      <c r="BUX3" s="188"/>
      <c r="BUY3" s="188"/>
      <c r="BUZ3" s="188"/>
      <c r="BVA3" s="188"/>
      <c r="BVB3" s="188"/>
      <c r="BVC3" s="188"/>
      <c r="BVD3" s="188"/>
      <c r="BVE3" s="188"/>
      <c r="BVF3" s="188"/>
      <c r="BVG3" s="188"/>
      <c r="BVH3" s="188"/>
      <c r="BVI3" s="188"/>
      <c r="BVJ3" s="188"/>
      <c r="BVK3" s="188"/>
      <c r="BVL3" s="188"/>
      <c r="BVM3" s="188"/>
      <c r="BVN3" s="188"/>
      <c r="BVO3" s="188"/>
      <c r="BVP3" s="188"/>
      <c r="BVQ3" s="188"/>
      <c r="BVR3" s="188"/>
      <c r="BVS3" s="188"/>
      <c r="BVT3" s="188"/>
      <c r="BVU3" s="188"/>
      <c r="BVV3" s="188"/>
      <c r="BVW3" s="188"/>
      <c r="BVX3" s="188"/>
      <c r="BVY3" s="188"/>
      <c r="BVZ3" s="188"/>
      <c r="BWA3" s="188"/>
      <c r="BWB3" s="188"/>
      <c r="BWC3" s="188"/>
      <c r="BWD3" s="188"/>
      <c r="BWE3" s="188"/>
      <c r="BWF3" s="188"/>
      <c r="BWG3" s="188"/>
      <c r="BWH3" s="188"/>
      <c r="BWI3" s="188"/>
      <c r="BWJ3" s="188"/>
      <c r="BWK3" s="188"/>
      <c r="BWL3" s="188"/>
      <c r="BWM3" s="188"/>
      <c r="BWN3" s="188"/>
      <c r="BWO3" s="188"/>
      <c r="BWP3" s="188"/>
      <c r="BWQ3" s="188"/>
      <c r="BWR3" s="188"/>
      <c r="BWS3" s="188"/>
      <c r="BWT3" s="188"/>
      <c r="BWU3" s="188"/>
      <c r="BWV3" s="188"/>
      <c r="BWW3" s="188"/>
      <c r="BWX3" s="188"/>
      <c r="BWY3" s="188"/>
      <c r="BWZ3" s="188"/>
      <c r="BXA3" s="188"/>
      <c r="BXB3" s="188"/>
      <c r="BXC3" s="188"/>
      <c r="BXD3" s="188"/>
      <c r="BXE3" s="188"/>
      <c r="BXF3" s="188"/>
      <c r="BXG3" s="188"/>
      <c r="BXH3" s="188"/>
      <c r="BXI3" s="188"/>
      <c r="BXJ3" s="188"/>
      <c r="BXK3" s="188"/>
      <c r="BXL3" s="188"/>
      <c r="BXM3" s="188"/>
      <c r="BXN3" s="188"/>
      <c r="BXO3" s="188"/>
      <c r="BXP3" s="188"/>
      <c r="BXQ3" s="188"/>
      <c r="BXR3" s="188"/>
      <c r="BXS3" s="188"/>
      <c r="BXT3" s="188"/>
      <c r="BXU3" s="188"/>
      <c r="BXV3" s="188"/>
      <c r="BXW3" s="188"/>
      <c r="BXX3" s="188"/>
      <c r="BXY3" s="188"/>
      <c r="BXZ3" s="188"/>
      <c r="BYA3" s="188"/>
      <c r="BYB3" s="188"/>
      <c r="BYC3" s="188"/>
      <c r="BYD3" s="188"/>
      <c r="BYE3" s="188"/>
      <c r="BYF3" s="188"/>
      <c r="BYG3" s="188"/>
      <c r="BYH3" s="188"/>
      <c r="BYI3" s="188"/>
      <c r="BYJ3" s="188"/>
      <c r="BYK3" s="188"/>
      <c r="BYL3" s="188"/>
      <c r="BYM3" s="188"/>
      <c r="BYN3" s="188"/>
      <c r="BYO3" s="188"/>
      <c r="BYP3" s="188"/>
      <c r="BYQ3" s="188"/>
      <c r="BYR3" s="188"/>
      <c r="BYS3" s="188"/>
      <c r="BYT3" s="188"/>
      <c r="BYU3" s="188"/>
      <c r="BYV3" s="188"/>
      <c r="BYW3" s="188"/>
      <c r="BYX3" s="188"/>
      <c r="BYY3" s="188"/>
      <c r="BYZ3" s="188"/>
      <c r="BZA3" s="188"/>
      <c r="BZB3" s="188"/>
      <c r="BZC3" s="188"/>
      <c r="BZD3" s="188"/>
      <c r="BZE3" s="188"/>
      <c r="BZF3" s="188"/>
      <c r="BZG3" s="188"/>
      <c r="BZH3" s="188"/>
      <c r="BZI3" s="188"/>
      <c r="BZJ3" s="188"/>
      <c r="BZK3" s="188"/>
      <c r="BZL3" s="188"/>
      <c r="BZM3" s="188"/>
      <c r="BZN3" s="188"/>
      <c r="BZO3" s="188"/>
      <c r="BZP3" s="188"/>
      <c r="BZQ3" s="188"/>
      <c r="BZR3" s="188"/>
      <c r="BZS3" s="188"/>
      <c r="BZT3" s="188"/>
      <c r="BZU3" s="188"/>
      <c r="BZV3" s="188"/>
      <c r="BZW3" s="188"/>
      <c r="BZX3" s="188"/>
      <c r="BZY3" s="188"/>
      <c r="BZZ3" s="188"/>
      <c r="CAA3" s="188"/>
      <c r="CAB3" s="188"/>
      <c r="CAC3" s="188"/>
      <c r="CAD3" s="188"/>
      <c r="CAE3" s="188"/>
      <c r="CAF3" s="188"/>
      <c r="CAG3" s="188"/>
      <c r="CAH3" s="188"/>
      <c r="CAI3" s="188"/>
      <c r="CAJ3" s="188"/>
      <c r="CAK3" s="188"/>
      <c r="CAL3" s="188"/>
      <c r="CAM3" s="188"/>
      <c r="CAN3" s="188"/>
      <c r="CAO3" s="188"/>
      <c r="CAP3" s="188"/>
      <c r="CAQ3" s="188"/>
      <c r="CAR3" s="188"/>
      <c r="CAS3" s="188"/>
      <c r="CAT3" s="188"/>
      <c r="CAU3" s="188"/>
      <c r="CAV3" s="188"/>
      <c r="CAW3" s="188"/>
      <c r="CAX3" s="188"/>
      <c r="CAY3" s="188"/>
      <c r="CAZ3" s="188"/>
      <c r="CBA3" s="188"/>
      <c r="CBB3" s="188"/>
      <c r="CBC3" s="188"/>
      <c r="CBD3" s="188"/>
      <c r="CBE3" s="188"/>
      <c r="CBF3" s="188"/>
      <c r="CBG3" s="188"/>
      <c r="CBH3" s="188"/>
      <c r="CBI3" s="188"/>
      <c r="CBJ3" s="188"/>
      <c r="CBK3" s="188"/>
      <c r="CBL3" s="188"/>
      <c r="CBM3" s="188"/>
      <c r="CBN3" s="188"/>
      <c r="CBO3" s="188"/>
      <c r="CBP3" s="188"/>
      <c r="CBQ3" s="188"/>
      <c r="CBR3" s="188"/>
      <c r="CBS3" s="188"/>
      <c r="CBT3" s="188"/>
      <c r="CBU3" s="188"/>
      <c r="CBV3" s="188"/>
      <c r="CBW3" s="188"/>
      <c r="CBX3" s="188"/>
      <c r="CBY3" s="188"/>
      <c r="CBZ3" s="188"/>
      <c r="CCA3" s="188"/>
      <c r="CCB3" s="188"/>
      <c r="CCC3" s="188"/>
      <c r="CCD3" s="188"/>
      <c r="CCE3" s="188"/>
      <c r="CCF3" s="188"/>
      <c r="CCG3" s="188"/>
      <c r="CCH3" s="188"/>
      <c r="CCI3" s="188"/>
      <c r="CCJ3" s="188"/>
      <c r="CCK3" s="188"/>
      <c r="CCL3" s="188"/>
      <c r="CCM3" s="188"/>
      <c r="CCN3" s="188"/>
      <c r="CCO3" s="188"/>
      <c r="CCP3" s="188"/>
      <c r="CCQ3" s="188"/>
      <c r="CCR3" s="188"/>
      <c r="CCS3" s="188"/>
      <c r="CCT3" s="188"/>
      <c r="CCU3" s="188"/>
      <c r="CCV3" s="188"/>
      <c r="CCW3" s="188"/>
      <c r="CCX3" s="188"/>
      <c r="CCY3" s="188"/>
      <c r="CCZ3" s="188"/>
      <c r="CDA3" s="188"/>
      <c r="CDB3" s="188"/>
      <c r="CDC3" s="188"/>
      <c r="CDD3" s="188"/>
      <c r="CDE3" s="188"/>
      <c r="CDF3" s="188"/>
      <c r="CDG3" s="188"/>
      <c r="CDH3" s="188"/>
      <c r="CDI3" s="188"/>
      <c r="CDJ3" s="188"/>
      <c r="CDK3" s="188"/>
      <c r="CDL3" s="188"/>
      <c r="CDM3" s="188"/>
      <c r="CDN3" s="188"/>
      <c r="CDO3" s="188"/>
      <c r="CDP3" s="188"/>
      <c r="CDQ3" s="188"/>
      <c r="CDR3" s="188"/>
      <c r="CDS3" s="188"/>
      <c r="CDT3" s="188"/>
      <c r="CDU3" s="188"/>
      <c r="CDV3" s="188"/>
      <c r="CDW3" s="188"/>
      <c r="CDX3" s="188"/>
      <c r="CDY3" s="188"/>
      <c r="CDZ3" s="188"/>
      <c r="CEA3" s="188"/>
      <c r="CEB3" s="188"/>
      <c r="CEC3" s="188"/>
      <c r="CED3" s="188"/>
      <c r="CEE3" s="188"/>
      <c r="CEF3" s="188"/>
      <c r="CEG3" s="188"/>
      <c r="CEH3" s="188"/>
      <c r="CEI3" s="188"/>
      <c r="CEJ3" s="188"/>
      <c r="CEK3" s="188"/>
      <c r="CEL3" s="188"/>
      <c r="CEM3" s="188"/>
      <c r="CEN3" s="188"/>
      <c r="CEO3" s="188"/>
      <c r="CEP3" s="188"/>
      <c r="CEQ3" s="188"/>
      <c r="CER3" s="188"/>
      <c r="CES3" s="188"/>
      <c r="CET3" s="188"/>
      <c r="CEU3" s="188"/>
      <c r="CEV3" s="188"/>
      <c r="CEW3" s="188"/>
      <c r="CEX3" s="188"/>
      <c r="CEY3" s="188"/>
      <c r="CEZ3" s="188"/>
      <c r="CFA3" s="188"/>
      <c r="CFB3" s="188"/>
      <c r="CFC3" s="188"/>
      <c r="CFD3" s="188"/>
      <c r="CFE3" s="188"/>
      <c r="CFF3" s="188"/>
      <c r="CFG3" s="188"/>
      <c r="CFH3" s="188"/>
      <c r="CFI3" s="188"/>
      <c r="CFJ3" s="188"/>
      <c r="CFK3" s="188"/>
      <c r="CFL3" s="188"/>
      <c r="CFM3" s="188"/>
      <c r="CFN3" s="188"/>
      <c r="CFO3" s="188"/>
      <c r="CFP3" s="188"/>
      <c r="CFQ3" s="188"/>
      <c r="CFR3" s="188"/>
      <c r="CFS3" s="188"/>
      <c r="CFT3" s="188"/>
      <c r="CFU3" s="188"/>
      <c r="CFV3" s="188"/>
      <c r="CFW3" s="188"/>
      <c r="CFX3" s="188"/>
      <c r="CFY3" s="188"/>
      <c r="CFZ3" s="188"/>
      <c r="CGA3" s="188"/>
      <c r="CGB3" s="188"/>
      <c r="CGC3" s="188"/>
      <c r="CGD3" s="188"/>
      <c r="CGE3" s="188"/>
      <c r="CGF3" s="188"/>
      <c r="CGG3" s="188"/>
      <c r="CGH3" s="188"/>
      <c r="CGI3" s="188"/>
      <c r="CGJ3" s="188"/>
      <c r="CGK3" s="188"/>
      <c r="CGL3" s="188"/>
      <c r="CGM3" s="188"/>
      <c r="CGN3" s="188"/>
      <c r="CGO3" s="188"/>
      <c r="CGP3" s="188"/>
      <c r="CGQ3" s="188"/>
      <c r="CGR3" s="188"/>
      <c r="CGS3" s="188"/>
      <c r="CGT3" s="188"/>
      <c r="CGU3" s="188"/>
      <c r="CGV3" s="188"/>
      <c r="CGW3" s="188"/>
      <c r="CGX3" s="188"/>
      <c r="CGY3" s="188"/>
      <c r="CGZ3" s="188"/>
      <c r="CHA3" s="188"/>
      <c r="CHB3" s="188"/>
      <c r="CHC3" s="188"/>
      <c r="CHD3" s="188"/>
      <c r="CHE3" s="188"/>
      <c r="CHF3" s="188"/>
      <c r="CHG3" s="188"/>
      <c r="CHH3" s="188"/>
      <c r="CHI3" s="188"/>
      <c r="CHJ3" s="188"/>
      <c r="CHK3" s="188"/>
      <c r="CHL3" s="188"/>
      <c r="CHM3" s="188"/>
      <c r="CHN3" s="188"/>
      <c r="CHO3" s="188"/>
      <c r="CHP3" s="188"/>
      <c r="CHQ3" s="188"/>
      <c r="CHR3" s="188"/>
      <c r="CHS3" s="188"/>
      <c r="CHT3" s="188"/>
      <c r="CHU3" s="188"/>
      <c r="CHV3" s="188"/>
      <c r="CHW3" s="188"/>
      <c r="CHX3" s="188"/>
      <c r="CHY3" s="188"/>
      <c r="CHZ3" s="188"/>
      <c r="CIA3" s="188"/>
      <c r="CIB3" s="188"/>
      <c r="CIC3" s="188"/>
      <c r="CID3" s="188"/>
      <c r="CIE3" s="188"/>
      <c r="CIF3" s="188"/>
      <c r="CIG3" s="188"/>
      <c r="CIH3" s="188"/>
      <c r="CII3" s="188"/>
      <c r="CIJ3" s="188"/>
      <c r="CIK3" s="188"/>
      <c r="CIL3" s="188"/>
      <c r="CIM3" s="188"/>
      <c r="CIN3" s="188"/>
      <c r="CIO3" s="188"/>
      <c r="CIP3" s="188"/>
      <c r="CIQ3" s="188"/>
      <c r="CIR3" s="188"/>
      <c r="CIS3" s="188"/>
      <c r="CIT3" s="188"/>
      <c r="CIU3" s="188"/>
      <c r="CIV3" s="188"/>
      <c r="CIW3" s="188"/>
      <c r="CIX3" s="188"/>
      <c r="CIY3" s="188"/>
      <c r="CIZ3" s="188"/>
      <c r="CJA3" s="188"/>
      <c r="CJB3" s="188"/>
      <c r="CJC3" s="188"/>
      <c r="CJD3" s="188"/>
      <c r="CJE3" s="188"/>
      <c r="CJF3" s="188"/>
      <c r="CJG3" s="188"/>
      <c r="CJH3" s="188"/>
      <c r="CJI3" s="188"/>
      <c r="CJJ3" s="188"/>
      <c r="CJK3" s="188"/>
      <c r="CJL3" s="188"/>
      <c r="CJM3" s="188"/>
      <c r="CJN3" s="188"/>
      <c r="CJO3" s="188"/>
      <c r="CJP3" s="188"/>
      <c r="CJQ3" s="188"/>
      <c r="CJR3" s="188"/>
      <c r="CJS3" s="188"/>
      <c r="CJT3" s="188"/>
      <c r="CJU3" s="188"/>
      <c r="CJV3" s="188"/>
      <c r="CJW3" s="188"/>
      <c r="CJX3" s="188"/>
      <c r="CJY3" s="188"/>
      <c r="CJZ3" s="188"/>
      <c r="CKA3" s="188"/>
      <c r="CKB3" s="188"/>
      <c r="CKC3" s="188"/>
      <c r="CKD3" s="188"/>
      <c r="CKE3" s="188"/>
      <c r="CKF3" s="188"/>
      <c r="CKG3" s="188"/>
      <c r="CKH3" s="188"/>
      <c r="CKI3" s="188"/>
      <c r="CKJ3" s="188"/>
      <c r="CKK3" s="188"/>
      <c r="CKL3" s="188"/>
      <c r="CKM3" s="188"/>
      <c r="CKN3" s="188"/>
      <c r="CKO3" s="188"/>
      <c r="CKP3" s="188"/>
      <c r="CKQ3" s="188"/>
      <c r="CKR3" s="188"/>
      <c r="CKS3" s="188"/>
      <c r="CKT3" s="188"/>
      <c r="CKU3" s="188"/>
      <c r="CKV3" s="188"/>
      <c r="CKW3" s="188"/>
      <c r="CKX3" s="188"/>
      <c r="CKY3" s="188"/>
      <c r="CKZ3" s="188"/>
      <c r="CLA3" s="188"/>
      <c r="CLB3" s="188"/>
      <c r="CLC3" s="188"/>
      <c r="CLD3" s="188"/>
      <c r="CLE3" s="188"/>
      <c r="CLF3" s="188"/>
      <c r="CLG3" s="188"/>
      <c r="CLH3" s="188"/>
      <c r="CLI3" s="188"/>
      <c r="CLJ3" s="188"/>
      <c r="CLK3" s="188"/>
      <c r="CLL3" s="188"/>
      <c r="CLM3" s="188"/>
      <c r="CLN3" s="188"/>
      <c r="CLO3" s="188"/>
      <c r="CLP3" s="188"/>
      <c r="CLQ3" s="188"/>
      <c r="CLR3" s="188"/>
      <c r="CLS3" s="188"/>
      <c r="CLT3" s="188"/>
      <c r="CLU3" s="188"/>
      <c r="CLV3" s="188"/>
      <c r="CLW3" s="188"/>
      <c r="CLX3" s="188"/>
      <c r="CLY3" s="188"/>
      <c r="CLZ3" s="188"/>
      <c r="CMA3" s="188"/>
      <c r="CMB3" s="188"/>
      <c r="CMC3" s="188"/>
      <c r="CMD3" s="188"/>
      <c r="CME3" s="188"/>
      <c r="CMF3" s="188"/>
      <c r="CMG3" s="188"/>
      <c r="CMH3" s="188"/>
      <c r="CMI3" s="188"/>
      <c r="CMJ3" s="188"/>
      <c r="CMK3" s="188"/>
      <c r="CML3" s="188"/>
      <c r="CMM3" s="188"/>
      <c r="CMN3" s="188"/>
      <c r="CMO3" s="188"/>
      <c r="CMP3" s="188"/>
      <c r="CMQ3" s="188"/>
      <c r="CMR3" s="188"/>
      <c r="CMS3" s="188"/>
      <c r="CMT3" s="188"/>
      <c r="CMU3" s="188"/>
      <c r="CMV3" s="188"/>
      <c r="CMW3" s="188"/>
      <c r="CMX3" s="188"/>
      <c r="CMY3" s="188"/>
      <c r="CMZ3" s="188"/>
      <c r="CNA3" s="188"/>
      <c r="CNB3" s="188"/>
      <c r="CNC3" s="188"/>
      <c r="CND3" s="188"/>
      <c r="CNE3" s="188"/>
      <c r="CNF3" s="188"/>
      <c r="CNG3" s="188"/>
      <c r="CNH3" s="188"/>
      <c r="CNI3" s="188"/>
      <c r="CNJ3" s="188"/>
      <c r="CNK3" s="188"/>
      <c r="CNL3" s="188"/>
      <c r="CNM3" s="188"/>
      <c r="CNN3" s="188"/>
      <c r="CNO3" s="188"/>
      <c r="CNP3" s="188"/>
      <c r="CNQ3" s="188"/>
      <c r="CNR3" s="188"/>
      <c r="CNS3" s="188"/>
      <c r="CNT3" s="188"/>
      <c r="CNU3" s="188"/>
      <c r="CNV3" s="188"/>
      <c r="CNW3" s="188"/>
      <c r="CNX3" s="188"/>
      <c r="CNY3" s="188"/>
      <c r="CNZ3" s="188"/>
      <c r="COA3" s="188"/>
      <c r="COB3" s="188"/>
      <c r="COC3" s="188"/>
      <c r="COD3" s="188"/>
      <c r="COE3" s="188"/>
      <c r="COF3" s="188"/>
      <c r="COG3" s="188"/>
      <c r="COH3" s="188"/>
      <c r="COI3" s="188"/>
      <c r="COJ3" s="188"/>
      <c r="COK3" s="188"/>
      <c r="COL3" s="188"/>
      <c r="COM3" s="188"/>
      <c r="CON3" s="188"/>
      <c r="COO3" s="188"/>
      <c r="COP3" s="188"/>
      <c r="COQ3" s="188"/>
      <c r="COR3" s="188"/>
      <c r="COS3" s="188"/>
      <c r="COT3" s="188"/>
      <c r="COU3" s="188"/>
      <c r="COV3" s="188"/>
      <c r="COW3" s="188"/>
      <c r="COX3" s="188"/>
      <c r="COY3" s="188"/>
      <c r="COZ3" s="188"/>
      <c r="CPA3" s="188"/>
      <c r="CPB3" s="188"/>
      <c r="CPC3" s="188"/>
      <c r="CPD3" s="188"/>
      <c r="CPE3" s="188"/>
      <c r="CPF3" s="188"/>
      <c r="CPG3" s="188"/>
      <c r="CPH3" s="188"/>
      <c r="CPI3" s="188"/>
      <c r="CPJ3" s="188"/>
      <c r="CPK3" s="188"/>
      <c r="CPL3" s="188"/>
      <c r="CPM3" s="188"/>
      <c r="CPN3" s="188"/>
      <c r="CPO3" s="188"/>
      <c r="CPP3" s="188"/>
      <c r="CPQ3" s="188"/>
      <c r="CPR3" s="188"/>
      <c r="CPS3" s="188"/>
      <c r="CPT3" s="188"/>
      <c r="CPU3" s="188"/>
      <c r="CPV3" s="188"/>
      <c r="CPW3" s="188"/>
      <c r="CPX3" s="188"/>
      <c r="CPY3" s="188"/>
      <c r="CPZ3" s="188"/>
      <c r="CQA3" s="188"/>
      <c r="CQB3" s="188"/>
      <c r="CQC3" s="188"/>
      <c r="CQD3" s="188"/>
      <c r="CQE3" s="188"/>
      <c r="CQF3" s="188"/>
      <c r="CQG3" s="188"/>
      <c r="CQH3" s="188"/>
      <c r="CQI3" s="188"/>
      <c r="CQJ3" s="188"/>
      <c r="CQK3" s="188"/>
      <c r="CQL3" s="188"/>
      <c r="CQM3" s="188"/>
      <c r="CQN3" s="188"/>
      <c r="CQO3" s="188"/>
      <c r="CQP3" s="188"/>
      <c r="CQQ3" s="188"/>
      <c r="CQR3" s="188"/>
      <c r="CQS3" s="188"/>
      <c r="CQT3" s="188"/>
      <c r="CQU3" s="188"/>
      <c r="CQV3" s="188"/>
      <c r="CQW3" s="188"/>
      <c r="CQX3" s="188"/>
      <c r="CQY3" s="188"/>
      <c r="CQZ3" s="188"/>
      <c r="CRA3" s="188"/>
      <c r="CRB3" s="188"/>
      <c r="CRC3" s="188"/>
      <c r="CRD3" s="188"/>
      <c r="CRE3" s="188"/>
      <c r="CRF3" s="188"/>
      <c r="CRG3" s="188"/>
      <c r="CRH3" s="188"/>
      <c r="CRI3" s="188"/>
      <c r="CRJ3" s="188"/>
      <c r="CRK3" s="188"/>
      <c r="CRL3" s="188"/>
      <c r="CRM3" s="188"/>
      <c r="CRN3" s="188"/>
      <c r="CRO3" s="188"/>
      <c r="CRP3" s="188"/>
      <c r="CRQ3" s="188"/>
      <c r="CRR3" s="188"/>
      <c r="CRS3" s="188"/>
      <c r="CRT3" s="188"/>
      <c r="CRU3" s="188"/>
      <c r="CRV3" s="188"/>
      <c r="CRW3" s="188"/>
      <c r="CRX3" s="188"/>
      <c r="CRY3" s="188"/>
      <c r="CRZ3" s="188"/>
      <c r="CSA3" s="188"/>
      <c r="CSB3" s="188"/>
      <c r="CSC3" s="188"/>
      <c r="CSD3" s="188"/>
      <c r="CSE3" s="188"/>
      <c r="CSF3" s="188"/>
      <c r="CSG3" s="188"/>
      <c r="CSH3" s="188"/>
      <c r="CSI3" s="188"/>
      <c r="CSJ3" s="188"/>
      <c r="CSK3" s="188"/>
      <c r="CSL3" s="188"/>
      <c r="CSM3" s="188"/>
      <c r="CSN3" s="188"/>
      <c r="CSO3" s="188"/>
      <c r="CSP3" s="188"/>
      <c r="CSQ3" s="188"/>
      <c r="CSR3" s="188"/>
      <c r="CSS3" s="188"/>
      <c r="CST3" s="188"/>
      <c r="CSU3" s="188"/>
      <c r="CSV3" s="188"/>
      <c r="CSW3" s="188"/>
      <c r="CSX3" s="188"/>
      <c r="CSY3" s="188"/>
      <c r="CSZ3" s="188"/>
      <c r="CTA3" s="188"/>
      <c r="CTB3" s="188"/>
      <c r="CTC3" s="188"/>
      <c r="CTD3" s="188"/>
      <c r="CTE3" s="188"/>
      <c r="CTF3" s="188"/>
      <c r="CTG3" s="188"/>
      <c r="CTH3" s="188"/>
      <c r="CTI3" s="188"/>
      <c r="CTJ3" s="188"/>
      <c r="CTK3" s="188"/>
      <c r="CTL3" s="188"/>
      <c r="CTM3" s="188"/>
      <c r="CTN3" s="188"/>
      <c r="CTO3" s="188"/>
      <c r="CTP3" s="188"/>
      <c r="CTQ3" s="188"/>
      <c r="CTR3" s="188"/>
      <c r="CTS3" s="188"/>
      <c r="CTT3" s="188"/>
      <c r="CTU3" s="188"/>
      <c r="CTV3" s="188"/>
      <c r="CTW3" s="188"/>
      <c r="CTX3" s="188"/>
      <c r="CTY3" s="188"/>
      <c r="CTZ3" s="188"/>
      <c r="CUA3" s="188"/>
    </row>
    <row r="4" s="188" customFormat="1" spans="1:1024 1025:2575">
      <c r="A4" s="216" t="s">
        <v>30</v>
      </c>
      <c r="B4" s="84" t="s">
        <v>32</v>
      </c>
      <c r="C4" s="217">
        <v>45189</v>
      </c>
      <c r="D4" s="218">
        <f t="shared" ref="D4:D23" si="9">C4+6</f>
        <v>45195</v>
      </c>
      <c r="E4" s="219">
        <v>980</v>
      </c>
      <c r="F4" s="220">
        <f t="shared" si="6"/>
        <v>45209</v>
      </c>
      <c r="G4" s="219">
        <v>837</v>
      </c>
      <c r="H4" s="54">
        <f t="shared" ref="H4:H70" si="10">G4/E4</f>
        <v>0.854081632653061</v>
      </c>
      <c r="I4" s="218">
        <f t="shared" ref="I4:I13" si="11">D4+31</f>
        <v>45226</v>
      </c>
      <c r="J4" s="219">
        <v>779</v>
      </c>
      <c r="K4" s="54">
        <f t="shared" si="0"/>
        <v>0.794897959183673</v>
      </c>
      <c r="L4" s="218">
        <f t="shared" ref="L4:L13" si="12">I4+3</f>
        <v>45229</v>
      </c>
      <c r="M4" s="219">
        <v>772</v>
      </c>
      <c r="N4" s="219">
        <v>6600</v>
      </c>
      <c r="O4" s="54">
        <f t="shared" si="1"/>
        <v>0.787755102040816</v>
      </c>
      <c r="P4" s="54">
        <f t="shared" si="7"/>
        <v>0.0663265306122449</v>
      </c>
      <c r="Q4" s="221">
        <f t="shared" si="2"/>
        <v>8.54922279792746</v>
      </c>
      <c r="R4" s="218">
        <f t="shared" ref="R4:R13" si="13">I4+35</f>
        <v>45261</v>
      </c>
      <c r="S4" s="203">
        <v>6330</v>
      </c>
      <c r="T4" s="84">
        <v>900</v>
      </c>
      <c r="U4" s="54">
        <f t="shared" si="3"/>
        <v>0.959090909090909</v>
      </c>
      <c r="V4" s="218">
        <f t="shared" ref="V4:V13" si="14">I4+70</f>
        <v>45296</v>
      </c>
      <c r="W4" s="203">
        <v>6243</v>
      </c>
      <c r="X4" s="54">
        <f t="shared" si="4"/>
        <v>0.986255924170616</v>
      </c>
      <c r="Y4" s="84">
        <v>14081.5</v>
      </c>
      <c r="Z4" s="8">
        <v>13</v>
      </c>
      <c r="AA4" s="8">
        <f t="shared" si="8"/>
        <v>2.25556623418228</v>
      </c>
      <c r="AB4" s="8">
        <f t="shared" si="5"/>
        <v>6.37040816326531</v>
      </c>
      <c r="AC4" s="8">
        <v>3.9</v>
      </c>
      <c r="AD4" s="8">
        <v>3.8</v>
      </c>
      <c r="AE4" s="8"/>
      <c r="AF4" s="204" t="s">
        <v>35</v>
      </c>
      <c r="AG4" s="194" t="s">
        <v>36</v>
      </c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</row>
    <row r="5" s="188" customFormat="1" spans="1:1024 1025:2575">
      <c r="A5" s="216" t="s">
        <v>37</v>
      </c>
      <c r="B5" s="84" t="s">
        <v>30</v>
      </c>
      <c r="C5" s="217">
        <v>45200</v>
      </c>
      <c r="D5" s="218">
        <f t="shared" si="9"/>
        <v>45206</v>
      </c>
      <c r="E5" s="219">
        <v>1217</v>
      </c>
      <c r="F5" s="220">
        <f t="shared" si="6"/>
        <v>45220</v>
      </c>
      <c r="G5" s="219">
        <v>1103</v>
      </c>
      <c r="H5" s="54">
        <f t="shared" si="10"/>
        <v>0.9063270336894</v>
      </c>
      <c r="I5" s="218">
        <f t="shared" si="11"/>
        <v>45237</v>
      </c>
      <c r="J5" s="219">
        <v>1075</v>
      </c>
      <c r="K5" s="54">
        <f t="shared" si="0"/>
        <v>0.883319638455218</v>
      </c>
      <c r="L5" s="218">
        <f t="shared" si="12"/>
        <v>45240</v>
      </c>
      <c r="M5" s="219">
        <v>1075</v>
      </c>
      <c r="N5" s="219">
        <v>9098</v>
      </c>
      <c r="O5" s="54">
        <f t="shared" si="1"/>
        <v>0.883319638455218</v>
      </c>
      <c r="P5" s="54">
        <f t="shared" si="7"/>
        <v>0.0230073952341824</v>
      </c>
      <c r="Q5" s="221">
        <f t="shared" si="2"/>
        <v>8.46325581395349</v>
      </c>
      <c r="R5" s="218">
        <f t="shared" si="13"/>
        <v>45272</v>
      </c>
      <c r="S5" s="203">
        <v>8367</v>
      </c>
      <c r="T5" s="84">
        <v>807</v>
      </c>
      <c r="U5" s="54">
        <f t="shared" si="3"/>
        <v>0.919652670916685</v>
      </c>
      <c r="V5" s="218">
        <f t="shared" si="14"/>
        <v>45307</v>
      </c>
      <c r="W5" s="203">
        <v>7960</v>
      </c>
      <c r="X5" s="54">
        <f t="shared" si="4"/>
        <v>0.951356519660571</v>
      </c>
      <c r="Y5" s="84">
        <v>17502</v>
      </c>
      <c r="Z5" s="8">
        <v>13.5</v>
      </c>
      <c r="AA5" s="8">
        <f t="shared" si="8"/>
        <v>2.19874371859296</v>
      </c>
      <c r="AB5" s="8">
        <f t="shared" si="5"/>
        <v>6.54067378800329</v>
      </c>
      <c r="AC5" s="8">
        <v>3.58</v>
      </c>
      <c r="AD5" s="8">
        <v>3.45</v>
      </c>
      <c r="AE5" s="8"/>
      <c r="AF5" s="204" t="s">
        <v>38</v>
      </c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</row>
    <row r="6" s="188" customFormat="1" spans="1:1024 1025:2575">
      <c r="A6" s="216" t="s">
        <v>32</v>
      </c>
      <c r="B6" s="84" t="s">
        <v>32</v>
      </c>
      <c r="C6" s="217">
        <v>45222</v>
      </c>
      <c r="D6" s="218">
        <f t="shared" si="9"/>
        <v>45228</v>
      </c>
      <c r="E6" s="219">
        <v>1080</v>
      </c>
      <c r="F6" s="220">
        <f t="shared" si="6"/>
        <v>45242</v>
      </c>
      <c r="G6" s="219">
        <v>875</v>
      </c>
      <c r="H6" s="54">
        <f t="shared" si="10"/>
        <v>0.810185185185185</v>
      </c>
      <c r="I6" s="218">
        <f t="shared" si="11"/>
        <v>45259</v>
      </c>
      <c r="J6" s="219">
        <v>845</v>
      </c>
      <c r="K6" s="54">
        <f t="shared" si="0"/>
        <v>0.782407407407407</v>
      </c>
      <c r="L6" s="218">
        <f t="shared" si="12"/>
        <v>45262</v>
      </c>
      <c r="M6" s="219">
        <v>836</v>
      </c>
      <c r="N6" s="219">
        <v>7500</v>
      </c>
      <c r="O6" s="54">
        <f t="shared" si="1"/>
        <v>0.774074074074074</v>
      </c>
      <c r="P6" s="54">
        <f t="shared" si="7"/>
        <v>0.0361111111111112</v>
      </c>
      <c r="Q6" s="221">
        <f t="shared" si="2"/>
        <v>8.97129186602871</v>
      </c>
      <c r="R6" s="218">
        <f t="shared" si="13"/>
        <v>45294</v>
      </c>
      <c r="S6" s="203">
        <v>7000</v>
      </c>
      <c r="T6" s="84">
        <v>900</v>
      </c>
      <c r="U6" s="54">
        <f t="shared" si="3"/>
        <v>0.933333333333333</v>
      </c>
      <c r="V6" s="218">
        <f t="shared" si="14"/>
        <v>45329</v>
      </c>
      <c r="W6" s="203">
        <v>5841</v>
      </c>
      <c r="X6" s="54">
        <f t="shared" si="4"/>
        <v>0.834428571428571</v>
      </c>
      <c r="Y6" s="84">
        <v>13692</v>
      </c>
      <c r="Z6" s="8">
        <v>13.8</v>
      </c>
      <c r="AA6" s="8">
        <f t="shared" si="8"/>
        <v>2.34411915767848</v>
      </c>
      <c r="AB6" s="8">
        <f t="shared" si="5"/>
        <v>5.40833333333333</v>
      </c>
      <c r="AC6" s="8">
        <v>4.6</v>
      </c>
      <c r="AD6" s="8"/>
      <c r="AE6" s="8"/>
      <c r="AF6" s="20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</row>
    <row r="7" s="188" customFormat="1" ht="13" customHeight="1" spans="1:1024 1025:2575">
      <c r="A7" s="216" t="s">
        <v>30</v>
      </c>
      <c r="B7" s="84" t="s">
        <v>37</v>
      </c>
      <c r="C7" s="217">
        <f>C4+42</f>
        <v>45231</v>
      </c>
      <c r="D7" s="218">
        <f t="shared" si="9"/>
        <v>45237</v>
      </c>
      <c r="E7" s="219">
        <v>1070</v>
      </c>
      <c r="F7" s="220">
        <f t="shared" si="6"/>
        <v>45251</v>
      </c>
      <c r="G7" s="219">
        <v>972</v>
      </c>
      <c r="H7" s="54">
        <f t="shared" si="10"/>
        <v>0.908411214953271</v>
      </c>
      <c r="I7" s="218">
        <f t="shared" si="11"/>
        <v>45268</v>
      </c>
      <c r="J7" s="219">
        <v>933</v>
      </c>
      <c r="K7" s="54">
        <f t="shared" si="0"/>
        <v>0.87196261682243</v>
      </c>
      <c r="L7" s="218">
        <f t="shared" si="12"/>
        <v>45271</v>
      </c>
      <c r="M7" s="219">
        <v>924</v>
      </c>
      <c r="N7" s="219">
        <v>7560</v>
      </c>
      <c r="O7" s="54">
        <f t="shared" si="1"/>
        <v>0.863551401869159</v>
      </c>
      <c r="P7" s="54">
        <f t="shared" si="7"/>
        <v>0.0448598130841121</v>
      </c>
      <c r="Q7" s="221">
        <f t="shared" si="2"/>
        <v>8.18181818181818</v>
      </c>
      <c r="R7" s="218">
        <f t="shared" si="13"/>
        <v>45303</v>
      </c>
      <c r="S7" s="203">
        <v>6529</v>
      </c>
      <c r="T7" s="84">
        <v>976</v>
      </c>
      <c r="U7" s="54">
        <f t="shared" si="3"/>
        <v>0.863624338624339</v>
      </c>
      <c r="V7" s="218">
        <f t="shared" si="14"/>
        <v>45338</v>
      </c>
      <c r="W7" s="203">
        <v>6260</v>
      </c>
      <c r="X7" s="54">
        <f t="shared" si="4"/>
        <v>0.958799203553377</v>
      </c>
      <c r="Y7" s="84">
        <v>15493</v>
      </c>
      <c r="Z7" s="8">
        <v>13.4</v>
      </c>
      <c r="AA7" s="8">
        <f t="shared" si="8"/>
        <v>2.47492012779553</v>
      </c>
      <c r="AB7" s="8">
        <f t="shared" si="5"/>
        <v>5.85046728971963</v>
      </c>
      <c r="AC7" s="8">
        <v>4.09</v>
      </c>
      <c r="AD7" s="8"/>
      <c r="AE7" s="8"/>
      <c r="AF7" s="20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</row>
    <row r="8" s="188" customFormat="1" spans="1:1024 1025:2575">
      <c r="A8" s="216" t="s">
        <v>37</v>
      </c>
      <c r="B8" s="84" t="s">
        <v>32</v>
      </c>
      <c r="C8" s="217">
        <f>C5+42</f>
        <v>45242</v>
      </c>
      <c r="D8" s="218">
        <f t="shared" si="9"/>
        <v>45248</v>
      </c>
      <c r="E8" s="219">
        <v>1256</v>
      </c>
      <c r="F8" s="220">
        <f t="shared" si="6"/>
        <v>45262</v>
      </c>
      <c r="G8" s="219">
        <v>1018</v>
      </c>
      <c r="H8" s="54">
        <f t="shared" si="10"/>
        <v>0.810509554140127</v>
      </c>
      <c r="I8" s="218">
        <f t="shared" si="11"/>
        <v>45279</v>
      </c>
      <c r="J8" s="219">
        <v>850</v>
      </c>
      <c r="K8" s="54">
        <f t="shared" si="0"/>
        <v>0.676751592356688</v>
      </c>
      <c r="L8" s="218">
        <f t="shared" si="12"/>
        <v>45282</v>
      </c>
      <c r="M8" s="219">
        <v>842</v>
      </c>
      <c r="N8" s="219">
        <v>7891</v>
      </c>
      <c r="O8" s="54">
        <f t="shared" si="1"/>
        <v>0.670382165605096</v>
      </c>
      <c r="P8" s="54">
        <f t="shared" si="7"/>
        <v>0.140127388535032</v>
      </c>
      <c r="Q8" s="221">
        <f t="shared" si="2"/>
        <v>9.37173396674584</v>
      </c>
      <c r="R8" s="218">
        <f t="shared" si="13"/>
        <v>45314</v>
      </c>
      <c r="S8" s="203">
        <v>6951</v>
      </c>
      <c r="T8" s="84">
        <v>824</v>
      </c>
      <c r="U8" s="54">
        <f t="shared" si="3"/>
        <v>0.880876948422253</v>
      </c>
      <c r="V8" s="218">
        <f t="shared" si="14"/>
        <v>45349</v>
      </c>
      <c r="W8" s="203">
        <v>6698</v>
      </c>
      <c r="X8" s="54">
        <f t="shared" si="4"/>
        <v>0.963602359372752</v>
      </c>
      <c r="Y8" s="84">
        <v>14894</v>
      </c>
      <c r="Z8" s="8">
        <v>12.88</v>
      </c>
      <c r="AA8" s="8">
        <f t="shared" si="8"/>
        <v>2.22364885040311</v>
      </c>
      <c r="AB8" s="8">
        <f t="shared" si="5"/>
        <v>5.3328025477707</v>
      </c>
      <c r="AC8" s="8">
        <v>3.84</v>
      </c>
      <c r="AD8" s="8">
        <v>3.73</v>
      </c>
      <c r="AE8" s="222"/>
      <c r="AF8" s="223" t="s">
        <v>39</v>
      </c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</row>
    <row r="9" s="188" customFormat="1" ht="15" customHeight="1" spans="1:1024 1025:2575">
      <c r="A9" s="216" t="s">
        <v>40</v>
      </c>
      <c r="B9" s="84" t="s">
        <v>30</v>
      </c>
      <c r="C9" s="217">
        <v>45251</v>
      </c>
      <c r="D9" s="218">
        <f t="shared" si="9"/>
        <v>45257</v>
      </c>
      <c r="E9" s="219">
        <v>1003</v>
      </c>
      <c r="F9" s="220">
        <f t="shared" si="6"/>
        <v>45271</v>
      </c>
      <c r="G9" s="219">
        <v>908</v>
      </c>
      <c r="H9" s="54">
        <f t="shared" si="10"/>
        <v>0.905284147557328</v>
      </c>
      <c r="I9" s="218">
        <f t="shared" si="11"/>
        <v>45288</v>
      </c>
      <c r="J9" s="219">
        <v>844</v>
      </c>
      <c r="K9" s="54">
        <f t="shared" si="0"/>
        <v>0.84147557328016</v>
      </c>
      <c r="L9" s="218">
        <f t="shared" si="12"/>
        <v>45291</v>
      </c>
      <c r="M9" s="219">
        <v>835</v>
      </c>
      <c r="N9" s="219">
        <v>7139</v>
      </c>
      <c r="O9" s="54">
        <f t="shared" si="1"/>
        <v>0.832502492522433</v>
      </c>
      <c r="P9" s="54">
        <f t="shared" si="7"/>
        <v>0.0727816550348953</v>
      </c>
      <c r="Q9" s="221">
        <f t="shared" si="2"/>
        <v>8.5497005988024</v>
      </c>
      <c r="R9" s="218">
        <f t="shared" si="13"/>
        <v>45323</v>
      </c>
      <c r="S9" s="203">
        <v>6624</v>
      </c>
      <c r="T9" s="84">
        <v>910</v>
      </c>
      <c r="U9" s="54">
        <f t="shared" si="3"/>
        <v>0.927861044964281</v>
      </c>
      <c r="V9" s="218">
        <f t="shared" si="14"/>
        <v>45358</v>
      </c>
      <c r="W9" s="203">
        <v>6109</v>
      </c>
      <c r="X9" s="54">
        <f t="shared" si="4"/>
        <v>0.922252415458937</v>
      </c>
      <c r="Y9" s="84">
        <v>15161</v>
      </c>
      <c r="Z9" s="8">
        <v>12.2</v>
      </c>
      <c r="AA9" s="8">
        <f t="shared" si="8"/>
        <v>2.48174824030119</v>
      </c>
      <c r="AB9" s="8">
        <f t="shared" si="5"/>
        <v>6.09072781655035</v>
      </c>
      <c r="AC9" s="8">
        <v>3.51</v>
      </c>
      <c r="AD9" s="8">
        <v>3.68</v>
      </c>
      <c r="AE9" s="8"/>
      <c r="AF9" s="20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</row>
    <row r="10" s="188" customFormat="1" spans="1:1024 1025:2575">
      <c r="A10" s="216" t="s">
        <v>32</v>
      </c>
      <c r="B10" s="84" t="s">
        <v>37</v>
      </c>
      <c r="C10" s="217">
        <f>C6+42</f>
        <v>45264</v>
      </c>
      <c r="D10" s="218">
        <f t="shared" si="9"/>
        <v>45270</v>
      </c>
      <c r="E10" s="219">
        <v>1222</v>
      </c>
      <c r="F10" s="220">
        <f t="shared" si="6"/>
        <v>45284</v>
      </c>
      <c r="G10" s="219">
        <v>1088</v>
      </c>
      <c r="H10" s="54">
        <f t="shared" si="10"/>
        <v>0.890343698854337</v>
      </c>
      <c r="I10" s="218">
        <f t="shared" si="11"/>
        <v>45301</v>
      </c>
      <c r="J10" s="219">
        <v>1000</v>
      </c>
      <c r="K10" s="54">
        <f t="shared" si="0"/>
        <v>0.818330605564648</v>
      </c>
      <c r="L10" s="218">
        <f t="shared" si="12"/>
        <v>45304</v>
      </c>
      <c r="M10" s="219">
        <v>987</v>
      </c>
      <c r="N10" s="219">
        <v>9236</v>
      </c>
      <c r="O10" s="54">
        <f t="shared" si="1"/>
        <v>0.807692307692308</v>
      </c>
      <c r="P10" s="54">
        <f t="shared" si="7"/>
        <v>0.0826513911620295</v>
      </c>
      <c r="Q10" s="221">
        <f t="shared" si="2"/>
        <v>9.35764944275583</v>
      </c>
      <c r="R10" s="218">
        <f t="shared" si="13"/>
        <v>45336</v>
      </c>
      <c r="S10" s="203">
        <v>9080</v>
      </c>
      <c r="T10" s="84">
        <v>900</v>
      </c>
      <c r="U10" s="54">
        <f t="shared" si="3"/>
        <v>0.983109571242962</v>
      </c>
      <c r="V10" s="218">
        <f t="shared" si="14"/>
        <v>45371</v>
      </c>
      <c r="W10" s="203">
        <v>9004</v>
      </c>
      <c r="X10" s="54">
        <f t="shared" si="4"/>
        <v>0.991629955947137</v>
      </c>
      <c r="Y10" s="84">
        <v>21830</v>
      </c>
      <c r="Z10" s="8">
        <v>12.3</v>
      </c>
      <c r="AA10" s="8">
        <f t="shared" si="8"/>
        <v>2.42447800977343</v>
      </c>
      <c r="AB10" s="8">
        <f t="shared" si="5"/>
        <v>7.36824877250409</v>
      </c>
      <c r="AC10" s="8">
        <v>3.52</v>
      </c>
      <c r="AD10" s="8">
        <v>3.43</v>
      </c>
      <c r="AE10" s="8"/>
      <c r="AF10" s="203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</row>
    <row r="11" s="188" customFormat="1" spans="1:1024 1025:2575">
      <c r="A11" s="216" t="s">
        <v>30</v>
      </c>
      <c r="B11" s="84" t="s">
        <v>40</v>
      </c>
      <c r="C11" s="217">
        <v>45272</v>
      </c>
      <c r="D11" s="218">
        <f t="shared" si="9"/>
        <v>45278</v>
      </c>
      <c r="E11" s="219">
        <v>1206</v>
      </c>
      <c r="F11" s="220">
        <f t="shared" si="6"/>
        <v>45292</v>
      </c>
      <c r="G11" s="219">
        <v>1015</v>
      </c>
      <c r="H11" s="54">
        <f t="shared" si="10"/>
        <v>0.841625207296849</v>
      </c>
      <c r="I11" s="218">
        <f t="shared" si="11"/>
        <v>45309</v>
      </c>
      <c r="J11" s="219">
        <v>980</v>
      </c>
      <c r="K11" s="54">
        <f t="shared" si="0"/>
        <v>0.812603648424544</v>
      </c>
      <c r="L11" s="218">
        <f t="shared" si="12"/>
        <v>45312</v>
      </c>
      <c r="M11" s="219">
        <v>972</v>
      </c>
      <c r="N11" s="219">
        <v>9118</v>
      </c>
      <c r="O11" s="54">
        <f t="shared" si="1"/>
        <v>0.805970149253731</v>
      </c>
      <c r="P11" s="54">
        <f t="shared" si="7"/>
        <v>0.0356550580431177</v>
      </c>
      <c r="Q11" s="221">
        <f t="shared" si="2"/>
        <v>9.38065843621399</v>
      </c>
      <c r="R11" s="218">
        <f t="shared" si="13"/>
        <v>45344</v>
      </c>
      <c r="S11" s="203">
        <v>9040</v>
      </c>
      <c r="T11" s="84">
        <v>1050</v>
      </c>
      <c r="U11" s="54">
        <f t="shared" si="3"/>
        <v>0.991445492432551</v>
      </c>
      <c r="V11" s="218">
        <f t="shared" si="14"/>
        <v>45379</v>
      </c>
      <c r="W11" s="203">
        <v>8258</v>
      </c>
      <c r="X11" s="54">
        <f t="shared" si="4"/>
        <v>0.913495575221239</v>
      </c>
      <c r="Y11" s="84">
        <v>17334</v>
      </c>
      <c r="Z11" s="8">
        <v>12.1</v>
      </c>
      <c r="AA11" s="8">
        <f t="shared" si="8"/>
        <v>2.09905546137079</v>
      </c>
      <c r="AB11" s="8">
        <f t="shared" si="5"/>
        <v>6.84742951907131</v>
      </c>
      <c r="AC11" s="8">
        <v>3.73</v>
      </c>
      <c r="AD11" s="8">
        <v>4.63</v>
      </c>
      <c r="AE11" s="8"/>
      <c r="AF11" s="203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</row>
    <row r="12" s="188" customFormat="1" spans="1:1024 1025:2575">
      <c r="A12" s="216" t="s">
        <v>37</v>
      </c>
      <c r="B12" s="84" t="s">
        <v>37</v>
      </c>
      <c r="C12" s="217">
        <f>C8+42</f>
        <v>45284</v>
      </c>
      <c r="D12" s="218">
        <f t="shared" si="9"/>
        <v>45290</v>
      </c>
      <c r="E12" s="219">
        <v>1042</v>
      </c>
      <c r="F12" s="220">
        <f t="shared" si="6"/>
        <v>45304</v>
      </c>
      <c r="G12" s="219">
        <v>857</v>
      </c>
      <c r="H12" s="54">
        <f t="shared" si="10"/>
        <v>0.822456813819578</v>
      </c>
      <c r="I12" s="218">
        <f t="shared" si="11"/>
        <v>45321</v>
      </c>
      <c r="J12" s="219">
        <v>807</v>
      </c>
      <c r="K12" s="54">
        <f t="shared" si="0"/>
        <v>0.77447216890595</v>
      </c>
      <c r="L12" s="218">
        <f t="shared" si="12"/>
        <v>45324</v>
      </c>
      <c r="M12" s="219">
        <v>796</v>
      </c>
      <c r="N12" s="219">
        <v>7578</v>
      </c>
      <c r="O12" s="54">
        <f t="shared" si="1"/>
        <v>0.763915547024952</v>
      </c>
      <c r="P12" s="54">
        <f t="shared" si="7"/>
        <v>0.0585412667946257</v>
      </c>
      <c r="Q12" s="221">
        <f t="shared" si="2"/>
        <v>9.52010050251256</v>
      </c>
      <c r="R12" s="218">
        <f t="shared" si="13"/>
        <v>45356</v>
      </c>
      <c r="S12" s="203">
        <v>7383</v>
      </c>
      <c r="T12" s="84">
        <v>917</v>
      </c>
      <c r="U12" s="54">
        <f t="shared" si="3"/>
        <v>0.974267616785432</v>
      </c>
      <c r="V12" s="218">
        <f t="shared" si="14"/>
        <v>45391</v>
      </c>
      <c r="W12" s="203">
        <v>7113</v>
      </c>
      <c r="X12" s="54">
        <f t="shared" si="4"/>
        <v>0.963429500203169</v>
      </c>
      <c r="Y12" s="84">
        <v>16840</v>
      </c>
      <c r="Z12" s="8">
        <v>14</v>
      </c>
      <c r="AA12" s="8">
        <f t="shared" ref="AA12:AA22" si="15">Y12/W12</f>
        <v>2.36749613383945</v>
      </c>
      <c r="AB12" s="8">
        <f t="shared" si="5"/>
        <v>6.82629558541267</v>
      </c>
      <c r="AC12" s="8">
        <v>3.54</v>
      </c>
      <c r="AD12" s="8">
        <v>3.62</v>
      </c>
      <c r="AE12" s="8"/>
      <c r="AF12" s="203" t="s">
        <v>41</v>
      </c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</row>
    <row r="13" s="188" customFormat="1" spans="1:1024 1025:2575">
      <c r="A13" s="216" t="s">
        <v>40</v>
      </c>
      <c r="B13" s="84" t="s">
        <v>32</v>
      </c>
      <c r="C13" s="217">
        <f>C9+42</f>
        <v>45293</v>
      </c>
      <c r="D13" s="218">
        <f t="shared" si="9"/>
        <v>45299</v>
      </c>
      <c r="E13" s="219">
        <v>950</v>
      </c>
      <c r="F13" s="220">
        <f t="shared" si="6"/>
        <v>45313</v>
      </c>
      <c r="G13" s="219">
        <v>783</v>
      </c>
      <c r="H13" s="54">
        <f t="shared" si="10"/>
        <v>0.82421052631579</v>
      </c>
      <c r="I13" s="218">
        <f t="shared" si="11"/>
        <v>45330</v>
      </c>
      <c r="J13" s="219">
        <v>718</v>
      </c>
      <c r="K13" s="54">
        <f t="shared" si="0"/>
        <v>0.755789473684211</v>
      </c>
      <c r="L13" s="218">
        <f t="shared" si="12"/>
        <v>45333</v>
      </c>
      <c r="M13" s="219">
        <v>709</v>
      </c>
      <c r="N13" s="219">
        <v>6673</v>
      </c>
      <c r="O13" s="54">
        <f t="shared" si="1"/>
        <v>0.746315789473684</v>
      </c>
      <c r="P13" s="54">
        <f t="shared" si="7"/>
        <v>0.0778947368421052</v>
      </c>
      <c r="Q13" s="221">
        <f t="shared" si="2"/>
        <v>9.41184767277856</v>
      </c>
      <c r="R13" s="218">
        <f t="shared" si="13"/>
        <v>45365</v>
      </c>
      <c r="S13" s="203">
        <v>6553</v>
      </c>
      <c r="T13" s="84">
        <v>984</v>
      </c>
      <c r="U13" s="54">
        <f t="shared" si="3"/>
        <v>0.982017083770418</v>
      </c>
      <c r="V13" s="218">
        <f t="shared" si="14"/>
        <v>45400</v>
      </c>
      <c r="W13" s="203">
        <v>5366</v>
      </c>
      <c r="X13" s="54">
        <f t="shared" si="4"/>
        <v>0.818861590111399</v>
      </c>
      <c r="Y13" s="84">
        <v>12234.5</v>
      </c>
      <c r="Z13" s="8">
        <v>14.1</v>
      </c>
      <c r="AA13" s="8">
        <f t="shared" si="15"/>
        <v>2.28000372717108</v>
      </c>
      <c r="AB13" s="8">
        <f t="shared" si="5"/>
        <v>5.64842105263158</v>
      </c>
      <c r="AC13" s="8">
        <v>4.15</v>
      </c>
      <c r="AD13" s="8">
        <v>4.87</v>
      </c>
      <c r="AE13" s="8"/>
      <c r="AF13" s="203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</row>
    <row r="14" s="188" customFormat="1" spans="1:1024 1025:2575">
      <c r="A14" s="216" t="s">
        <v>32</v>
      </c>
      <c r="B14" s="84" t="s">
        <v>40</v>
      </c>
      <c r="C14" s="217">
        <v>45307</v>
      </c>
      <c r="D14" s="218">
        <f t="shared" si="9"/>
        <v>45313</v>
      </c>
      <c r="E14" s="219">
        <v>1122</v>
      </c>
      <c r="F14" s="220">
        <f t="shared" si="6"/>
        <v>45327</v>
      </c>
      <c r="G14" s="219">
        <v>1013</v>
      </c>
      <c r="H14" s="54">
        <f t="shared" si="10"/>
        <v>0.902852049910873</v>
      </c>
      <c r="I14" s="218">
        <f t="shared" ref="I14:I23" si="16">D14+31</f>
        <v>45344</v>
      </c>
      <c r="J14" s="219">
        <v>995</v>
      </c>
      <c r="K14" s="54">
        <f t="shared" si="0"/>
        <v>0.88680926916221</v>
      </c>
      <c r="L14" s="218">
        <f t="shared" ref="L14:L23" si="17">I14+3</f>
        <v>45347</v>
      </c>
      <c r="M14" s="219">
        <v>955</v>
      </c>
      <c r="N14" s="219">
        <v>9400</v>
      </c>
      <c r="O14" s="54">
        <f t="shared" si="1"/>
        <v>0.851158645276292</v>
      </c>
      <c r="P14" s="54">
        <f t="shared" si="7"/>
        <v>0.0516934046345811</v>
      </c>
      <c r="Q14" s="221">
        <f t="shared" si="2"/>
        <v>9.84293193717278</v>
      </c>
      <c r="R14" s="218">
        <f t="shared" ref="R14:R34" si="18">I14+35</f>
        <v>45379</v>
      </c>
      <c r="S14" s="203">
        <v>9219</v>
      </c>
      <c r="T14" s="84">
        <v>869</v>
      </c>
      <c r="U14" s="54">
        <f t="shared" si="3"/>
        <v>0.980744680851064</v>
      </c>
      <c r="V14" s="218">
        <f t="shared" ref="V14:V48" si="19">I14+70</f>
        <v>45414</v>
      </c>
      <c r="W14" s="203">
        <v>8716</v>
      </c>
      <c r="X14" s="54">
        <f t="shared" si="4"/>
        <v>0.94543876776223</v>
      </c>
      <c r="Y14" s="84">
        <v>20187.5</v>
      </c>
      <c r="Z14" s="8">
        <v>13.2</v>
      </c>
      <c r="AA14" s="8">
        <f t="shared" si="15"/>
        <v>2.31614272602111</v>
      </c>
      <c r="AB14" s="8">
        <f t="shared" si="5"/>
        <v>7.76827094474153</v>
      </c>
      <c r="AC14" s="8">
        <v>3.38</v>
      </c>
      <c r="AD14" s="8">
        <f>3.27</f>
        <v>3.27</v>
      </c>
      <c r="AE14" s="8">
        <v>57.3</v>
      </c>
      <c r="AF14" s="203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</row>
    <row r="15" s="188" customFormat="1" spans="1:1024 1025:2575">
      <c r="A15" s="216" t="s">
        <v>30</v>
      </c>
      <c r="B15" s="84" t="s">
        <v>42</v>
      </c>
      <c r="C15" s="217">
        <f>C11+42</f>
        <v>45314</v>
      </c>
      <c r="D15" s="218">
        <f t="shared" si="9"/>
        <v>45320</v>
      </c>
      <c r="E15" s="219">
        <v>1140</v>
      </c>
      <c r="F15" s="220">
        <f t="shared" ref="F15:F23" si="20">D15+14</f>
        <v>45334</v>
      </c>
      <c r="G15" s="219">
        <v>988</v>
      </c>
      <c r="H15" s="54">
        <f t="shared" si="10"/>
        <v>0.866666666666667</v>
      </c>
      <c r="I15" s="218">
        <f t="shared" si="16"/>
        <v>45351</v>
      </c>
      <c r="J15" s="219">
        <v>930</v>
      </c>
      <c r="K15" s="54">
        <f t="shared" si="0"/>
        <v>0.815789473684211</v>
      </c>
      <c r="L15" s="218">
        <f t="shared" si="17"/>
        <v>45354</v>
      </c>
      <c r="M15" s="219">
        <v>918</v>
      </c>
      <c r="N15" s="219">
        <v>9070</v>
      </c>
      <c r="O15" s="54">
        <f t="shared" si="1"/>
        <v>0.805263157894737</v>
      </c>
      <c r="P15" s="54">
        <f t="shared" si="7"/>
        <v>0.0614035087719299</v>
      </c>
      <c r="Q15" s="221">
        <f t="shared" si="2"/>
        <v>9.880174291939</v>
      </c>
      <c r="R15" s="218">
        <f t="shared" si="18"/>
        <v>45386</v>
      </c>
      <c r="S15" s="203">
        <v>8969</v>
      </c>
      <c r="T15" s="84">
        <v>850</v>
      </c>
      <c r="U15" s="54">
        <f t="shared" si="3"/>
        <v>0.988864388092613</v>
      </c>
      <c r="V15" s="218">
        <f t="shared" si="19"/>
        <v>45421</v>
      </c>
      <c r="W15" s="203">
        <v>8696</v>
      </c>
      <c r="X15" s="54">
        <f t="shared" si="4"/>
        <v>0.969561824060653</v>
      </c>
      <c r="Y15" s="84">
        <v>20055</v>
      </c>
      <c r="Z15" s="8">
        <v>12.6</v>
      </c>
      <c r="AA15" s="8">
        <f t="shared" si="15"/>
        <v>2.30623275068997</v>
      </c>
      <c r="AB15" s="8">
        <f t="shared" si="5"/>
        <v>7.6280701754386</v>
      </c>
      <c r="AC15" s="8">
        <v>3.52</v>
      </c>
      <c r="AD15" s="8">
        <v>3.46</v>
      </c>
      <c r="AE15" s="8">
        <v>55.57</v>
      </c>
      <c r="AF15" s="203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</row>
    <row r="16" s="188" customFormat="1" spans="1:1024 1025:2575">
      <c r="A16" s="216" t="s">
        <v>42</v>
      </c>
      <c r="B16" s="84" t="s">
        <v>30</v>
      </c>
      <c r="C16" s="217">
        <v>45321</v>
      </c>
      <c r="D16" s="218">
        <f t="shared" si="9"/>
        <v>45327</v>
      </c>
      <c r="E16" s="219">
        <v>1000</v>
      </c>
      <c r="F16" s="220">
        <f t="shared" si="20"/>
        <v>45341</v>
      </c>
      <c r="G16" s="219">
        <v>974</v>
      </c>
      <c r="H16" s="54">
        <f t="shared" si="10"/>
        <v>0.974</v>
      </c>
      <c r="I16" s="218">
        <f t="shared" si="16"/>
        <v>45358</v>
      </c>
      <c r="J16" s="219">
        <v>936</v>
      </c>
      <c r="K16" s="54">
        <f t="shared" si="0"/>
        <v>0.936</v>
      </c>
      <c r="L16" s="218">
        <f t="shared" si="17"/>
        <v>45361</v>
      </c>
      <c r="M16" s="219">
        <v>930</v>
      </c>
      <c r="N16" s="219">
        <v>7925</v>
      </c>
      <c r="O16" s="54">
        <f t="shared" si="1"/>
        <v>0.93</v>
      </c>
      <c r="P16" s="54">
        <f t="shared" si="7"/>
        <v>0.0439999999999999</v>
      </c>
      <c r="Q16" s="221">
        <f t="shared" si="2"/>
        <v>8.52150537634409</v>
      </c>
      <c r="R16" s="218">
        <f t="shared" si="18"/>
        <v>45393</v>
      </c>
      <c r="S16" s="203">
        <v>7830</v>
      </c>
      <c r="T16" s="84">
        <v>796</v>
      </c>
      <c r="U16" s="54">
        <f t="shared" si="3"/>
        <v>0.98801261829653</v>
      </c>
      <c r="V16" s="218">
        <f t="shared" si="19"/>
        <v>45428</v>
      </c>
      <c r="W16" s="203">
        <v>7807</v>
      </c>
      <c r="X16" s="54">
        <f t="shared" si="4"/>
        <v>0.997062579821201</v>
      </c>
      <c r="Y16" s="84">
        <v>18100</v>
      </c>
      <c r="Z16" s="8">
        <v>11.8</v>
      </c>
      <c r="AA16" s="8">
        <f t="shared" si="15"/>
        <v>2.31843217625208</v>
      </c>
      <c r="AB16" s="8">
        <f t="shared" si="5"/>
        <v>7.807</v>
      </c>
      <c r="AC16" s="8">
        <v>3.39</v>
      </c>
      <c r="AD16" s="8">
        <v>2.97</v>
      </c>
      <c r="AE16" s="8">
        <v>58.8</v>
      </c>
      <c r="AF16" s="203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</row>
    <row r="17" s="188" customFormat="1" spans="1:1024 1025:2575">
      <c r="A17" s="216" t="s">
        <v>37</v>
      </c>
      <c r="B17" s="84" t="s">
        <v>40</v>
      </c>
      <c r="C17" s="217">
        <v>45328</v>
      </c>
      <c r="D17" s="218">
        <f t="shared" si="9"/>
        <v>45334</v>
      </c>
      <c r="E17" s="219">
        <v>1092</v>
      </c>
      <c r="F17" s="220">
        <f t="shared" si="20"/>
        <v>45348</v>
      </c>
      <c r="G17" s="219">
        <v>967</v>
      </c>
      <c r="H17" s="54">
        <f t="shared" si="10"/>
        <v>0.885531135531135</v>
      </c>
      <c r="I17" s="218">
        <f t="shared" si="16"/>
        <v>45365</v>
      </c>
      <c r="J17" s="219">
        <v>940</v>
      </c>
      <c r="K17" s="54">
        <f t="shared" si="0"/>
        <v>0.860805860805861</v>
      </c>
      <c r="L17" s="218">
        <f t="shared" si="17"/>
        <v>45368</v>
      </c>
      <c r="M17" s="219">
        <v>940</v>
      </c>
      <c r="N17" s="219">
        <v>9258</v>
      </c>
      <c r="O17" s="54">
        <f t="shared" si="1"/>
        <v>0.860805860805861</v>
      </c>
      <c r="P17" s="54">
        <f t="shared" si="7"/>
        <v>0.0247252747252746</v>
      </c>
      <c r="Q17" s="221">
        <f t="shared" si="2"/>
        <v>9.84893617021277</v>
      </c>
      <c r="R17" s="218">
        <f t="shared" si="18"/>
        <v>45400</v>
      </c>
      <c r="S17" s="203">
        <v>9121</v>
      </c>
      <c r="T17" s="84">
        <v>819</v>
      </c>
      <c r="U17" s="54">
        <f t="shared" si="3"/>
        <v>0.985201987470296</v>
      </c>
      <c r="V17" s="218">
        <f t="shared" si="19"/>
        <v>45435</v>
      </c>
      <c r="W17" s="203">
        <v>8900</v>
      </c>
      <c r="X17" s="54">
        <f t="shared" si="4"/>
        <v>0.975770200635895</v>
      </c>
      <c r="Y17" s="84">
        <v>19796.5</v>
      </c>
      <c r="Z17" s="8">
        <v>11.9</v>
      </c>
      <c r="AA17" s="8">
        <f t="shared" si="15"/>
        <v>2.22432584269663</v>
      </c>
      <c r="AB17" s="8">
        <f t="shared" si="5"/>
        <v>8.15018315018315</v>
      </c>
      <c r="AC17" s="8">
        <v>3.51</v>
      </c>
      <c r="AD17" s="8">
        <v>3.34</v>
      </c>
      <c r="AE17" s="8">
        <v>56.5</v>
      </c>
      <c r="AF17" s="203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</row>
    <row r="18" s="188" customFormat="1" spans="1:1024 1025:2575">
      <c r="A18" s="216" t="s">
        <v>40</v>
      </c>
      <c r="B18" s="84" t="s">
        <v>37</v>
      </c>
      <c r="C18" s="217">
        <f>C13+42</f>
        <v>45335</v>
      </c>
      <c r="D18" s="218">
        <f t="shared" si="9"/>
        <v>45341</v>
      </c>
      <c r="E18" s="219">
        <v>1053</v>
      </c>
      <c r="F18" s="220">
        <f t="shared" si="20"/>
        <v>45355</v>
      </c>
      <c r="G18" s="219">
        <v>981</v>
      </c>
      <c r="H18" s="54">
        <f t="shared" si="10"/>
        <v>0.931623931623932</v>
      </c>
      <c r="I18" s="218">
        <f t="shared" si="16"/>
        <v>45372</v>
      </c>
      <c r="J18" s="219">
        <v>918</v>
      </c>
      <c r="K18" s="54">
        <f t="shared" si="0"/>
        <v>0.871794871794872</v>
      </c>
      <c r="L18" s="218">
        <f t="shared" si="17"/>
        <v>45375</v>
      </c>
      <c r="M18" s="219">
        <v>897</v>
      </c>
      <c r="N18" s="219">
        <v>8839</v>
      </c>
      <c r="O18" s="54">
        <f t="shared" si="1"/>
        <v>0.851851851851852</v>
      </c>
      <c r="P18" s="54">
        <f t="shared" si="7"/>
        <v>0.0797720797720798</v>
      </c>
      <c r="Q18" s="221">
        <f t="shared" si="2"/>
        <v>9.85395763656633</v>
      </c>
      <c r="R18" s="218">
        <f t="shared" si="18"/>
        <v>45407</v>
      </c>
      <c r="S18" s="203">
        <v>8308</v>
      </c>
      <c r="T18" s="84">
        <v>900</v>
      </c>
      <c r="U18" s="54">
        <f t="shared" si="3"/>
        <v>0.939925330919787</v>
      </c>
      <c r="V18" s="218">
        <f t="shared" si="19"/>
        <v>45442</v>
      </c>
      <c r="W18" s="203">
        <v>6570</v>
      </c>
      <c r="X18" s="54">
        <f t="shared" si="4"/>
        <v>0.790804044294656</v>
      </c>
      <c r="Y18" s="84">
        <v>14734</v>
      </c>
      <c r="Z18" s="8">
        <v>11.9</v>
      </c>
      <c r="AA18" s="8">
        <f t="shared" si="15"/>
        <v>2.24261796042618</v>
      </c>
      <c r="AB18" s="8">
        <f t="shared" si="5"/>
        <v>6.23931623931624</v>
      </c>
      <c r="AC18" s="8">
        <v>3.85</v>
      </c>
      <c r="AD18" s="8">
        <v>4.33</v>
      </c>
      <c r="AE18" s="8">
        <v>56.5</v>
      </c>
      <c r="AF18" s="203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</row>
    <row r="19" s="188" customFormat="1" spans="1:1024 1025:2575">
      <c r="A19" s="216" t="s">
        <v>32</v>
      </c>
      <c r="B19" s="84" t="s">
        <v>42</v>
      </c>
      <c r="C19" s="217">
        <f>C14+42</f>
        <v>45349</v>
      </c>
      <c r="D19" s="218">
        <f t="shared" si="9"/>
        <v>45355</v>
      </c>
      <c r="E19" s="219">
        <v>1127</v>
      </c>
      <c r="F19" s="220">
        <f t="shared" si="20"/>
        <v>45369</v>
      </c>
      <c r="G19" s="219">
        <v>983</v>
      </c>
      <c r="H19" s="54">
        <f t="shared" si="10"/>
        <v>0.872227151730257</v>
      </c>
      <c r="I19" s="218">
        <f t="shared" si="16"/>
        <v>45386</v>
      </c>
      <c r="J19" s="219">
        <v>956</v>
      </c>
      <c r="K19" s="54">
        <f t="shared" si="0"/>
        <v>0.848269742679681</v>
      </c>
      <c r="L19" s="218">
        <f t="shared" si="17"/>
        <v>45389</v>
      </c>
      <c r="M19" s="219">
        <v>946</v>
      </c>
      <c r="N19" s="219">
        <v>9200</v>
      </c>
      <c r="O19" s="54">
        <f t="shared" si="1"/>
        <v>0.839396628216504</v>
      </c>
      <c r="P19" s="54">
        <f t="shared" si="7"/>
        <v>0.0328305235137534</v>
      </c>
      <c r="Q19" s="221">
        <f t="shared" si="2"/>
        <v>9.72515856236786</v>
      </c>
      <c r="R19" s="218">
        <f t="shared" si="18"/>
        <v>45421</v>
      </c>
      <c r="S19" s="203">
        <v>8928</v>
      </c>
      <c r="T19" s="84">
        <v>820</v>
      </c>
      <c r="U19" s="54">
        <f t="shared" si="3"/>
        <v>0.970434782608696</v>
      </c>
      <c r="V19" s="218">
        <f t="shared" si="19"/>
        <v>45456</v>
      </c>
      <c r="W19" s="203">
        <v>8088</v>
      </c>
      <c r="X19" s="54">
        <f t="shared" si="4"/>
        <v>0.905913978494624</v>
      </c>
      <c r="Y19" s="84">
        <v>17429.64</v>
      </c>
      <c r="Z19" s="8">
        <v>12.2</v>
      </c>
      <c r="AA19" s="8">
        <f t="shared" si="15"/>
        <v>2.155</v>
      </c>
      <c r="AB19" s="8">
        <f t="shared" si="5"/>
        <v>7.17657497781721</v>
      </c>
      <c r="AC19" s="8">
        <v>3.5</v>
      </c>
      <c r="AD19" s="8">
        <v>3.42</v>
      </c>
      <c r="AE19" s="8">
        <v>57.07</v>
      </c>
      <c r="AF19" s="203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</row>
    <row r="20" s="188" customFormat="1" spans="1:1024 1025:2575">
      <c r="A20" s="216" t="s">
        <v>30</v>
      </c>
      <c r="B20" s="84" t="s">
        <v>43</v>
      </c>
      <c r="C20" s="217">
        <v>45356</v>
      </c>
      <c r="D20" s="218">
        <f t="shared" si="9"/>
        <v>45362</v>
      </c>
      <c r="E20" s="219">
        <v>1150</v>
      </c>
      <c r="F20" s="220">
        <f t="shared" si="20"/>
        <v>45376</v>
      </c>
      <c r="G20" s="219">
        <v>900</v>
      </c>
      <c r="H20" s="54">
        <f t="shared" si="10"/>
        <v>0.782608695652174</v>
      </c>
      <c r="I20" s="218">
        <f t="shared" si="16"/>
        <v>45393</v>
      </c>
      <c r="J20" s="219">
        <v>864</v>
      </c>
      <c r="K20" s="54">
        <f t="shared" si="0"/>
        <v>0.751304347826087</v>
      </c>
      <c r="L20" s="218">
        <f t="shared" si="17"/>
        <v>45396</v>
      </c>
      <c r="M20" s="219">
        <v>849</v>
      </c>
      <c r="N20" s="219">
        <v>7500</v>
      </c>
      <c r="O20" s="54">
        <f t="shared" si="1"/>
        <v>0.738260869565217</v>
      </c>
      <c r="P20" s="54">
        <f t="shared" si="7"/>
        <v>0.0443478260869565</v>
      </c>
      <c r="Q20" s="221">
        <f t="shared" si="2"/>
        <v>8.8339222614841</v>
      </c>
      <c r="R20" s="218">
        <f t="shared" si="18"/>
        <v>45428</v>
      </c>
      <c r="S20" s="203">
        <v>7056</v>
      </c>
      <c r="T20" s="84">
        <v>960</v>
      </c>
      <c r="U20" s="54">
        <f t="shared" si="3"/>
        <v>0.9408</v>
      </c>
      <c r="V20" s="218">
        <f t="shared" si="19"/>
        <v>45463</v>
      </c>
      <c r="W20" s="203">
        <v>6633</v>
      </c>
      <c r="X20" s="54">
        <f t="shared" si="4"/>
        <v>0.940051020408163</v>
      </c>
      <c r="Y20" s="84">
        <v>14891.085</v>
      </c>
      <c r="Z20" s="8">
        <v>12.6</v>
      </c>
      <c r="AA20" s="8">
        <f t="shared" si="15"/>
        <v>2.245</v>
      </c>
      <c r="AB20" s="8">
        <f t="shared" si="5"/>
        <v>5.76782608695652</v>
      </c>
      <c r="AC20" s="8">
        <v>3.7</v>
      </c>
      <c r="AD20" s="8">
        <v>3.9</v>
      </c>
      <c r="AE20" s="8">
        <v>57.6</v>
      </c>
      <c r="AF20" s="203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</row>
    <row r="21" s="188" customFormat="1" spans="1:1024 1025:2575">
      <c r="A21" s="216" t="s">
        <v>42</v>
      </c>
      <c r="B21" s="84" t="s">
        <v>32</v>
      </c>
      <c r="C21" s="217">
        <f t="shared" ref="C21:C29" si="21">C16+42</f>
        <v>45363</v>
      </c>
      <c r="D21" s="218">
        <f t="shared" si="9"/>
        <v>45369</v>
      </c>
      <c r="E21" s="219">
        <v>1250</v>
      </c>
      <c r="F21" s="220">
        <f t="shared" si="20"/>
        <v>45383</v>
      </c>
      <c r="G21" s="219">
        <v>980</v>
      </c>
      <c r="H21" s="54">
        <f t="shared" si="10"/>
        <v>0.784</v>
      </c>
      <c r="I21" s="218">
        <f t="shared" si="16"/>
        <v>45400</v>
      </c>
      <c r="J21" s="219">
        <v>891</v>
      </c>
      <c r="K21" s="54">
        <f t="shared" si="0"/>
        <v>0.7128</v>
      </c>
      <c r="L21" s="218">
        <f t="shared" si="17"/>
        <v>45403</v>
      </c>
      <c r="M21" s="219">
        <v>880</v>
      </c>
      <c r="N21" s="219">
        <v>7726</v>
      </c>
      <c r="O21" s="54">
        <f t="shared" si="1"/>
        <v>0.704</v>
      </c>
      <c r="P21" s="54">
        <f t="shared" si="7"/>
        <v>0.0800000000000001</v>
      </c>
      <c r="Q21" s="221">
        <f t="shared" si="2"/>
        <v>8.77954545454545</v>
      </c>
      <c r="R21" s="218">
        <f t="shared" si="18"/>
        <v>45435</v>
      </c>
      <c r="S21" s="203">
        <v>7503</v>
      </c>
      <c r="T21" s="84">
        <v>767</v>
      </c>
      <c r="U21" s="54">
        <f t="shared" si="3"/>
        <v>0.971136422469583</v>
      </c>
      <c r="V21" s="218">
        <f t="shared" si="19"/>
        <v>45470</v>
      </c>
      <c r="W21" s="203">
        <v>7184</v>
      </c>
      <c r="X21" s="54">
        <f t="shared" si="4"/>
        <v>0.957483673197388</v>
      </c>
      <c r="Y21" s="84">
        <v>15760</v>
      </c>
      <c r="Z21" s="8">
        <v>14</v>
      </c>
      <c r="AA21" s="8">
        <f t="shared" si="15"/>
        <v>2.19376391982183</v>
      </c>
      <c r="AB21" s="8">
        <f t="shared" si="5"/>
        <v>5.7472</v>
      </c>
      <c r="AC21" s="8">
        <v>3.5</v>
      </c>
      <c r="AD21" s="8">
        <v>3.24</v>
      </c>
      <c r="AE21" s="8">
        <v>58.3</v>
      </c>
      <c r="AF21" s="203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</row>
    <row r="22" s="188" customFormat="1" spans="1:1024 1025:2575">
      <c r="A22" s="216" t="s">
        <v>37</v>
      </c>
      <c r="B22" s="84" t="s">
        <v>42</v>
      </c>
      <c r="C22" s="217">
        <f t="shared" si="21"/>
        <v>45370</v>
      </c>
      <c r="D22" s="218">
        <f t="shared" si="9"/>
        <v>45376</v>
      </c>
      <c r="E22" s="219">
        <v>1258</v>
      </c>
      <c r="F22" s="220">
        <f t="shared" si="20"/>
        <v>45390</v>
      </c>
      <c r="G22" s="219">
        <v>1041</v>
      </c>
      <c r="H22" s="54">
        <f t="shared" si="10"/>
        <v>0.827503974562798</v>
      </c>
      <c r="I22" s="218">
        <f t="shared" si="16"/>
        <v>45407</v>
      </c>
      <c r="J22" s="219">
        <v>976</v>
      </c>
      <c r="K22" s="54">
        <f t="shared" si="0"/>
        <v>0.775834658187599</v>
      </c>
      <c r="L22" s="218">
        <f t="shared" si="17"/>
        <v>45410</v>
      </c>
      <c r="M22" s="219">
        <v>963</v>
      </c>
      <c r="N22" s="219">
        <v>9300</v>
      </c>
      <c r="O22" s="54">
        <f t="shared" si="1"/>
        <v>0.76550079491256</v>
      </c>
      <c r="P22" s="54">
        <f t="shared" si="7"/>
        <v>0.0620031796502385</v>
      </c>
      <c r="Q22" s="221">
        <f t="shared" si="2"/>
        <v>9.65732087227414</v>
      </c>
      <c r="R22" s="218">
        <f t="shared" si="18"/>
        <v>45442</v>
      </c>
      <c r="S22" s="203">
        <v>8280</v>
      </c>
      <c r="T22" s="84">
        <v>819</v>
      </c>
      <c r="U22" s="54">
        <f t="shared" si="3"/>
        <v>0.890322580645161</v>
      </c>
      <c r="V22" s="218">
        <f t="shared" si="19"/>
        <v>45477</v>
      </c>
      <c r="W22" s="203">
        <v>7198</v>
      </c>
      <c r="X22" s="54">
        <f t="shared" si="4"/>
        <v>0.869323671497584</v>
      </c>
      <c r="Y22" s="84">
        <v>15750</v>
      </c>
      <c r="Z22" s="203">
        <v>13.8</v>
      </c>
      <c r="AA22" s="8">
        <f t="shared" si="15"/>
        <v>2.18810780772437</v>
      </c>
      <c r="AB22" s="8">
        <f t="shared" si="5"/>
        <v>5.72178060413355</v>
      </c>
      <c r="AC22" s="8">
        <v>3.57</v>
      </c>
      <c r="AD22" s="8">
        <v>3.12</v>
      </c>
      <c r="AE22" s="8">
        <v>57</v>
      </c>
      <c r="AF22" s="203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</row>
    <row r="23" s="188" customFormat="1" spans="1:1024 1025:2575">
      <c r="A23" s="216" t="s">
        <v>40</v>
      </c>
      <c r="B23" s="84" t="s">
        <v>40</v>
      </c>
      <c r="C23" s="217">
        <f t="shared" si="21"/>
        <v>45377</v>
      </c>
      <c r="D23" s="218">
        <f t="shared" si="9"/>
        <v>45383</v>
      </c>
      <c r="E23" s="219">
        <v>1238</v>
      </c>
      <c r="F23" s="220">
        <f t="shared" si="20"/>
        <v>45397</v>
      </c>
      <c r="G23" s="219">
        <v>1027</v>
      </c>
      <c r="H23" s="54">
        <f t="shared" si="10"/>
        <v>0.829563812600969</v>
      </c>
      <c r="I23" s="218">
        <f t="shared" si="16"/>
        <v>45414</v>
      </c>
      <c r="J23" s="219">
        <v>957</v>
      </c>
      <c r="K23" s="54">
        <f t="shared" si="0"/>
        <v>0.773021001615509</v>
      </c>
      <c r="L23" s="218">
        <f t="shared" si="17"/>
        <v>45417</v>
      </c>
      <c r="M23" s="219">
        <v>954</v>
      </c>
      <c r="N23" s="219">
        <v>9280</v>
      </c>
      <c r="O23" s="54">
        <f t="shared" si="1"/>
        <v>0.770597738287561</v>
      </c>
      <c r="P23" s="54">
        <f t="shared" si="7"/>
        <v>0.0589660743134087</v>
      </c>
      <c r="Q23" s="221">
        <f t="shared" si="2"/>
        <v>9.72746331236897</v>
      </c>
      <c r="R23" s="218">
        <f t="shared" si="18"/>
        <v>45449</v>
      </c>
      <c r="S23" s="203">
        <v>7982</v>
      </c>
      <c r="T23" s="84">
        <v>800</v>
      </c>
      <c r="U23" s="54">
        <f t="shared" si="3"/>
        <v>0.860129310344828</v>
      </c>
      <c r="V23" s="218">
        <f t="shared" si="19"/>
        <v>45484</v>
      </c>
      <c r="W23" s="203">
        <v>7342</v>
      </c>
      <c r="X23" s="54">
        <f t="shared" si="4"/>
        <v>0.919819594086695</v>
      </c>
      <c r="Y23" s="84">
        <v>15709</v>
      </c>
      <c r="Z23" s="203">
        <v>13.3</v>
      </c>
      <c r="AA23" s="8">
        <v>2.23</v>
      </c>
      <c r="AB23" s="8">
        <f t="shared" si="5"/>
        <v>5.93053311793215</v>
      </c>
      <c r="AC23" s="8">
        <v>3.35</v>
      </c>
      <c r="AD23" s="8">
        <v>3.25</v>
      </c>
      <c r="AE23" s="8"/>
      <c r="AF23" s="203" t="s">
        <v>44</v>
      </c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</row>
    <row r="24" s="188" customFormat="1" ht="12" customHeight="1" spans="1:1024 1025:2575">
      <c r="A24" s="216" t="s">
        <v>32</v>
      </c>
      <c r="B24" s="84" t="s">
        <v>43</v>
      </c>
      <c r="C24" s="217">
        <f t="shared" si="21"/>
        <v>45391</v>
      </c>
      <c r="D24" s="218">
        <f t="shared" ref="D24:D48" si="22">C24+6</f>
        <v>45397</v>
      </c>
      <c r="E24" s="219">
        <v>1245</v>
      </c>
      <c r="F24" s="220">
        <f t="shared" ref="F24:F32" si="23">D24+14</f>
        <v>45411</v>
      </c>
      <c r="G24" s="219">
        <v>1122</v>
      </c>
      <c r="H24" s="54">
        <f t="shared" si="10"/>
        <v>0.901204819277108</v>
      </c>
      <c r="I24" s="218">
        <f t="shared" ref="I24:I34" si="24">D24+31</f>
        <v>45428</v>
      </c>
      <c r="J24" s="219">
        <v>1086</v>
      </c>
      <c r="K24" s="54">
        <f t="shared" si="0"/>
        <v>0.872289156626506</v>
      </c>
      <c r="L24" s="218">
        <f t="shared" ref="L24:L34" si="25">I24+3</f>
        <v>45431</v>
      </c>
      <c r="M24" s="219">
        <v>1080</v>
      </c>
      <c r="N24" s="219">
        <v>10430</v>
      </c>
      <c r="O24" s="54">
        <f t="shared" si="1"/>
        <v>0.867469879518072</v>
      </c>
      <c r="P24" s="54">
        <f t="shared" si="7"/>
        <v>0.0337349397590361</v>
      </c>
      <c r="Q24" s="221">
        <f t="shared" si="2"/>
        <v>9.65740740740741</v>
      </c>
      <c r="R24" s="218">
        <f t="shared" si="18"/>
        <v>45463</v>
      </c>
      <c r="S24" s="203">
        <v>10005</v>
      </c>
      <c r="T24" s="84">
        <v>811</v>
      </c>
      <c r="U24" s="54">
        <f t="shared" si="3"/>
        <v>0.959252157238734</v>
      </c>
      <c r="V24" s="218">
        <f t="shared" si="19"/>
        <v>45498</v>
      </c>
      <c r="W24" s="203">
        <v>9200</v>
      </c>
      <c r="X24" s="54">
        <f t="shared" si="4"/>
        <v>0.919540229885057</v>
      </c>
      <c r="Y24" s="84">
        <v>16394.34</v>
      </c>
      <c r="Z24" s="203">
        <v>11.6</v>
      </c>
      <c r="AA24" s="8">
        <v>1.97</v>
      </c>
      <c r="AB24" s="8">
        <f t="shared" si="5"/>
        <v>7.38955823293173</v>
      </c>
      <c r="AC24" s="8">
        <v>3.66</v>
      </c>
      <c r="AD24" s="8">
        <v>4.15</v>
      </c>
      <c r="AE24" s="8">
        <v>55.05</v>
      </c>
      <c r="AF24" s="203" t="s">
        <v>45</v>
      </c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</row>
    <row r="25" s="188" customFormat="1" spans="1:1024 1025:2575">
      <c r="A25" s="216" t="s">
        <v>30</v>
      </c>
      <c r="B25" s="84" t="s">
        <v>46</v>
      </c>
      <c r="C25" s="217">
        <f t="shared" si="21"/>
        <v>45398</v>
      </c>
      <c r="D25" s="218">
        <f t="shared" si="22"/>
        <v>45404</v>
      </c>
      <c r="E25" s="219">
        <v>1230</v>
      </c>
      <c r="F25" s="220">
        <f t="shared" si="23"/>
        <v>45418</v>
      </c>
      <c r="G25" s="219">
        <v>1059</v>
      </c>
      <c r="H25" s="54">
        <f t="shared" si="10"/>
        <v>0.860975609756098</v>
      </c>
      <c r="I25" s="218">
        <f t="shared" si="24"/>
        <v>45435</v>
      </c>
      <c r="J25" s="219">
        <v>1004</v>
      </c>
      <c r="K25" s="54">
        <f t="shared" si="0"/>
        <v>0.816260162601626</v>
      </c>
      <c r="L25" s="218">
        <f t="shared" si="25"/>
        <v>45438</v>
      </c>
      <c r="M25" s="219">
        <v>987</v>
      </c>
      <c r="N25" s="219">
        <v>9490</v>
      </c>
      <c r="O25" s="54">
        <f t="shared" si="1"/>
        <v>0.802439024390244</v>
      </c>
      <c r="P25" s="54">
        <f t="shared" si="7"/>
        <v>0.0585365853658536</v>
      </c>
      <c r="Q25" s="221">
        <f t="shared" si="2"/>
        <v>9.61499493414387</v>
      </c>
      <c r="R25" s="218">
        <f t="shared" si="18"/>
        <v>45470</v>
      </c>
      <c r="S25" s="203">
        <v>8604</v>
      </c>
      <c r="T25" s="84">
        <v>735</v>
      </c>
      <c r="U25" s="54">
        <f t="shared" si="3"/>
        <v>0.90663856691254</v>
      </c>
      <c r="V25" s="218">
        <f t="shared" si="19"/>
        <v>45505</v>
      </c>
      <c r="W25" s="203">
        <v>7434</v>
      </c>
      <c r="X25" s="54">
        <f t="shared" si="4"/>
        <v>0.864016736401674</v>
      </c>
      <c r="Y25" s="84">
        <v>14145</v>
      </c>
      <c r="Z25" s="203">
        <v>12</v>
      </c>
      <c r="AA25" s="8">
        <v>1.92</v>
      </c>
      <c r="AB25" s="8">
        <f t="shared" si="5"/>
        <v>6.04390243902439</v>
      </c>
      <c r="AC25" s="8">
        <v>3.68</v>
      </c>
      <c r="AD25" s="8">
        <v>3.84</v>
      </c>
      <c r="AE25" s="8">
        <v>56</v>
      </c>
      <c r="AF25" s="203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</row>
    <row r="26" s="188" customFormat="1" spans="1:1024 1025:2575">
      <c r="A26" s="216" t="s">
        <v>42</v>
      </c>
      <c r="B26" s="84" t="s">
        <v>37</v>
      </c>
      <c r="C26" s="217">
        <f t="shared" si="21"/>
        <v>45405</v>
      </c>
      <c r="D26" s="218">
        <f t="shared" si="22"/>
        <v>45411</v>
      </c>
      <c r="E26" s="219">
        <v>1240</v>
      </c>
      <c r="F26" s="220">
        <f t="shared" si="23"/>
        <v>45425</v>
      </c>
      <c r="G26" s="219">
        <v>998</v>
      </c>
      <c r="H26" s="54">
        <f t="shared" si="10"/>
        <v>0.804838709677419</v>
      </c>
      <c r="I26" s="218">
        <f t="shared" si="24"/>
        <v>45442</v>
      </c>
      <c r="J26" s="219">
        <v>894</v>
      </c>
      <c r="K26" s="54">
        <f t="shared" si="0"/>
        <v>0.720967741935484</v>
      </c>
      <c r="L26" s="218">
        <f t="shared" si="25"/>
        <v>45445</v>
      </c>
      <c r="M26" s="219">
        <v>842</v>
      </c>
      <c r="N26" s="219">
        <v>7123</v>
      </c>
      <c r="O26" s="54">
        <f t="shared" si="1"/>
        <v>0.679032258064516</v>
      </c>
      <c r="P26" s="54">
        <f t="shared" si="7"/>
        <v>0.125806451612903</v>
      </c>
      <c r="Q26" s="221">
        <f t="shared" si="2"/>
        <v>8.45961995249406</v>
      </c>
      <c r="R26" s="218">
        <f t="shared" si="18"/>
        <v>45477</v>
      </c>
      <c r="S26" s="203">
        <v>5329</v>
      </c>
      <c r="T26" s="84">
        <v>879</v>
      </c>
      <c r="U26" s="54">
        <f t="shared" si="3"/>
        <v>0.748139828723852</v>
      </c>
      <c r="V26" s="218">
        <f t="shared" si="19"/>
        <v>45512</v>
      </c>
      <c r="W26" s="203">
        <v>4762</v>
      </c>
      <c r="X26" s="54">
        <f t="shared" si="4"/>
        <v>0.893601050853819</v>
      </c>
      <c r="Y26" s="84">
        <v>9857</v>
      </c>
      <c r="Z26" s="203">
        <v>12.8</v>
      </c>
      <c r="AA26" s="8">
        <v>2.07</v>
      </c>
      <c r="AB26" s="8">
        <f t="shared" si="5"/>
        <v>3.84032258064516</v>
      </c>
      <c r="AC26" s="8">
        <v>4.11</v>
      </c>
      <c r="AD26" s="8">
        <v>4.27</v>
      </c>
      <c r="AE26" s="8">
        <v>58.15</v>
      </c>
      <c r="AF26" s="208" t="s">
        <v>47</v>
      </c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</row>
    <row r="27" s="188" customFormat="1" ht="13" customHeight="1" spans="1:1024 1025:2575">
      <c r="A27" s="216" t="s">
        <v>37</v>
      </c>
      <c r="B27" s="84" t="s">
        <v>43</v>
      </c>
      <c r="C27" s="217">
        <f t="shared" si="21"/>
        <v>45412</v>
      </c>
      <c r="D27" s="218">
        <f t="shared" si="22"/>
        <v>45418</v>
      </c>
      <c r="E27" s="219">
        <v>1230</v>
      </c>
      <c r="F27" s="220">
        <f t="shared" si="23"/>
        <v>45432</v>
      </c>
      <c r="G27" s="219">
        <v>999</v>
      </c>
      <c r="H27" s="54">
        <f t="shared" si="10"/>
        <v>0.81219512195122</v>
      </c>
      <c r="I27" s="218">
        <f t="shared" si="24"/>
        <v>45449</v>
      </c>
      <c r="J27" s="219">
        <v>933</v>
      </c>
      <c r="K27" s="54">
        <f t="shared" si="0"/>
        <v>0.758536585365854</v>
      </c>
      <c r="L27" s="218">
        <f t="shared" si="25"/>
        <v>45452</v>
      </c>
      <c r="M27" s="219">
        <v>887</v>
      </c>
      <c r="N27" s="219">
        <v>8010</v>
      </c>
      <c r="O27" s="54">
        <f t="shared" si="1"/>
        <v>0.721138211382114</v>
      </c>
      <c r="P27" s="54">
        <f t="shared" si="7"/>
        <v>0.0910569105691057</v>
      </c>
      <c r="Q27" s="221">
        <f t="shared" si="2"/>
        <v>9.0304396843292</v>
      </c>
      <c r="R27" s="218">
        <f t="shared" si="18"/>
        <v>45484</v>
      </c>
      <c r="S27" s="203">
        <v>6988</v>
      </c>
      <c r="T27" s="84">
        <v>795</v>
      </c>
      <c r="U27" s="54">
        <f t="shared" si="3"/>
        <v>0.872409488139825</v>
      </c>
      <c r="V27" s="218">
        <f t="shared" si="19"/>
        <v>45519</v>
      </c>
      <c r="W27" s="203">
        <v>5705</v>
      </c>
      <c r="X27" s="54">
        <f t="shared" si="4"/>
        <v>0.816399542072124</v>
      </c>
      <c r="Y27" s="84">
        <v>10452.6405</v>
      </c>
      <c r="Z27" s="203">
        <v>14.2</v>
      </c>
      <c r="AA27" s="8">
        <f>Y27/W27</f>
        <v>1.83218939526731</v>
      </c>
      <c r="AB27" s="8">
        <f t="shared" si="5"/>
        <v>4.63821138211382</v>
      </c>
      <c r="AC27" s="8">
        <v>4.64</v>
      </c>
      <c r="AD27" s="8">
        <v>5.77</v>
      </c>
      <c r="AE27" s="8">
        <v>55.6</v>
      </c>
      <c r="AF27" s="208" t="s">
        <v>48</v>
      </c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</row>
    <row r="28" s="188" customFormat="1" spans="1:1024 1025:2575">
      <c r="A28" s="216" t="s">
        <v>40</v>
      </c>
      <c r="B28" s="84" t="s">
        <v>42</v>
      </c>
      <c r="C28" s="217">
        <f t="shared" ref="C28:C48" si="26">C23+42</f>
        <v>45419</v>
      </c>
      <c r="D28" s="218">
        <f t="shared" si="22"/>
        <v>45425</v>
      </c>
      <c r="E28" s="219">
        <v>1244</v>
      </c>
      <c r="F28" s="220">
        <f t="shared" si="23"/>
        <v>45439</v>
      </c>
      <c r="G28" s="219">
        <v>985</v>
      </c>
      <c r="H28" s="54">
        <f t="shared" si="10"/>
        <v>0.791800643086817</v>
      </c>
      <c r="I28" s="218">
        <f t="shared" si="24"/>
        <v>45456</v>
      </c>
      <c r="J28" s="219">
        <v>950</v>
      </c>
      <c r="K28" s="54">
        <f t="shared" si="0"/>
        <v>0.763665594855305</v>
      </c>
      <c r="L28" s="218">
        <f t="shared" si="25"/>
        <v>45459</v>
      </c>
      <c r="M28" s="219">
        <v>935</v>
      </c>
      <c r="N28" s="219">
        <v>8135</v>
      </c>
      <c r="O28" s="54">
        <f t="shared" si="1"/>
        <v>0.751607717041801</v>
      </c>
      <c r="P28" s="54">
        <f t="shared" si="7"/>
        <v>0.0401929260450161</v>
      </c>
      <c r="Q28" s="221">
        <f t="shared" si="2"/>
        <v>8.70053475935829</v>
      </c>
      <c r="R28" s="218">
        <f t="shared" si="18"/>
        <v>45491</v>
      </c>
      <c r="S28" s="203">
        <v>7681</v>
      </c>
      <c r="T28" s="84">
        <v>835</v>
      </c>
      <c r="U28" s="54">
        <f t="shared" si="3"/>
        <v>0.94419176398279</v>
      </c>
      <c r="V28" s="218">
        <f t="shared" si="19"/>
        <v>45526</v>
      </c>
      <c r="W28" s="203">
        <v>6670</v>
      </c>
      <c r="X28" s="54">
        <f t="shared" si="4"/>
        <v>0.868376513474808</v>
      </c>
      <c r="Y28" s="84">
        <v>13243</v>
      </c>
      <c r="Z28" s="203">
        <v>14.2</v>
      </c>
      <c r="AA28" s="8">
        <v>2.01</v>
      </c>
      <c r="AB28" s="8">
        <f t="shared" si="5"/>
        <v>5.36173633440514</v>
      </c>
      <c r="AC28" s="8">
        <v>3.37</v>
      </c>
      <c r="AD28" s="8">
        <v>3.59</v>
      </c>
      <c r="AE28" s="8">
        <v>57.55</v>
      </c>
      <c r="AF28" s="203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</row>
    <row r="29" s="189" customFormat="1" spans="1:1024 1025:2575">
      <c r="A29" s="216" t="s">
        <v>32</v>
      </c>
      <c r="B29" s="84" t="s">
        <v>46</v>
      </c>
      <c r="C29" s="217">
        <f t="shared" si="26"/>
        <v>45433</v>
      </c>
      <c r="D29" s="218">
        <f t="shared" si="22"/>
        <v>45439</v>
      </c>
      <c r="E29" s="219">
        <v>1230</v>
      </c>
      <c r="F29" s="220">
        <f t="shared" si="23"/>
        <v>45453</v>
      </c>
      <c r="G29" s="219">
        <v>1060</v>
      </c>
      <c r="H29" s="54">
        <f t="shared" si="10"/>
        <v>0.861788617886179</v>
      </c>
      <c r="I29" s="218">
        <f t="shared" si="24"/>
        <v>45470</v>
      </c>
      <c r="J29" s="219">
        <v>980</v>
      </c>
      <c r="K29" s="54">
        <f t="shared" si="0"/>
        <v>0.796747967479675</v>
      </c>
      <c r="L29" s="218">
        <f t="shared" si="25"/>
        <v>45473</v>
      </c>
      <c r="M29" s="219">
        <v>960</v>
      </c>
      <c r="N29" s="219">
        <v>8120</v>
      </c>
      <c r="O29" s="54">
        <f t="shared" si="1"/>
        <v>0.780487804878049</v>
      </c>
      <c r="P29" s="54">
        <f t="shared" si="7"/>
        <v>0.0813008130081301</v>
      </c>
      <c r="Q29" s="221">
        <f t="shared" si="2"/>
        <v>8.45833333333333</v>
      </c>
      <c r="R29" s="218">
        <f t="shared" si="18"/>
        <v>45505</v>
      </c>
      <c r="S29" s="203">
        <v>7495</v>
      </c>
      <c r="T29" s="84">
        <v>740</v>
      </c>
      <c r="U29" s="54">
        <f t="shared" si="3"/>
        <v>0.923029556650246</v>
      </c>
      <c r="V29" s="218">
        <f t="shared" si="19"/>
        <v>45540</v>
      </c>
      <c r="W29" s="203">
        <v>6860</v>
      </c>
      <c r="X29" s="54">
        <f t="shared" si="4"/>
        <v>0.915276851234156</v>
      </c>
      <c r="Y29" s="84">
        <v>14351</v>
      </c>
      <c r="Z29" s="203">
        <v>15.2</v>
      </c>
      <c r="AA29" s="8">
        <v>2.13</v>
      </c>
      <c r="AB29" s="8">
        <f t="shared" si="5"/>
        <v>5.57723577235772</v>
      </c>
      <c r="AC29" s="8">
        <v>3.52</v>
      </c>
      <c r="AD29" s="8">
        <v>3.39</v>
      </c>
      <c r="AE29" s="8">
        <v>56.23</v>
      </c>
      <c r="AF29" s="208" t="s">
        <v>49</v>
      </c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88"/>
      <c r="BG29" s="188"/>
      <c r="BH29" s="188"/>
      <c r="BI29" s="188"/>
      <c r="BJ29" s="188"/>
      <c r="BK29" s="188"/>
      <c r="BL29" s="188"/>
      <c r="BM29" s="188"/>
      <c r="BN29" s="188"/>
      <c r="BO29" s="188"/>
      <c r="BP29" s="188"/>
      <c r="BQ29" s="188"/>
      <c r="BR29" s="188"/>
      <c r="BS29" s="188"/>
      <c r="BT29" s="188"/>
      <c r="BU29" s="188"/>
      <c r="BV29" s="188"/>
      <c r="BW29" s="188"/>
      <c r="BX29" s="188"/>
      <c r="BY29" s="188"/>
      <c r="BZ29" s="188"/>
      <c r="CA29" s="188"/>
      <c r="CB29" s="188"/>
      <c r="CC29" s="188"/>
      <c r="CD29" s="188"/>
      <c r="CE29" s="188"/>
      <c r="CF29" s="188"/>
      <c r="CG29" s="188"/>
      <c r="CH29" s="188"/>
      <c r="CI29" s="188"/>
      <c r="CJ29" s="188"/>
      <c r="CK29" s="188"/>
      <c r="CL29" s="188"/>
      <c r="CM29" s="188"/>
      <c r="CN29" s="188"/>
      <c r="CO29" s="188"/>
      <c r="CP29" s="188"/>
      <c r="CQ29" s="188"/>
      <c r="CR29" s="188"/>
      <c r="CS29" s="188"/>
      <c r="CT29" s="188"/>
      <c r="CU29" s="188"/>
      <c r="CV29" s="188"/>
      <c r="CW29" s="188"/>
      <c r="CX29" s="188"/>
      <c r="CY29" s="188"/>
      <c r="CZ29" s="188"/>
      <c r="DA29" s="188"/>
      <c r="DB29" s="188"/>
      <c r="DC29" s="188"/>
      <c r="DD29" s="188"/>
      <c r="DE29" s="188"/>
      <c r="DF29" s="188"/>
      <c r="DG29" s="188"/>
      <c r="DH29" s="188"/>
      <c r="DI29" s="188"/>
      <c r="DJ29" s="188"/>
      <c r="DK29" s="188"/>
      <c r="DL29" s="188"/>
      <c r="DM29" s="188"/>
      <c r="DN29" s="188"/>
      <c r="DO29" s="188"/>
      <c r="DP29" s="188"/>
      <c r="DQ29" s="188"/>
      <c r="DR29" s="188"/>
      <c r="DS29" s="188"/>
      <c r="DT29" s="188"/>
      <c r="DU29" s="188"/>
      <c r="DV29" s="188"/>
      <c r="DW29" s="188"/>
      <c r="DX29" s="188"/>
      <c r="DY29" s="188"/>
      <c r="DZ29" s="188"/>
      <c r="EA29" s="188"/>
      <c r="EB29" s="188"/>
      <c r="EC29" s="188"/>
      <c r="ED29" s="188"/>
      <c r="EE29" s="188"/>
      <c r="EF29" s="188"/>
      <c r="EG29" s="188"/>
      <c r="EH29" s="188"/>
      <c r="EI29" s="188"/>
      <c r="EJ29" s="188"/>
      <c r="EK29" s="188"/>
      <c r="EL29" s="188"/>
      <c r="EM29" s="188"/>
      <c r="EN29" s="188"/>
      <c r="EO29" s="188"/>
      <c r="EP29" s="188"/>
      <c r="EQ29" s="188"/>
      <c r="ER29" s="188"/>
      <c r="ES29" s="188"/>
      <c r="ET29" s="188"/>
      <c r="EU29" s="188"/>
      <c r="EV29" s="188"/>
      <c r="EW29" s="188"/>
      <c r="EX29" s="188"/>
      <c r="EY29" s="188"/>
      <c r="EZ29" s="188"/>
      <c r="FA29" s="188"/>
      <c r="FB29" s="188"/>
      <c r="FC29" s="188"/>
      <c r="FD29" s="188"/>
      <c r="FE29" s="188"/>
      <c r="FF29" s="188"/>
      <c r="FG29" s="188"/>
      <c r="FH29" s="188"/>
      <c r="FI29" s="188"/>
      <c r="FJ29" s="188"/>
      <c r="FK29" s="188"/>
      <c r="FL29" s="188"/>
      <c r="FM29" s="188"/>
      <c r="FN29" s="188"/>
      <c r="FO29" s="188"/>
      <c r="FP29" s="188"/>
      <c r="FQ29" s="188"/>
      <c r="FR29" s="188"/>
      <c r="FS29" s="188"/>
      <c r="FT29" s="188"/>
      <c r="FU29" s="188"/>
      <c r="FV29" s="188"/>
      <c r="FW29" s="188"/>
      <c r="FX29" s="188"/>
      <c r="FY29" s="188"/>
      <c r="FZ29" s="188"/>
      <c r="GA29" s="188"/>
      <c r="GB29" s="188"/>
      <c r="GC29" s="188"/>
      <c r="GD29" s="188"/>
      <c r="GE29" s="188"/>
      <c r="GF29" s="188"/>
      <c r="GG29" s="188"/>
      <c r="GH29" s="188"/>
      <c r="GI29" s="188"/>
      <c r="GJ29" s="188"/>
      <c r="GK29" s="188"/>
      <c r="GL29" s="188"/>
      <c r="GM29" s="188"/>
      <c r="GN29" s="188"/>
      <c r="GO29" s="188"/>
      <c r="GP29" s="188"/>
      <c r="GQ29" s="188"/>
      <c r="GR29" s="188"/>
      <c r="GS29" s="188"/>
      <c r="GT29" s="188"/>
      <c r="GU29" s="188"/>
      <c r="GV29" s="188"/>
      <c r="GW29" s="188"/>
      <c r="GX29" s="188"/>
      <c r="GY29" s="188"/>
      <c r="GZ29" s="188"/>
      <c r="HA29" s="188"/>
      <c r="HB29" s="188"/>
      <c r="HC29" s="188"/>
      <c r="HD29" s="188"/>
      <c r="HE29" s="188"/>
      <c r="HF29" s="188"/>
      <c r="HG29" s="188"/>
      <c r="HH29" s="188"/>
      <c r="HI29" s="188"/>
      <c r="HJ29" s="188"/>
      <c r="HK29" s="188"/>
      <c r="HL29" s="188"/>
      <c r="HM29" s="188"/>
      <c r="HN29" s="188"/>
      <c r="HO29" s="188"/>
      <c r="HP29" s="188"/>
      <c r="HQ29" s="188"/>
      <c r="HR29" s="188"/>
      <c r="HS29" s="188"/>
      <c r="HT29" s="188"/>
      <c r="HU29" s="188"/>
      <c r="HV29" s="188"/>
      <c r="HW29" s="188"/>
      <c r="HX29" s="188"/>
      <c r="HY29" s="188"/>
      <c r="HZ29" s="188"/>
      <c r="IA29" s="188"/>
      <c r="IB29" s="188"/>
      <c r="IC29" s="188"/>
      <c r="ID29" s="188"/>
      <c r="IE29" s="188"/>
      <c r="IF29" s="188"/>
      <c r="IG29" s="188"/>
      <c r="IH29" s="188"/>
      <c r="II29" s="188"/>
      <c r="IJ29" s="188"/>
      <c r="IK29" s="188"/>
      <c r="IL29" s="188"/>
      <c r="IM29" s="188"/>
      <c r="IN29" s="188"/>
      <c r="IO29" s="188"/>
      <c r="IP29" s="188"/>
      <c r="IQ29" s="188"/>
      <c r="IR29" s="188"/>
      <c r="IS29" s="188"/>
      <c r="IT29" s="188"/>
      <c r="IU29" s="188"/>
      <c r="IV29" s="188"/>
      <c r="IW29" s="188"/>
      <c r="IX29" s="188"/>
      <c r="IY29" s="188"/>
      <c r="IZ29" s="188"/>
      <c r="JA29" s="188"/>
      <c r="JB29" s="188"/>
      <c r="JC29" s="188"/>
      <c r="JD29" s="188"/>
      <c r="JE29" s="188"/>
      <c r="JF29" s="188"/>
      <c r="JG29" s="188"/>
      <c r="JH29" s="188"/>
      <c r="JI29" s="188"/>
      <c r="JJ29" s="188"/>
      <c r="JK29" s="188"/>
      <c r="JL29" s="188"/>
      <c r="JM29" s="188"/>
      <c r="JN29" s="188"/>
      <c r="JO29" s="188"/>
      <c r="JP29" s="188"/>
      <c r="JQ29" s="188"/>
      <c r="JR29" s="188"/>
      <c r="JS29" s="188"/>
      <c r="JT29" s="188"/>
      <c r="JU29" s="188"/>
      <c r="JV29" s="188"/>
      <c r="JW29" s="188"/>
      <c r="JX29" s="188"/>
      <c r="JY29" s="188"/>
      <c r="JZ29" s="188"/>
      <c r="KA29" s="188"/>
      <c r="KB29" s="188"/>
      <c r="KC29" s="188"/>
      <c r="KD29" s="188"/>
      <c r="KE29" s="188"/>
      <c r="KF29" s="188"/>
      <c r="KG29" s="188"/>
      <c r="KH29" s="188"/>
      <c r="KI29" s="188"/>
      <c r="KJ29" s="188"/>
      <c r="KK29" s="188"/>
      <c r="KL29" s="188"/>
      <c r="KM29" s="188"/>
      <c r="KN29" s="188"/>
      <c r="KO29" s="188"/>
      <c r="KP29" s="188"/>
      <c r="KQ29" s="188"/>
      <c r="KR29" s="188"/>
      <c r="KS29" s="188"/>
      <c r="KT29" s="188"/>
      <c r="KU29" s="188"/>
      <c r="KV29" s="188"/>
      <c r="KW29" s="188"/>
      <c r="KX29" s="188"/>
      <c r="KY29" s="188"/>
      <c r="KZ29" s="188"/>
      <c r="LA29" s="188"/>
      <c r="LB29" s="188"/>
      <c r="LC29" s="188"/>
      <c r="LD29" s="188"/>
      <c r="LE29" s="188"/>
      <c r="LF29" s="188"/>
      <c r="LG29" s="188"/>
      <c r="LH29" s="188"/>
      <c r="LI29" s="188"/>
      <c r="LJ29" s="188"/>
      <c r="LK29" s="188"/>
      <c r="LL29" s="188"/>
      <c r="LM29" s="188"/>
      <c r="LN29" s="188"/>
      <c r="LO29" s="188"/>
      <c r="LP29" s="188"/>
      <c r="LQ29" s="188"/>
      <c r="LR29" s="188"/>
      <c r="LS29" s="188"/>
      <c r="LT29" s="188"/>
      <c r="LU29" s="188"/>
      <c r="LV29" s="188"/>
      <c r="LW29" s="188"/>
      <c r="LX29" s="188"/>
      <c r="LY29" s="188"/>
      <c r="LZ29" s="188"/>
      <c r="MA29" s="188"/>
      <c r="MB29" s="188"/>
      <c r="MC29" s="188"/>
      <c r="MD29" s="188"/>
      <c r="ME29" s="188"/>
      <c r="MF29" s="188"/>
      <c r="MG29" s="188"/>
      <c r="MH29" s="188"/>
      <c r="MI29" s="188"/>
      <c r="MJ29" s="188"/>
      <c r="MK29" s="188"/>
      <c r="ML29" s="188"/>
      <c r="MM29" s="188"/>
      <c r="MN29" s="188"/>
      <c r="MO29" s="188"/>
      <c r="MP29" s="188"/>
      <c r="MQ29" s="188"/>
      <c r="MR29" s="188"/>
      <c r="MS29" s="188"/>
      <c r="MT29" s="188"/>
      <c r="MU29" s="188"/>
      <c r="MV29" s="188"/>
      <c r="MW29" s="188"/>
      <c r="MX29" s="188"/>
      <c r="MY29" s="188"/>
      <c r="MZ29" s="188"/>
      <c r="NA29" s="188"/>
      <c r="NB29" s="188"/>
      <c r="NC29" s="188"/>
      <c r="ND29" s="188"/>
      <c r="NE29" s="188"/>
      <c r="NF29" s="188"/>
      <c r="NG29" s="188"/>
      <c r="NH29" s="188"/>
      <c r="NI29" s="188"/>
      <c r="NJ29" s="188"/>
      <c r="NK29" s="188"/>
      <c r="NL29" s="188"/>
      <c r="NM29" s="188"/>
      <c r="NN29" s="188"/>
      <c r="NO29" s="188"/>
      <c r="NP29" s="188"/>
      <c r="NQ29" s="188"/>
      <c r="NR29" s="188"/>
      <c r="NS29" s="188"/>
      <c r="NT29" s="188"/>
      <c r="NU29" s="188"/>
      <c r="NV29" s="188"/>
      <c r="NW29" s="188"/>
      <c r="NX29" s="188"/>
      <c r="NY29" s="188"/>
      <c r="NZ29" s="188"/>
      <c r="OA29" s="188"/>
      <c r="OB29" s="188"/>
      <c r="OC29" s="188"/>
      <c r="OD29" s="188"/>
      <c r="OE29" s="188"/>
      <c r="OF29" s="188"/>
      <c r="OG29" s="188"/>
      <c r="OH29" s="188"/>
      <c r="OI29" s="188"/>
      <c r="OJ29" s="188"/>
      <c r="OK29" s="188"/>
      <c r="OL29" s="188"/>
      <c r="OM29" s="188"/>
      <c r="ON29" s="188"/>
      <c r="OO29" s="188"/>
      <c r="OP29" s="188"/>
      <c r="OQ29" s="188"/>
      <c r="OR29" s="188"/>
      <c r="OS29" s="188"/>
      <c r="OT29" s="188"/>
      <c r="OU29" s="188"/>
      <c r="OV29" s="188"/>
      <c r="OW29" s="188"/>
      <c r="OX29" s="188"/>
      <c r="OY29" s="188"/>
      <c r="OZ29" s="188"/>
      <c r="PA29" s="188"/>
      <c r="PB29" s="188"/>
      <c r="PC29" s="188"/>
      <c r="PD29" s="188"/>
      <c r="PE29" s="188"/>
      <c r="PF29" s="188"/>
      <c r="PG29" s="188"/>
      <c r="PH29" s="188"/>
      <c r="PI29" s="188"/>
      <c r="PJ29" s="188"/>
      <c r="PK29" s="188"/>
      <c r="PL29" s="188"/>
      <c r="PM29" s="188"/>
      <c r="PN29" s="188"/>
      <c r="PO29" s="188"/>
      <c r="PP29" s="188"/>
      <c r="PQ29" s="188"/>
      <c r="PR29" s="188"/>
      <c r="PS29" s="188"/>
      <c r="PT29" s="188"/>
      <c r="PU29" s="188"/>
      <c r="PV29" s="188"/>
      <c r="PW29" s="188"/>
      <c r="PX29" s="188"/>
      <c r="PY29" s="188"/>
      <c r="PZ29" s="188"/>
      <c r="QA29" s="188"/>
      <c r="QB29" s="188"/>
      <c r="QC29" s="188"/>
      <c r="QD29" s="188"/>
      <c r="QE29" s="188"/>
      <c r="QF29" s="188"/>
      <c r="QG29" s="188"/>
      <c r="QH29" s="188"/>
      <c r="QI29" s="188"/>
      <c r="QJ29" s="188"/>
      <c r="QK29" s="188"/>
      <c r="QL29" s="188"/>
      <c r="QM29" s="188"/>
      <c r="QN29" s="188"/>
      <c r="QO29" s="188"/>
      <c r="QP29" s="188"/>
      <c r="QQ29" s="188"/>
      <c r="QR29" s="188"/>
      <c r="QS29" s="188"/>
      <c r="QT29" s="188"/>
      <c r="QU29" s="188"/>
      <c r="QV29" s="188"/>
      <c r="QW29" s="188"/>
      <c r="QX29" s="188"/>
      <c r="QY29" s="188"/>
      <c r="QZ29" s="188"/>
      <c r="RA29" s="188"/>
      <c r="RB29" s="188"/>
      <c r="RC29" s="188"/>
      <c r="RD29" s="188"/>
      <c r="RE29" s="188"/>
      <c r="RF29" s="188"/>
      <c r="RG29" s="188"/>
      <c r="RH29" s="188"/>
      <c r="RI29" s="188"/>
      <c r="RJ29" s="188"/>
      <c r="RK29" s="188"/>
      <c r="RL29" s="188"/>
      <c r="RM29" s="188"/>
      <c r="RN29" s="188"/>
      <c r="RO29" s="188"/>
      <c r="RP29" s="188"/>
      <c r="RQ29" s="188"/>
      <c r="RR29" s="188"/>
      <c r="RS29" s="188"/>
      <c r="RT29" s="188"/>
      <c r="RU29" s="188"/>
      <c r="RV29" s="188"/>
      <c r="RW29" s="188"/>
      <c r="RX29" s="188"/>
      <c r="RY29" s="188"/>
      <c r="RZ29" s="188"/>
      <c r="SA29" s="188"/>
      <c r="SB29" s="188"/>
      <c r="SC29" s="188"/>
      <c r="SD29" s="188"/>
      <c r="SE29" s="188"/>
      <c r="SF29" s="188"/>
      <c r="SG29" s="188"/>
      <c r="SH29" s="188"/>
      <c r="SI29" s="188"/>
      <c r="SJ29" s="188"/>
      <c r="SK29" s="188"/>
      <c r="SL29" s="188"/>
      <c r="SM29" s="188"/>
      <c r="SN29" s="188"/>
      <c r="SO29" s="188"/>
      <c r="SP29" s="188"/>
      <c r="SQ29" s="188"/>
      <c r="SR29" s="188"/>
      <c r="SS29" s="188"/>
      <c r="ST29" s="188"/>
      <c r="SU29" s="188"/>
      <c r="SV29" s="188"/>
      <c r="SW29" s="188"/>
      <c r="SX29" s="188"/>
      <c r="SY29" s="188"/>
      <c r="SZ29" s="188"/>
      <c r="TA29" s="188"/>
      <c r="TB29" s="188"/>
      <c r="TC29" s="188"/>
      <c r="TD29" s="188"/>
      <c r="TE29" s="188"/>
      <c r="TF29" s="188"/>
      <c r="TG29" s="188"/>
      <c r="TH29" s="188"/>
      <c r="TI29" s="188"/>
      <c r="TJ29" s="188"/>
      <c r="TK29" s="188"/>
      <c r="TL29" s="188"/>
      <c r="TM29" s="188"/>
      <c r="TN29" s="188"/>
      <c r="TO29" s="188"/>
      <c r="TP29" s="188"/>
      <c r="TQ29" s="188"/>
      <c r="TR29" s="188"/>
      <c r="TS29" s="188"/>
      <c r="TT29" s="188"/>
      <c r="TU29" s="188"/>
      <c r="TV29" s="188"/>
      <c r="TW29" s="188"/>
      <c r="TX29" s="188"/>
      <c r="TY29" s="188"/>
      <c r="TZ29" s="188"/>
      <c r="UA29" s="188"/>
      <c r="UB29" s="188"/>
      <c r="UC29" s="188"/>
      <c r="UD29" s="188"/>
      <c r="UE29" s="188"/>
      <c r="UF29" s="188"/>
      <c r="UG29" s="188"/>
      <c r="UH29" s="188"/>
      <c r="UI29" s="188"/>
      <c r="UJ29" s="188"/>
      <c r="UK29" s="188"/>
      <c r="UL29" s="188"/>
      <c r="UM29" s="188"/>
      <c r="UN29" s="188"/>
      <c r="UO29" s="188"/>
      <c r="UP29" s="188"/>
      <c r="UQ29" s="188"/>
      <c r="UR29" s="188"/>
      <c r="US29" s="188"/>
      <c r="UT29" s="188"/>
      <c r="UU29" s="188"/>
      <c r="UV29" s="188"/>
      <c r="UW29" s="188"/>
      <c r="UX29" s="188"/>
      <c r="UY29" s="188"/>
      <c r="UZ29" s="188"/>
      <c r="VA29" s="188"/>
      <c r="VB29" s="188"/>
      <c r="VC29" s="188"/>
      <c r="VD29" s="188"/>
      <c r="VE29" s="188"/>
      <c r="VF29" s="188"/>
      <c r="VG29" s="188"/>
      <c r="VH29" s="188"/>
      <c r="VI29" s="188"/>
      <c r="VJ29" s="188"/>
      <c r="VK29" s="188"/>
      <c r="VL29" s="188"/>
      <c r="VM29" s="188"/>
      <c r="VN29" s="188"/>
      <c r="VO29" s="188"/>
      <c r="VP29" s="188"/>
      <c r="VQ29" s="188"/>
      <c r="VR29" s="188"/>
      <c r="VS29" s="188"/>
      <c r="VT29" s="188"/>
      <c r="VU29" s="188"/>
      <c r="VV29" s="188"/>
      <c r="VW29" s="188"/>
      <c r="VX29" s="188"/>
      <c r="VY29" s="188"/>
      <c r="VZ29" s="188"/>
      <c r="WA29" s="188"/>
      <c r="WB29" s="188"/>
      <c r="WC29" s="188"/>
      <c r="WD29" s="188"/>
      <c r="WE29" s="188"/>
      <c r="WF29" s="188"/>
      <c r="WG29" s="188"/>
      <c r="WH29" s="188"/>
      <c r="WI29" s="188"/>
      <c r="WJ29" s="188"/>
      <c r="WK29" s="188"/>
      <c r="WL29" s="188"/>
      <c r="WM29" s="188"/>
      <c r="WN29" s="188"/>
      <c r="WO29" s="188"/>
      <c r="WP29" s="188"/>
      <c r="WQ29" s="188"/>
      <c r="WR29" s="188"/>
      <c r="WS29" s="188"/>
      <c r="WT29" s="188"/>
      <c r="WU29" s="188"/>
      <c r="WV29" s="188"/>
      <c r="WW29" s="188"/>
      <c r="WX29" s="188"/>
      <c r="WY29" s="188"/>
      <c r="WZ29" s="188"/>
      <c r="XA29" s="188"/>
      <c r="XB29" s="188"/>
      <c r="XC29" s="188"/>
      <c r="XD29" s="188"/>
      <c r="XE29" s="188"/>
      <c r="XF29" s="188"/>
      <c r="XG29" s="188"/>
      <c r="XH29" s="188"/>
      <c r="XI29" s="188"/>
      <c r="XJ29" s="188"/>
      <c r="XK29" s="188"/>
      <c r="XL29" s="188"/>
      <c r="XM29" s="188"/>
      <c r="XN29" s="188"/>
      <c r="XO29" s="188"/>
      <c r="XP29" s="188"/>
      <c r="XQ29" s="188"/>
      <c r="XR29" s="188"/>
      <c r="XS29" s="188"/>
      <c r="XT29" s="188"/>
      <c r="XU29" s="188"/>
      <c r="XV29" s="188"/>
      <c r="XW29" s="188"/>
      <c r="XX29" s="188"/>
      <c r="XY29" s="188"/>
      <c r="XZ29" s="188"/>
      <c r="YA29" s="188"/>
      <c r="YB29" s="188"/>
      <c r="YC29" s="188"/>
      <c r="YD29" s="188"/>
      <c r="YE29" s="188"/>
      <c r="YF29" s="188"/>
      <c r="YG29" s="188"/>
      <c r="YH29" s="188"/>
      <c r="YI29" s="188"/>
      <c r="YJ29" s="188"/>
      <c r="YK29" s="188"/>
      <c r="YL29" s="188"/>
      <c r="YM29" s="188"/>
      <c r="YN29" s="188"/>
      <c r="YO29" s="188"/>
      <c r="YP29" s="188"/>
      <c r="YQ29" s="188"/>
      <c r="YR29" s="188"/>
      <c r="YS29" s="188"/>
      <c r="YT29" s="188"/>
      <c r="YU29" s="188"/>
      <c r="YV29" s="188"/>
      <c r="YW29" s="188"/>
      <c r="YX29" s="188"/>
      <c r="YY29" s="188"/>
      <c r="YZ29" s="188"/>
      <c r="ZA29" s="188"/>
      <c r="ZB29" s="188"/>
      <c r="ZC29" s="188"/>
      <c r="ZD29" s="188"/>
      <c r="ZE29" s="188"/>
      <c r="ZF29" s="188"/>
      <c r="ZG29" s="188"/>
      <c r="ZH29" s="188"/>
      <c r="ZI29" s="188"/>
      <c r="ZJ29" s="188"/>
      <c r="ZK29" s="188"/>
      <c r="ZL29" s="188"/>
      <c r="ZM29" s="188"/>
      <c r="ZN29" s="188"/>
      <c r="ZO29" s="188"/>
      <c r="ZP29" s="188"/>
      <c r="ZQ29" s="188"/>
      <c r="ZR29" s="188"/>
      <c r="ZS29" s="188"/>
      <c r="ZT29" s="188"/>
      <c r="ZU29" s="188"/>
      <c r="ZV29" s="188"/>
      <c r="ZW29" s="188"/>
      <c r="ZX29" s="188"/>
      <c r="ZY29" s="188"/>
      <c r="ZZ29" s="188"/>
      <c r="AAA29" s="188"/>
      <c r="AAB29" s="188"/>
      <c r="AAC29" s="188"/>
      <c r="AAD29" s="188"/>
      <c r="AAE29" s="188"/>
      <c r="AAF29" s="188"/>
      <c r="AAG29" s="188"/>
      <c r="AAH29" s="188"/>
      <c r="AAI29" s="188"/>
      <c r="AAJ29" s="188"/>
      <c r="AAK29" s="188"/>
      <c r="AAL29" s="188"/>
      <c r="AAM29" s="188"/>
      <c r="AAN29" s="188"/>
      <c r="AAO29" s="188"/>
      <c r="AAP29" s="188"/>
      <c r="AAQ29" s="188"/>
      <c r="AAR29" s="188"/>
      <c r="AAS29" s="188"/>
      <c r="AAT29" s="188"/>
      <c r="AAU29" s="188"/>
      <c r="AAV29" s="188"/>
      <c r="AAW29" s="188"/>
      <c r="AAX29" s="188"/>
      <c r="AAY29" s="188"/>
      <c r="AAZ29" s="188"/>
      <c r="ABA29" s="188"/>
      <c r="ABB29" s="188"/>
      <c r="ABC29" s="188"/>
      <c r="ABD29" s="188"/>
      <c r="ABE29" s="188"/>
      <c r="ABF29" s="188"/>
      <c r="ABG29" s="188"/>
      <c r="ABH29" s="188"/>
      <c r="ABI29" s="188"/>
      <c r="ABJ29" s="188"/>
      <c r="ABK29" s="188"/>
      <c r="ABL29" s="188"/>
      <c r="ABM29" s="188"/>
      <c r="ABN29" s="188"/>
      <c r="ABO29" s="188"/>
      <c r="ABP29" s="188"/>
      <c r="ABQ29" s="188"/>
      <c r="ABR29" s="188"/>
      <c r="ABS29" s="188"/>
      <c r="ABT29" s="188"/>
      <c r="ABU29" s="188"/>
      <c r="ABV29" s="188"/>
      <c r="ABW29" s="188"/>
      <c r="ABX29" s="188"/>
      <c r="ABY29" s="188"/>
      <c r="ABZ29" s="188"/>
      <c r="ACA29" s="188"/>
      <c r="ACB29" s="188"/>
      <c r="ACC29" s="188"/>
      <c r="ACD29" s="188"/>
      <c r="ACE29" s="188"/>
      <c r="ACF29" s="188"/>
      <c r="ACG29" s="188"/>
      <c r="ACH29" s="188"/>
      <c r="ACI29" s="188"/>
      <c r="ACJ29" s="188"/>
      <c r="ACK29" s="188"/>
      <c r="ACL29" s="188"/>
      <c r="ACM29" s="188"/>
      <c r="ACN29" s="188"/>
      <c r="ACO29" s="188"/>
      <c r="ACP29" s="188"/>
      <c r="ACQ29" s="188"/>
      <c r="ACR29" s="188"/>
      <c r="ACS29" s="188"/>
      <c r="ACT29" s="188"/>
      <c r="ACU29" s="188"/>
      <c r="ACV29" s="188"/>
      <c r="ACW29" s="188"/>
      <c r="ACX29" s="188"/>
      <c r="ACY29" s="188"/>
      <c r="ACZ29" s="188"/>
      <c r="ADA29" s="188"/>
      <c r="ADB29" s="188"/>
      <c r="ADC29" s="188"/>
      <c r="ADD29" s="188"/>
      <c r="ADE29" s="188"/>
      <c r="ADF29" s="188"/>
      <c r="ADG29" s="188"/>
      <c r="ADH29" s="188"/>
      <c r="ADI29" s="188"/>
      <c r="ADJ29" s="188"/>
      <c r="ADK29" s="188"/>
      <c r="ADL29" s="188"/>
      <c r="ADM29" s="188"/>
      <c r="ADN29" s="188"/>
      <c r="ADO29" s="188"/>
      <c r="ADP29" s="188"/>
      <c r="ADQ29" s="188"/>
      <c r="ADR29" s="188"/>
      <c r="ADS29" s="188"/>
      <c r="ADT29" s="188"/>
      <c r="ADU29" s="188"/>
      <c r="ADV29" s="188"/>
      <c r="ADW29" s="188"/>
      <c r="ADX29" s="188"/>
      <c r="ADY29" s="188"/>
      <c r="ADZ29" s="188"/>
      <c r="AEA29" s="188"/>
      <c r="AEB29" s="188"/>
      <c r="AEC29" s="188"/>
      <c r="AED29" s="188"/>
      <c r="AEE29" s="188"/>
      <c r="AEF29" s="188"/>
      <c r="AEG29" s="188"/>
      <c r="AEH29" s="188"/>
      <c r="AEI29" s="188"/>
      <c r="AEJ29" s="188"/>
      <c r="AEK29" s="188"/>
      <c r="AEL29" s="188"/>
      <c r="AEM29" s="188"/>
      <c r="AEN29" s="188"/>
      <c r="AEO29" s="188"/>
      <c r="AEP29" s="188"/>
      <c r="AEQ29" s="188"/>
      <c r="AER29" s="188"/>
      <c r="AES29" s="188"/>
      <c r="AET29" s="188"/>
      <c r="AEU29" s="188"/>
      <c r="AEV29" s="188"/>
      <c r="AEW29" s="188"/>
      <c r="AEX29" s="188"/>
      <c r="AEY29" s="188"/>
      <c r="AEZ29" s="188"/>
      <c r="AFA29" s="188"/>
      <c r="AFB29" s="188"/>
      <c r="AFC29" s="188"/>
      <c r="AFD29" s="188"/>
      <c r="AFE29" s="188"/>
      <c r="AFF29" s="188"/>
      <c r="AFG29" s="188"/>
      <c r="AFH29" s="188"/>
      <c r="AFI29" s="188"/>
      <c r="AFJ29" s="188"/>
      <c r="AFK29" s="188"/>
      <c r="AFL29" s="188"/>
      <c r="AFM29" s="188"/>
      <c r="AFN29" s="188"/>
      <c r="AFO29" s="188"/>
      <c r="AFP29" s="188"/>
      <c r="AFQ29" s="188"/>
      <c r="AFR29" s="188"/>
      <c r="AFS29" s="188"/>
      <c r="AFT29" s="188"/>
      <c r="AFU29" s="188"/>
      <c r="AFV29" s="188"/>
      <c r="AFW29" s="188"/>
      <c r="AFX29" s="188"/>
      <c r="AFY29" s="188"/>
      <c r="AFZ29" s="188"/>
      <c r="AGA29" s="188"/>
      <c r="AGB29" s="188"/>
      <c r="AGC29" s="188"/>
      <c r="AGD29" s="188"/>
      <c r="AGE29" s="188"/>
      <c r="AGF29" s="188"/>
      <c r="AGG29" s="188"/>
      <c r="AGH29" s="188"/>
      <c r="AGI29" s="188"/>
      <c r="AGJ29" s="188"/>
      <c r="AGK29" s="188"/>
      <c r="AGL29" s="188"/>
      <c r="AGM29" s="188"/>
      <c r="AGN29" s="188"/>
      <c r="AGO29" s="188"/>
      <c r="AGP29" s="188"/>
      <c r="AGQ29" s="188"/>
      <c r="AGR29" s="188"/>
      <c r="AGS29" s="188"/>
      <c r="AGT29" s="188"/>
      <c r="AGU29" s="188"/>
      <c r="AGV29" s="188"/>
      <c r="AGW29" s="188"/>
      <c r="AGX29" s="188"/>
      <c r="AGY29" s="188"/>
      <c r="AGZ29" s="188"/>
      <c r="AHA29" s="188"/>
      <c r="AHB29" s="188"/>
      <c r="AHC29" s="188"/>
      <c r="AHD29" s="188"/>
      <c r="AHE29" s="188"/>
      <c r="AHF29" s="188"/>
      <c r="AHG29" s="188"/>
      <c r="AHH29" s="188"/>
      <c r="AHI29" s="188"/>
      <c r="AHJ29" s="188"/>
      <c r="AHK29" s="188"/>
      <c r="AHL29" s="188"/>
      <c r="AHM29" s="188"/>
      <c r="AHN29" s="188"/>
      <c r="AHO29" s="188"/>
      <c r="AHP29" s="188"/>
      <c r="AHQ29" s="188"/>
      <c r="AHR29" s="188"/>
      <c r="AHS29" s="188"/>
      <c r="AHT29" s="188"/>
      <c r="AHU29" s="188"/>
      <c r="AHV29" s="188"/>
      <c r="AHW29" s="188"/>
      <c r="AHX29" s="188"/>
      <c r="AHY29" s="188"/>
      <c r="AHZ29" s="188"/>
      <c r="AIA29" s="188"/>
      <c r="AIB29" s="188"/>
      <c r="AIC29" s="188"/>
      <c r="AID29" s="188"/>
      <c r="AIE29" s="188"/>
      <c r="AIF29" s="188"/>
      <c r="AIG29" s="188"/>
      <c r="AIH29" s="188"/>
      <c r="AII29" s="188"/>
      <c r="AIJ29" s="188"/>
      <c r="AIK29" s="188"/>
      <c r="AIL29" s="188"/>
      <c r="AIM29" s="188"/>
      <c r="AIN29" s="188"/>
      <c r="AIO29" s="188"/>
      <c r="AIP29" s="188"/>
      <c r="AIQ29" s="188"/>
      <c r="AIR29" s="188"/>
      <c r="AIS29" s="188"/>
      <c r="AIT29" s="188"/>
      <c r="AIU29" s="188"/>
      <c r="AIV29" s="188"/>
      <c r="AIW29" s="188"/>
      <c r="AIX29" s="188"/>
      <c r="AIY29" s="188"/>
      <c r="AIZ29" s="188"/>
      <c r="AJA29" s="188"/>
      <c r="AJB29" s="188"/>
      <c r="AJC29" s="188"/>
      <c r="AJD29" s="188"/>
      <c r="AJE29" s="188"/>
      <c r="AJF29" s="188"/>
      <c r="AJG29" s="188"/>
      <c r="AJH29" s="188"/>
      <c r="AJI29" s="188"/>
      <c r="AJJ29" s="188"/>
      <c r="AJK29" s="188"/>
      <c r="AJL29" s="188"/>
      <c r="AJM29" s="188"/>
      <c r="AJN29" s="188"/>
      <c r="AJO29" s="188"/>
      <c r="AJP29" s="188"/>
      <c r="AJQ29" s="188"/>
      <c r="AJR29" s="188"/>
      <c r="AJS29" s="188"/>
      <c r="AJT29" s="188"/>
      <c r="AJU29" s="188"/>
      <c r="AJV29" s="188"/>
      <c r="AJW29" s="188"/>
      <c r="AJX29" s="188"/>
      <c r="AJY29" s="188"/>
      <c r="AJZ29" s="188"/>
      <c r="AKA29" s="188"/>
      <c r="AKB29" s="188"/>
      <c r="AKC29" s="188"/>
      <c r="AKD29" s="188"/>
      <c r="AKE29" s="188"/>
      <c r="AKF29" s="188"/>
      <c r="AKG29" s="188"/>
      <c r="AKH29" s="188"/>
      <c r="AKI29" s="188"/>
      <c r="AKJ29" s="188"/>
      <c r="AKK29" s="188"/>
      <c r="AKL29" s="188"/>
      <c r="AKM29" s="188"/>
      <c r="AKN29" s="188"/>
      <c r="AKO29" s="188"/>
      <c r="AKP29" s="188"/>
      <c r="AKQ29" s="188"/>
      <c r="AKR29" s="188"/>
      <c r="AKS29" s="188"/>
      <c r="AKT29" s="188"/>
      <c r="AKU29" s="188"/>
      <c r="AKV29" s="188"/>
      <c r="AKW29" s="188"/>
      <c r="AKX29" s="188"/>
      <c r="AKY29" s="188"/>
      <c r="AKZ29" s="188"/>
      <c r="ALA29" s="188"/>
      <c r="ALB29" s="188"/>
      <c r="ALC29" s="188"/>
      <c r="ALD29" s="188"/>
      <c r="ALE29" s="188"/>
      <c r="ALF29" s="188"/>
      <c r="ALG29" s="188"/>
      <c r="ALH29" s="188"/>
      <c r="ALI29" s="188"/>
      <c r="ALJ29" s="188"/>
      <c r="ALK29" s="188"/>
      <c r="ALL29" s="188"/>
      <c r="ALM29" s="188"/>
      <c r="ALN29" s="188"/>
      <c r="ALO29" s="188"/>
      <c r="ALP29" s="188"/>
      <c r="ALQ29" s="188"/>
      <c r="ALR29" s="188"/>
      <c r="ALS29" s="188"/>
      <c r="ALT29" s="188"/>
      <c r="ALU29" s="188"/>
      <c r="ALV29" s="188"/>
      <c r="ALW29" s="188"/>
      <c r="ALX29" s="188"/>
      <c r="ALY29" s="188"/>
      <c r="ALZ29" s="188"/>
      <c r="AMA29" s="188"/>
      <c r="AMB29" s="188"/>
      <c r="AMC29" s="188"/>
      <c r="AMD29" s="188"/>
      <c r="AME29" s="188"/>
      <c r="AMF29" s="188"/>
      <c r="AMG29" s="188"/>
      <c r="AMH29" s="188"/>
      <c r="AMI29" s="188"/>
      <c r="AMJ29" s="188"/>
      <c r="AMK29" s="188"/>
      <c r="AML29" s="188"/>
      <c r="AMM29" s="188"/>
      <c r="AMN29" s="188"/>
      <c r="AMO29" s="188"/>
      <c r="AMP29" s="188"/>
      <c r="AMQ29" s="188"/>
      <c r="AMR29" s="188"/>
      <c r="AMS29" s="188"/>
      <c r="AMT29" s="188"/>
      <c r="AMU29" s="188"/>
      <c r="AMV29" s="188"/>
      <c r="AMW29" s="188"/>
      <c r="AMX29" s="188"/>
      <c r="AMY29" s="188"/>
      <c r="AMZ29" s="188"/>
      <c r="ANA29" s="188"/>
      <c r="ANB29" s="188"/>
      <c r="ANC29" s="188"/>
      <c r="AND29" s="188"/>
      <c r="ANE29" s="188"/>
      <c r="ANF29" s="188"/>
      <c r="ANG29" s="188"/>
      <c r="ANH29" s="188"/>
      <c r="ANI29" s="188"/>
      <c r="ANJ29" s="188"/>
      <c r="ANK29" s="188"/>
      <c r="ANL29" s="188"/>
      <c r="ANM29" s="188"/>
      <c r="ANN29" s="188"/>
      <c r="ANO29" s="188"/>
      <c r="ANP29" s="188"/>
      <c r="ANQ29" s="188"/>
      <c r="ANR29" s="188"/>
      <c r="ANS29" s="188"/>
      <c r="ANT29" s="188"/>
      <c r="ANU29" s="188"/>
      <c r="ANV29" s="188"/>
      <c r="ANW29" s="188"/>
      <c r="ANX29" s="188"/>
      <c r="ANY29" s="188"/>
      <c r="ANZ29" s="188"/>
      <c r="AOA29" s="188"/>
      <c r="AOB29" s="188"/>
      <c r="AOC29" s="188"/>
      <c r="AOD29" s="188"/>
      <c r="AOE29" s="188"/>
      <c r="AOF29" s="188"/>
      <c r="AOG29" s="188"/>
      <c r="AOH29" s="188"/>
      <c r="AOI29" s="188"/>
      <c r="AOJ29" s="188"/>
      <c r="AOK29" s="188"/>
      <c r="AOL29" s="188"/>
      <c r="AOM29" s="188"/>
      <c r="AON29" s="188"/>
      <c r="AOO29" s="188"/>
      <c r="AOP29" s="188"/>
      <c r="AOQ29" s="188"/>
      <c r="AOR29" s="188"/>
      <c r="AOS29" s="188"/>
      <c r="AOT29" s="188"/>
      <c r="AOU29" s="188"/>
      <c r="AOV29" s="188"/>
      <c r="AOW29" s="188"/>
      <c r="AOX29" s="188"/>
      <c r="AOY29" s="188"/>
      <c r="AOZ29" s="188"/>
      <c r="APA29" s="188"/>
      <c r="APB29" s="188"/>
      <c r="APC29" s="188"/>
      <c r="APD29" s="188"/>
      <c r="APE29" s="188"/>
      <c r="APF29" s="188"/>
      <c r="APG29" s="188"/>
      <c r="APH29" s="188"/>
      <c r="API29" s="188"/>
      <c r="APJ29" s="188"/>
      <c r="APK29" s="188"/>
      <c r="APL29" s="188"/>
      <c r="APM29" s="188"/>
      <c r="APN29" s="188"/>
      <c r="APO29" s="188"/>
      <c r="APP29" s="188"/>
      <c r="APQ29" s="188"/>
      <c r="APR29" s="188"/>
      <c r="APS29" s="188"/>
      <c r="APT29" s="188"/>
      <c r="APU29" s="188"/>
      <c r="APV29" s="188"/>
      <c r="APW29" s="188"/>
      <c r="APX29" s="188"/>
      <c r="APY29" s="188"/>
      <c r="APZ29" s="188"/>
      <c r="AQA29" s="188"/>
      <c r="AQB29" s="188"/>
      <c r="AQC29" s="188"/>
      <c r="AQD29" s="188"/>
      <c r="AQE29" s="188"/>
      <c r="AQF29" s="188"/>
      <c r="AQG29" s="188"/>
      <c r="AQH29" s="188"/>
      <c r="AQI29" s="188"/>
      <c r="AQJ29" s="188"/>
      <c r="AQK29" s="188"/>
      <c r="AQL29" s="188"/>
      <c r="AQM29" s="188"/>
      <c r="AQN29" s="188"/>
      <c r="AQO29" s="188"/>
      <c r="AQP29" s="188"/>
      <c r="AQQ29" s="188"/>
      <c r="AQR29" s="188"/>
      <c r="AQS29" s="188"/>
      <c r="AQT29" s="188"/>
      <c r="AQU29" s="188"/>
      <c r="AQV29" s="188"/>
      <c r="AQW29" s="188"/>
      <c r="AQX29" s="188"/>
      <c r="AQY29" s="188"/>
      <c r="AQZ29" s="188"/>
      <c r="ARA29" s="188"/>
      <c r="ARB29" s="188"/>
      <c r="ARC29" s="188"/>
      <c r="ARD29" s="188"/>
      <c r="ARE29" s="188"/>
      <c r="ARF29" s="188"/>
      <c r="ARG29" s="188"/>
      <c r="ARH29" s="188"/>
      <c r="ARI29" s="188"/>
      <c r="ARJ29" s="188"/>
      <c r="ARK29" s="188"/>
      <c r="ARL29" s="188"/>
      <c r="ARM29" s="188"/>
      <c r="ARN29" s="188"/>
      <c r="ARO29" s="188"/>
      <c r="ARP29" s="188"/>
      <c r="ARQ29" s="188"/>
      <c r="ARR29" s="188"/>
      <c r="ARS29" s="188"/>
      <c r="ART29" s="188"/>
      <c r="ARU29" s="188"/>
      <c r="ARV29" s="188"/>
      <c r="ARW29" s="188"/>
      <c r="ARX29" s="188"/>
      <c r="ARY29" s="188"/>
      <c r="ARZ29" s="188"/>
      <c r="ASA29" s="188"/>
      <c r="ASB29" s="188"/>
      <c r="ASC29" s="188"/>
      <c r="ASD29" s="188"/>
      <c r="ASE29" s="188"/>
      <c r="ASF29" s="188"/>
      <c r="ASG29" s="188"/>
      <c r="ASH29" s="188"/>
      <c r="ASI29" s="188"/>
      <c r="ASJ29" s="188"/>
      <c r="ASK29" s="188"/>
      <c r="ASL29" s="188"/>
      <c r="ASM29" s="188"/>
      <c r="ASN29" s="188"/>
      <c r="ASO29" s="188"/>
      <c r="ASP29" s="188"/>
      <c r="ASQ29" s="188"/>
      <c r="ASR29" s="188"/>
      <c r="ASS29" s="188"/>
      <c r="AST29" s="188"/>
      <c r="ASU29" s="188"/>
      <c r="ASV29" s="188"/>
      <c r="ASW29" s="188"/>
      <c r="ASX29" s="188"/>
      <c r="ASY29" s="188"/>
      <c r="ASZ29" s="188"/>
      <c r="ATA29" s="188"/>
      <c r="ATB29" s="188"/>
      <c r="ATC29" s="188"/>
      <c r="ATD29" s="188"/>
      <c r="ATE29" s="188"/>
      <c r="ATF29" s="188"/>
      <c r="ATG29" s="188"/>
      <c r="ATH29" s="188"/>
      <c r="ATI29" s="188"/>
      <c r="ATJ29" s="188"/>
      <c r="ATK29" s="188"/>
      <c r="ATL29" s="188"/>
      <c r="ATM29" s="188"/>
      <c r="ATN29" s="188"/>
      <c r="ATO29" s="188"/>
      <c r="ATP29" s="188"/>
      <c r="ATQ29" s="188"/>
      <c r="ATR29" s="188"/>
      <c r="ATS29" s="188"/>
      <c r="ATT29" s="188"/>
      <c r="ATU29" s="188"/>
      <c r="ATV29" s="188"/>
      <c r="ATW29" s="188"/>
      <c r="ATX29" s="188"/>
      <c r="ATY29" s="188"/>
      <c r="ATZ29" s="188"/>
      <c r="AUA29" s="188"/>
      <c r="AUB29" s="188"/>
      <c r="AUC29" s="188"/>
      <c r="AUD29" s="188"/>
      <c r="AUE29" s="188"/>
      <c r="AUF29" s="188"/>
      <c r="AUG29" s="188"/>
      <c r="AUH29" s="188"/>
      <c r="AUI29" s="188"/>
      <c r="AUJ29" s="188"/>
      <c r="AUK29" s="188"/>
      <c r="AUL29" s="188"/>
      <c r="AUM29" s="188"/>
      <c r="AUN29" s="188"/>
      <c r="AUO29" s="188"/>
      <c r="AUP29" s="188"/>
      <c r="AUQ29" s="188"/>
      <c r="AUR29" s="188"/>
      <c r="AUS29" s="188"/>
      <c r="AUT29" s="188"/>
      <c r="AUU29" s="188"/>
      <c r="AUV29" s="188"/>
      <c r="AUW29" s="188"/>
      <c r="AUX29" s="188"/>
      <c r="AUY29" s="188"/>
      <c r="AUZ29" s="188"/>
      <c r="AVA29" s="188"/>
      <c r="AVB29" s="188"/>
      <c r="AVC29" s="188"/>
      <c r="AVD29" s="188"/>
      <c r="AVE29" s="188"/>
      <c r="AVF29" s="188"/>
      <c r="AVG29" s="188"/>
      <c r="AVH29" s="188"/>
      <c r="AVI29" s="188"/>
      <c r="AVJ29" s="188"/>
      <c r="AVK29" s="188"/>
      <c r="AVL29" s="188"/>
      <c r="AVM29" s="188"/>
      <c r="AVN29" s="188"/>
      <c r="AVO29" s="188"/>
      <c r="AVP29" s="188"/>
      <c r="AVQ29" s="188"/>
      <c r="AVR29" s="188"/>
      <c r="AVS29" s="188"/>
      <c r="AVT29" s="188"/>
      <c r="AVU29" s="188"/>
      <c r="AVV29" s="188"/>
      <c r="AVW29" s="188"/>
      <c r="AVX29" s="188"/>
      <c r="AVY29" s="188"/>
      <c r="AVZ29" s="188"/>
      <c r="AWA29" s="188"/>
      <c r="AWB29" s="188"/>
      <c r="AWC29" s="188"/>
      <c r="AWD29" s="188"/>
      <c r="AWE29" s="188"/>
      <c r="AWF29" s="188"/>
      <c r="AWG29" s="188"/>
      <c r="AWH29" s="188"/>
      <c r="AWI29" s="188"/>
      <c r="AWJ29" s="188"/>
      <c r="AWK29" s="188"/>
      <c r="AWL29" s="188"/>
      <c r="AWM29" s="188"/>
      <c r="AWN29" s="188"/>
      <c r="AWO29" s="188"/>
      <c r="AWP29" s="188"/>
      <c r="AWQ29" s="188"/>
      <c r="AWR29" s="188"/>
      <c r="AWS29" s="188"/>
      <c r="AWT29" s="188"/>
      <c r="AWU29" s="188"/>
      <c r="AWV29" s="188"/>
      <c r="AWW29" s="188"/>
      <c r="AWX29" s="188"/>
      <c r="AWY29" s="188"/>
      <c r="AWZ29" s="188"/>
      <c r="AXA29" s="188"/>
      <c r="AXB29" s="188"/>
      <c r="AXC29" s="188"/>
      <c r="AXD29" s="188"/>
      <c r="AXE29" s="188"/>
      <c r="AXF29" s="188"/>
      <c r="AXG29" s="188"/>
      <c r="AXH29" s="188"/>
      <c r="AXI29" s="188"/>
      <c r="AXJ29" s="188"/>
      <c r="AXK29" s="188"/>
      <c r="AXL29" s="188"/>
      <c r="AXM29" s="188"/>
      <c r="AXN29" s="188"/>
      <c r="AXO29" s="188"/>
      <c r="AXP29" s="188"/>
      <c r="AXQ29" s="188"/>
      <c r="AXR29" s="188"/>
      <c r="AXS29" s="188"/>
      <c r="AXT29" s="188"/>
      <c r="AXU29" s="188"/>
      <c r="AXV29" s="188"/>
      <c r="AXW29" s="188"/>
      <c r="AXX29" s="188"/>
      <c r="AXY29" s="188"/>
      <c r="AXZ29" s="188"/>
      <c r="AYA29" s="188"/>
      <c r="AYB29" s="188"/>
      <c r="AYC29" s="188"/>
      <c r="AYD29" s="188"/>
      <c r="AYE29" s="188"/>
      <c r="AYF29" s="188"/>
      <c r="AYG29" s="188"/>
      <c r="AYH29" s="188"/>
      <c r="AYI29" s="188"/>
      <c r="AYJ29" s="188"/>
      <c r="AYK29" s="188"/>
      <c r="AYL29" s="188"/>
      <c r="AYM29" s="188"/>
      <c r="AYN29" s="188"/>
      <c r="AYO29" s="188"/>
      <c r="AYP29" s="188"/>
      <c r="AYQ29" s="188"/>
      <c r="AYR29" s="188"/>
      <c r="AYS29" s="188"/>
      <c r="AYT29" s="188"/>
      <c r="AYU29" s="188"/>
      <c r="AYV29" s="188"/>
      <c r="AYW29" s="188"/>
      <c r="AYX29" s="188"/>
      <c r="AYY29" s="188"/>
      <c r="AYZ29" s="188"/>
      <c r="AZA29" s="188"/>
      <c r="AZB29" s="188"/>
      <c r="AZC29" s="188"/>
      <c r="AZD29" s="188"/>
      <c r="AZE29" s="188"/>
      <c r="AZF29" s="188"/>
      <c r="AZG29" s="188"/>
      <c r="AZH29" s="188"/>
      <c r="AZI29" s="188"/>
      <c r="AZJ29" s="188"/>
      <c r="AZK29" s="188"/>
      <c r="AZL29" s="188"/>
      <c r="AZM29" s="188"/>
      <c r="AZN29" s="188"/>
      <c r="AZO29" s="188"/>
      <c r="AZP29" s="188"/>
      <c r="AZQ29" s="188"/>
      <c r="AZR29" s="188"/>
      <c r="AZS29" s="188"/>
      <c r="AZT29" s="188"/>
      <c r="AZU29" s="188"/>
      <c r="AZV29" s="188"/>
      <c r="AZW29" s="188"/>
      <c r="AZX29" s="188"/>
      <c r="AZY29" s="188"/>
      <c r="AZZ29" s="188"/>
      <c r="BAA29" s="188"/>
      <c r="BAB29" s="188"/>
      <c r="BAC29" s="188"/>
      <c r="BAD29" s="188"/>
      <c r="BAE29" s="188"/>
      <c r="BAF29" s="188"/>
      <c r="BAG29" s="188"/>
      <c r="BAH29" s="188"/>
      <c r="BAI29" s="188"/>
      <c r="BAJ29" s="188"/>
      <c r="BAK29" s="188"/>
      <c r="BAL29" s="188"/>
      <c r="BAM29" s="188"/>
      <c r="BAN29" s="188"/>
      <c r="BAO29" s="188"/>
      <c r="BAP29" s="188"/>
      <c r="BAQ29" s="188"/>
      <c r="BAR29" s="188"/>
      <c r="BAS29" s="188"/>
      <c r="BAT29" s="188"/>
      <c r="BAU29" s="188"/>
      <c r="BAV29" s="188"/>
      <c r="BAW29" s="188"/>
      <c r="BAX29" s="188"/>
      <c r="BAY29" s="188"/>
      <c r="BAZ29" s="188"/>
      <c r="BBA29" s="188"/>
      <c r="BBB29" s="188"/>
      <c r="BBC29" s="188"/>
      <c r="BBD29" s="188"/>
      <c r="BBE29" s="188"/>
      <c r="BBF29" s="188"/>
      <c r="BBG29" s="188"/>
      <c r="BBH29" s="188"/>
      <c r="BBI29" s="188"/>
      <c r="BBJ29" s="188"/>
      <c r="BBK29" s="188"/>
      <c r="BBL29" s="188"/>
      <c r="BBM29" s="188"/>
      <c r="BBN29" s="188"/>
      <c r="BBO29" s="188"/>
      <c r="BBP29" s="188"/>
      <c r="BBQ29" s="188"/>
      <c r="BBR29" s="188"/>
      <c r="BBS29" s="188"/>
      <c r="BBT29" s="188"/>
      <c r="BBU29" s="188"/>
      <c r="BBV29" s="188"/>
      <c r="BBW29" s="188"/>
      <c r="BBX29" s="188"/>
      <c r="BBY29" s="188"/>
      <c r="BBZ29" s="188"/>
      <c r="BCA29" s="188"/>
      <c r="BCB29" s="188"/>
      <c r="BCC29" s="188"/>
      <c r="BCD29" s="188"/>
      <c r="BCE29" s="188"/>
      <c r="BCF29" s="188"/>
      <c r="BCG29" s="188"/>
      <c r="BCH29" s="188"/>
      <c r="BCI29" s="188"/>
      <c r="BCJ29" s="188"/>
      <c r="BCK29" s="188"/>
      <c r="BCL29" s="188"/>
      <c r="BCM29" s="188"/>
      <c r="BCN29" s="188"/>
      <c r="BCO29" s="188"/>
      <c r="BCP29" s="188"/>
      <c r="BCQ29" s="188"/>
      <c r="BCR29" s="188"/>
      <c r="BCS29" s="188"/>
      <c r="BCT29" s="188"/>
      <c r="BCU29" s="188"/>
      <c r="BCV29" s="188"/>
      <c r="BCW29" s="188"/>
      <c r="BCX29" s="188"/>
      <c r="BCY29" s="188"/>
      <c r="BCZ29" s="188"/>
      <c r="BDA29" s="188"/>
      <c r="BDB29" s="188"/>
      <c r="BDC29" s="188"/>
      <c r="BDD29" s="188"/>
      <c r="BDE29" s="188"/>
      <c r="BDF29" s="188"/>
      <c r="BDG29" s="188"/>
      <c r="BDH29" s="188"/>
      <c r="BDI29" s="188"/>
      <c r="BDJ29" s="188"/>
      <c r="BDK29" s="188"/>
      <c r="BDL29" s="188"/>
      <c r="BDM29" s="188"/>
      <c r="BDN29" s="188"/>
      <c r="BDO29" s="188"/>
      <c r="BDP29" s="188"/>
      <c r="BDQ29" s="188"/>
      <c r="BDR29" s="188"/>
      <c r="BDS29" s="188"/>
      <c r="BDT29" s="188"/>
      <c r="BDU29" s="188"/>
      <c r="BDV29" s="188"/>
      <c r="BDW29" s="188"/>
      <c r="BDX29" s="188"/>
      <c r="BDY29" s="188"/>
      <c r="BDZ29" s="188"/>
      <c r="BEA29" s="188"/>
      <c r="BEB29" s="188"/>
      <c r="BEC29" s="188"/>
      <c r="BED29" s="188"/>
      <c r="BEE29" s="188"/>
      <c r="BEF29" s="188"/>
      <c r="BEG29" s="188"/>
      <c r="BEH29" s="188"/>
      <c r="BEI29" s="188"/>
      <c r="BEJ29" s="188"/>
      <c r="BEK29" s="188"/>
      <c r="BEL29" s="188"/>
      <c r="BEM29" s="188"/>
      <c r="BEN29" s="188"/>
      <c r="BEO29" s="188"/>
      <c r="BEP29" s="188"/>
      <c r="BEQ29" s="188"/>
      <c r="BER29" s="188"/>
      <c r="BES29" s="188"/>
      <c r="BET29" s="188"/>
      <c r="BEU29" s="188"/>
      <c r="BEV29" s="188"/>
      <c r="BEW29" s="188"/>
      <c r="BEX29" s="188"/>
      <c r="BEY29" s="188"/>
      <c r="BEZ29" s="188"/>
      <c r="BFA29" s="188"/>
      <c r="BFB29" s="188"/>
      <c r="BFC29" s="188"/>
      <c r="BFD29" s="188"/>
      <c r="BFE29" s="188"/>
      <c r="BFF29" s="188"/>
      <c r="BFG29" s="188"/>
      <c r="BFH29" s="188"/>
      <c r="BFI29" s="188"/>
      <c r="BFJ29" s="188"/>
      <c r="BFK29" s="188"/>
      <c r="BFL29" s="188"/>
      <c r="BFM29" s="188"/>
      <c r="BFN29" s="188"/>
      <c r="BFO29" s="188"/>
      <c r="BFP29" s="188"/>
      <c r="BFQ29" s="188"/>
      <c r="BFR29" s="188"/>
      <c r="BFS29" s="188"/>
      <c r="BFT29" s="188"/>
      <c r="BFU29" s="188"/>
      <c r="BFV29" s="188"/>
      <c r="BFW29" s="188"/>
      <c r="BFX29" s="188"/>
      <c r="BFY29" s="188"/>
      <c r="BFZ29" s="188"/>
      <c r="BGA29" s="188"/>
      <c r="BGB29" s="188"/>
      <c r="BGC29" s="188"/>
      <c r="BGD29" s="188"/>
      <c r="BGE29" s="188"/>
      <c r="BGF29" s="188"/>
      <c r="BGG29" s="188"/>
      <c r="BGH29" s="188"/>
      <c r="BGI29" s="188"/>
      <c r="BGJ29" s="188"/>
      <c r="BGK29" s="188"/>
      <c r="BGL29" s="188"/>
      <c r="BGM29" s="188"/>
      <c r="BGN29" s="188"/>
      <c r="BGO29" s="188"/>
      <c r="BGP29" s="188"/>
      <c r="BGQ29" s="188"/>
      <c r="BGR29" s="188"/>
      <c r="BGS29" s="188"/>
      <c r="BGT29" s="188"/>
      <c r="BGU29" s="188"/>
      <c r="BGV29" s="188"/>
      <c r="BGW29" s="188"/>
      <c r="BGX29" s="188"/>
      <c r="BGY29" s="188"/>
      <c r="BGZ29" s="188"/>
      <c r="BHA29" s="188"/>
      <c r="BHB29" s="188"/>
      <c r="BHC29" s="188"/>
      <c r="BHD29" s="188"/>
      <c r="BHE29" s="188"/>
      <c r="BHF29" s="188"/>
      <c r="BHG29" s="188"/>
      <c r="BHH29" s="188"/>
      <c r="BHI29" s="188"/>
      <c r="BHJ29" s="188"/>
      <c r="BHK29" s="188"/>
      <c r="BHL29" s="188"/>
      <c r="BHM29" s="188"/>
      <c r="BHN29" s="188"/>
      <c r="BHO29" s="188"/>
      <c r="BHP29" s="188"/>
      <c r="BHQ29" s="188"/>
      <c r="BHR29" s="188"/>
      <c r="BHS29" s="188"/>
      <c r="BHT29" s="188"/>
      <c r="BHU29" s="188"/>
      <c r="BHV29" s="188"/>
      <c r="BHW29" s="188"/>
      <c r="BHX29" s="188"/>
      <c r="BHY29" s="188"/>
      <c r="BHZ29" s="188"/>
      <c r="BIA29" s="188"/>
      <c r="BIB29" s="188"/>
      <c r="BIC29" s="188"/>
      <c r="BID29" s="188"/>
      <c r="BIE29" s="188"/>
      <c r="BIF29" s="188"/>
      <c r="BIG29" s="188"/>
      <c r="BIH29" s="188"/>
      <c r="BII29" s="188"/>
      <c r="BIJ29" s="188"/>
      <c r="BIK29" s="188"/>
      <c r="BIL29" s="188"/>
      <c r="BIM29" s="188"/>
      <c r="BIN29" s="188"/>
      <c r="BIO29" s="188"/>
      <c r="BIP29" s="188"/>
      <c r="BIQ29" s="188"/>
      <c r="BIR29" s="188"/>
      <c r="BIS29" s="188"/>
      <c r="BIT29" s="188"/>
      <c r="BIU29" s="188"/>
      <c r="BIV29" s="188"/>
      <c r="BIW29" s="188"/>
      <c r="BIX29" s="188"/>
      <c r="BIY29" s="188"/>
      <c r="BIZ29" s="188"/>
      <c r="BJA29" s="188"/>
      <c r="BJB29" s="188"/>
      <c r="BJC29" s="188"/>
      <c r="BJD29" s="188"/>
      <c r="BJE29" s="188"/>
      <c r="BJF29" s="188"/>
      <c r="BJG29" s="188"/>
      <c r="BJH29" s="188"/>
      <c r="BJI29" s="188"/>
      <c r="BJJ29" s="188"/>
      <c r="BJK29" s="188"/>
      <c r="BJL29" s="188"/>
      <c r="BJM29" s="188"/>
      <c r="BJN29" s="188"/>
      <c r="BJO29" s="188"/>
      <c r="BJP29" s="188"/>
      <c r="BJQ29" s="188"/>
      <c r="BJR29" s="188"/>
      <c r="BJS29" s="188"/>
      <c r="BJT29" s="188"/>
      <c r="BJU29" s="188"/>
      <c r="BJV29" s="188"/>
      <c r="BJW29" s="188"/>
      <c r="BJX29" s="188"/>
      <c r="BJY29" s="188"/>
      <c r="BJZ29" s="188"/>
      <c r="BKA29" s="188"/>
      <c r="BKB29" s="188"/>
      <c r="BKC29" s="188"/>
      <c r="BKD29" s="188"/>
      <c r="BKE29" s="188"/>
      <c r="BKF29" s="188"/>
      <c r="BKG29" s="188"/>
      <c r="BKH29" s="188"/>
      <c r="BKI29" s="188"/>
      <c r="BKJ29" s="188"/>
      <c r="BKK29" s="188"/>
      <c r="BKL29" s="188"/>
      <c r="BKM29" s="188"/>
      <c r="BKN29" s="188"/>
      <c r="BKO29" s="188"/>
      <c r="BKP29" s="188"/>
      <c r="BKQ29" s="188"/>
      <c r="BKR29" s="188"/>
      <c r="BKS29" s="188"/>
      <c r="BKT29" s="188"/>
      <c r="BKU29" s="188"/>
      <c r="BKV29" s="188"/>
      <c r="BKW29" s="188"/>
      <c r="BKX29" s="188"/>
      <c r="BKY29" s="188"/>
      <c r="BKZ29" s="188"/>
      <c r="BLA29" s="188"/>
      <c r="BLB29" s="188"/>
      <c r="BLC29" s="188"/>
      <c r="BLD29" s="188"/>
      <c r="BLE29" s="188"/>
      <c r="BLF29" s="188"/>
      <c r="BLG29" s="188"/>
      <c r="BLH29" s="188"/>
      <c r="BLI29" s="188"/>
      <c r="BLJ29" s="188"/>
      <c r="BLK29" s="188"/>
      <c r="BLL29" s="188"/>
      <c r="BLM29" s="188"/>
      <c r="BLN29" s="188"/>
      <c r="BLO29" s="188"/>
      <c r="BLP29" s="188"/>
      <c r="BLQ29" s="188"/>
      <c r="BLR29" s="188"/>
      <c r="BLS29" s="188"/>
      <c r="BLT29" s="188"/>
      <c r="BLU29" s="188"/>
      <c r="BLV29" s="188"/>
      <c r="BLW29" s="188"/>
      <c r="BLX29" s="188"/>
      <c r="BLY29" s="188"/>
      <c r="BLZ29" s="188"/>
      <c r="BMA29" s="188"/>
      <c r="BMB29" s="188"/>
      <c r="BMC29" s="188"/>
      <c r="BMD29" s="188"/>
      <c r="BME29" s="188"/>
      <c r="BMF29" s="188"/>
      <c r="BMG29" s="188"/>
      <c r="BMH29" s="188"/>
      <c r="BMI29" s="188"/>
      <c r="BMJ29" s="188"/>
      <c r="BMK29" s="188"/>
      <c r="BML29" s="188"/>
      <c r="BMM29" s="188"/>
      <c r="BMN29" s="188"/>
      <c r="BMO29" s="188"/>
      <c r="BMP29" s="188"/>
      <c r="BMQ29" s="188"/>
      <c r="BMR29" s="188"/>
      <c r="BMS29" s="188"/>
      <c r="BMT29" s="188"/>
      <c r="BMU29" s="188"/>
      <c r="BMV29" s="188"/>
      <c r="BMW29" s="188"/>
      <c r="BMX29" s="188"/>
      <c r="BMY29" s="188"/>
      <c r="BMZ29" s="188"/>
      <c r="BNA29" s="188"/>
      <c r="BNB29" s="188"/>
      <c r="BNC29" s="188"/>
      <c r="BND29" s="188"/>
      <c r="BNE29" s="188"/>
      <c r="BNF29" s="188"/>
      <c r="BNG29" s="188"/>
      <c r="BNH29" s="188"/>
      <c r="BNI29" s="188"/>
      <c r="BNJ29" s="188"/>
      <c r="BNK29" s="188"/>
      <c r="BNL29" s="188"/>
      <c r="BNM29" s="188"/>
      <c r="BNN29" s="188"/>
      <c r="BNO29" s="188"/>
      <c r="BNP29" s="188"/>
      <c r="BNQ29" s="188"/>
      <c r="BNR29" s="188"/>
      <c r="BNS29" s="188"/>
      <c r="BNT29" s="188"/>
      <c r="BNU29" s="188"/>
      <c r="BNV29" s="188"/>
      <c r="BNW29" s="188"/>
      <c r="BNX29" s="188"/>
      <c r="BNY29" s="188"/>
      <c r="BNZ29" s="188"/>
      <c r="BOA29" s="188"/>
      <c r="BOB29" s="188"/>
      <c r="BOC29" s="188"/>
      <c r="BOD29" s="188"/>
      <c r="BOE29" s="188"/>
      <c r="BOF29" s="188"/>
      <c r="BOG29" s="188"/>
      <c r="BOH29" s="188"/>
      <c r="BOI29" s="188"/>
      <c r="BOJ29" s="188"/>
      <c r="BOK29" s="188"/>
      <c r="BOL29" s="188"/>
      <c r="BOM29" s="188"/>
      <c r="BON29" s="188"/>
      <c r="BOO29" s="188"/>
      <c r="BOP29" s="188"/>
      <c r="BOQ29" s="188"/>
      <c r="BOR29" s="188"/>
      <c r="BOS29" s="188"/>
      <c r="BOT29" s="188"/>
      <c r="BOU29" s="188"/>
      <c r="BOV29" s="188"/>
      <c r="BOW29" s="188"/>
      <c r="BOX29" s="188"/>
      <c r="BOY29" s="188"/>
      <c r="BOZ29" s="188"/>
      <c r="BPA29" s="188"/>
      <c r="BPB29" s="188"/>
      <c r="BPC29" s="188"/>
      <c r="BPD29" s="188"/>
      <c r="BPE29" s="188"/>
      <c r="BPF29" s="188"/>
      <c r="BPG29" s="188"/>
      <c r="BPH29" s="188"/>
      <c r="BPI29" s="188"/>
      <c r="BPJ29" s="188"/>
      <c r="BPK29" s="188"/>
      <c r="BPL29" s="188"/>
      <c r="BPM29" s="188"/>
      <c r="BPN29" s="188"/>
      <c r="BPO29" s="188"/>
      <c r="BPP29" s="188"/>
      <c r="BPQ29" s="188"/>
      <c r="BPR29" s="188"/>
      <c r="BPS29" s="188"/>
      <c r="BPT29" s="188"/>
      <c r="BPU29" s="188"/>
      <c r="BPV29" s="188"/>
      <c r="BPW29" s="188"/>
      <c r="BPX29" s="188"/>
      <c r="BPY29" s="188"/>
      <c r="BPZ29" s="188"/>
      <c r="BQA29" s="188"/>
      <c r="BQB29" s="188"/>
      <c r="BQC29" s="188"/>
      <c r="BQD29" s="188"/>
      <c r="BQE29" s="188"/>
      <c r="BQF29" s="188"/>
      <c r="BQG29" s="188"/>
      <c r="BQH29" s="188"/>
      <c r="BQI29" s="188"/>
      <c r="BQJ29" s="188"/>
      <c r="BQK29" s="188"/>
      <c r="BQL29" s="188"/>
      <c r="BQM29" s="188"/>
      <c r="BQN29" s="188"/>
      <c r="BQO29" s="188"/>
      <c r="BQP29" s="188"/>
      <c r="BQQ29" s="188"/>
      <c r="BQR29" s="188"/>
      <c r="BQS29" s="188"/>
      <c r="BQT29" s="188"/>
      <c r="BQU29" s="188"/>
      <c r="BQV29" s="188"/>
      <c r="BQW29" s="188"/>
      <c r="BQX29" s="188"/>
      <c r="BQY29" s="188"/>
      <c r="BQZ29" s="188"/>
      <c r="BRA29" s="188"/>
      <c r="BRB29" s="188"/>
      <c r="BRC29" s="188"/>
      <c r="BRD29" s="188"/>
      <c r="BRE29" s="188"/>
      <c r="BRF29" s="188"/>
      <c r="BRG29" s="188"/>
      <c r="BRH29" s="188"/>
      <c r="BRI29" s="188"/>
      <c r="BRJ29" s="188"/>
      <c r="BRK29" s="188"/>
      <c r="BRL29" s="188"/>
      <c r="BRM29" s="188"/>
      <c r="BRN29" s="188"/>
      <c r="BRO29" s="188"/>
      <c r="BRP29" s="188"/>
      <c r="BRQ29" s="188"/>
      <c r="BRR29" s="188"/>
      <c r="BRS29" s="188"/>
      <c r="BRT29" s="188"/>
      <c r="BRU29" s="188"/>
      <c r="BRV29" s="188"/>
      <c r="BRW29" s="188"/>
      <c r="BRX29" s="188"/>
      <c r="BRY29" s="188"/>
      <c r="BRZ29" s="188"/>
      <c r="BSA29" s="188"/>
      <c r="BSB29" s="188"/>
      <c r="BSC29" s="188"/>
      <c r="BSD29" s="188"/>
      <c r="BSE29" s="188"/>
      <c r="BSF29" s="188"/>
      <c r="BSG29" s="188"/>
      <c r="BSH29" s="188"/>
      <c r="BSI29" s="188"/>
      <c r="BSJ29" s="188"/>
      <c r="BSK29" s="188"/>
      <c r="BSL29" s="188"/>
      <c r="BSM29" s="188"/>
      <c r="BSN29" s="188"/>
      <c r="BSO29" s="188"/>
      <c r="BSP29" s="188"/>
      <c r="BSQ29" s="188"/>
      <c r="BSR29" s="188"/>
      <c r="BSS29" s="188"/>
      <c r="BST29" s="188"/>
      <c r="BSU29" s="188"/>
      <c r="BSV29" s="188"/>
      <c r="BSW29" s="188"/>
      <c r="BSX29" s="188"/>
      <c r="BSY29" s="188"/>
      <c r="BSZ29" s="188"/>
      <c r="BTA29" s="188"/>
      <c r="BTB29" s="188"/>
      <c r="BTC29" s="188"/>
      <c r="BTD29" s="188"/>
      <c r="BTE29" s="188"/>
      <c r="BTF29" s="188"/>
      <c r="BTG29" s="188"/>
      <c r="BTH29" s="188"/>
      <c r="BTI29" s="188"/>
      <c r="BTJ29" s="188"/>
      <c r="BTK29" s="188"/>
      <c r="BTL29" s="188"/>
      <c r="BTM29" s="188"/>
      <c r="BTN29" s="188"/>
      <c r="BTO29" s="188"/>
      <c r="BTP29" s="188"/>
      <c r="BTQ29" s="188"/>
      <c r="BTR29" s="188"/>
      <c r="BTS29" s="188"/>
      <c r="BTT29" s="188"/>
      <c r="BTU29" s="188"/>
      <c r="BTV29" s="188"/>
      <c r="BTW29" s="188"/>
      <c r="BTX29" s="188"/>
      <c r="BTY29" s="188"/>
      <c r="BTZ29" s="188"/>
      <c r="BUA29" s="188"/>
      <c r="BUB29" s="188"/>
      <c r="BUC29" s="188"/>
      <c r="BUD29" s="188"/>
      <c r="BUE29" s="188"/>
      <c r="BUF29" s="188"/>
      <c r="BUG29" s="188"/>
      <c r="BUH29" s="188"/>
      <c r="BUI29" s="188"/>
      <c r="BUJ29" s="188"/>
      <c r="BUK29" s="188"/>
      <c r="BUL29" s="188"/>
      <c r="BUM29" s="188"/>
      <c r="BUN29" s="188"/>
      <c r="BUO29" s="188"/>
      <c r="BUP29" s="188"/>
      <c r="BUQ29" s="188"/>
      <c r="BUR29" s="188"/>
      <c r="BUS29" s="188"/>
      <c r="BUT29" s="188"/>
      <c r="BUU29" s="188"/>
      <c r="BUV29" s="188"/>
      <c r="BUW29" s="188"/>
      <c r="BUX29" s="188"/>
      <c r="BUY29" s="188"/>
      <c r="BUZ29" s="188"/>
      <c r="BVA29" s="188"/>
      <c r="BVB29" s="188"/>
      <c r="BVC29" s="188"/>
      <c r="BVD29" s="188"/>
      <c r="BVE29" s="188"/>
      <c r="BVF29" s="188"/>
      <c r="BVG29" s="188"/>
      <c r="BVH29" s="188"/>
      <c r="BVI29" s="188"/>
      <c r="BVJ29" s="188"/>
      <c r="BVK29" s="188"/>
      <c r="BVL29" s="188"/>
      <c r="BVM29" s="188"/>
      <c r="BVN29" s="188"/>
      <c r="BVO29" s="188"/>
      <c r="BVP29" s="188"/>
      <c r="BVQ29" s="188"/>
      <c r="BVR29" s="188"/>
      <c r="BVS29" s="188"/>
      <c r="BVT29" s="188"/>
      <c r="BVU29" s="188"/>
      <c r="BVV29" s="188"/>
      <c r="BVW29" s="188"/>
      <c r="BVX29" s="188"/>
      <c r="BVY29" s="188"/>
      <c r="BVZ29" s="188"/>
      <c r="BWA29" s="188"/>
      <c r="BWB29" s="188"/>
      <c r="BWC29" s="188"/>
      <c r="BWD29" s="188"/>
      <c r="BWE29" s="188"/>
      <c r="BWF29" s="188"/>
      <c r="BWG29" s="188"/>
      <c r="BWH29" s="188"/>
      <c r="BWI29" s="188"/>
      <c r="BWJ29" s="188"/>
      <c r="BWK29" s="188"/>
      <c r="BWL29" s="188"/>
      <c r="BWM29" s="188"/>
      <c r="BWN29" s="188"/>
      <c r="BWO29" s="188"/>
      <c r="BWP29" s="188"/>
      <c r="BWQ29" s="188"/>
      <c r="BWR29" s="188"/>
      <c r="BWS29" s="188"/>
      <c r="BWT29" s="188"/>
      <c r="BWU29" s="188"/>
      <c r="BWV29" s="188"/>
      <c r="BWW29" s="188"/>
      <c r="BWX29" s="188"/>
      <c r="BWY29" s="188"/>
      <c r="BWZ29" s="188"/>
      <c r="BXA29" s="188"/>
      <c r="BXB29" s="188"/>
      <c r="BXC29" s="188"/>
      <c r="BXD29" s="188"/>
      <c r="BXE29" s="188"/>
      <c r="BXF29" s="188"/>
      <c r="BXG29" s="188"/>
      <c r="BXH29" s="188"/>
      <c r="BXI29" s="188"/>
      <c r="BXJ29" s="188"/>
      <c r="BXK29" s="188"/>
      <c r="BXL29" s="188"/>
      <c r="BXM29" s="188"/>
      <c r="BXN29" s="188"/>
      <c r="BXO29" s="188"/>
      <c r="BXP29" s="188"/>
      <c r="BXQ29" s="188"/>
      <c r="BXR29" s="188"/>
      <c r="BXS29" s="188"/>
      <c r="BXT29" s="188"/>
      <c r="BXU29" s="188"/>
      <c r="BXV29" s="188"/>
      <c r="BXW29" s="188"/>
      <c r="BXX29" s="188"/>
      <c r="BXY29" s="188"/>
      <c r="BXZ29" s="188"/>
      <c r="BYA29" s="188"/>
      <c r="BYB29" s="188"/>
      <c r="BYC29" s="188"/>
      <c r="BYD29" s="188"/>
      <c r="BYE29" s="188"/>
      <c r="BYF29" s="188"/>
      <c r="BYG29" s="188"/>
      <c r="BYH29" s="188"/>
      <c r="BYI29" s="188"/>
      <c r="BYJ29" s="188"/>
      <c r="BYK29" s="188"/>
      <c r="BYL29" s="188"/>
      <c r="BYM29" s="188"/>
      <c r="BYN29" s="188"/>
      <c r="BYO29" s="188"/>
      <c r="BYP29" s="188"/>
      <c r="BYQ29" s="188"/>
      <c r="BYR29" s="188"/>
      <c r="BYS29" s="188"/>
      <c r="BYT29" s="188"/>
      <c r="BYU29" s="188"/>
      <c r="BYV29" s="188"/>
      <c r="BYW29" s="188"/>
      <c r="BYX29" s="188"/>
      <c r="BYY29" s="188"/>
      <c r="BYZ29" s="188"/>
      <c r="BZA29" s="188"/>
      <c r="BZB29" s="188"/>
      <c r="BZC29" s="188"/>
      <c r="BZD29" s="188"/>
      <c r="BZE29" s="188"/>
      <c r="BZF29" s="188"/>
      <c r="BZG29" s="188"/>
      <c r="BZH29" s="188"/>
      <c r="BZI29" s="188"/>
      <c r="BZJ29" s="188"/>
      <c r="BZK29" s="188"/>
      <c r="BZL29" s="188"/>
      <c r="BZM29" s="188"/>
      <c r="BZN29" s="188"/>
      <c r="BZO29" s="188"/>
      <c r="BZP29" s="188"/>
      <c r="BZQ29" s="188"/>
      <c r="BZR29" s="188"/>
      <c r="BZS29" s="188"/>
      <c r="BZT29" s="188"/>
      <c r="BZU29" s="188"/>
      <c r="BZV29" s="188"/>
      <c r="BZW29" s="188"/>
      <c r="BZX29" s="188"/>
      <c r="BZY29" s="188"/>
      <c r="BZZ29" s="188"/>
      <c r="CAA29" s="188"/>
      <c r="CAB29" s="188"/>
      <c r="CAC29" s="188"/>
      <c r="CAD29" s="188"/>
      <c r="CAE29" s="188"/>
      <c r="CAF29" s="188"/>
      <c r="CAG29" s="188"/>
      <c r="CAH29" s="188"/>
      <c r="CAI29" s="188"/>
      <c r="CAJ29" s="188"/>
      <c r="CAK29" s="188"/>
      <c r="CAL29" s="188"/>
      <c r="CAM29" s="188"/>
      <c r="CAN29" s="188"/>
      <c r="CAO29" s="188"/>
      <c r="CAP29" s="188"/>
      <c r="CAQ29" s="188"/>
      <c r="CAR29" s="188"/>
      <c r="CAS29" s="188"/>
      <c r="CAT29" s="188"/>
      <c r="CAU29" s="188"/>
      <c r="CAV29" s="188"/>
      <c r="CAW29" s="188"/>
      <c r="CAX29" s="188"/>
      <c r="CAY29" s="188"/>
      <c r="CAZ29" s="188"/>
      <c r="CBA29" s="188"/>
      <c r="CBB29" s="188"/>
      <c r="CBC29" s="188"/>
      <c r="CBD29" s="188"/>
      <c r="CBE29" s="188"/>
      <c r="CBF29" s="188"/>
      <c r="CBG29" s="188"/>
      <c r="CBH29" s="188"/>
      <c r="CBI29" s="188"/>
      <c r="CBJ29" s="188"/>
      <c r="CBK29" s="188"/>
      <c r="CBL29" s="188"/>
      <c r="CBM29" s="188"/>
      <c r="CBN29" s="188"/>
      <c r="CBO29" s="188"/>
      <c r="CBP29" s="188"/>
      <c r="CBQ29" s="188"/>
      <c r="CBR29" s="188"/>
      <c r="CBS29" s="188"/>
      <c r="CBT29" s="188"/>
      <c r="CBU29" s="188"/>
      <c r="CBV29" s="188"/>
      <c r="CBW29" s="188"/>
      <c r="CBX29" s="188"/>
      <c r="CBY29" s="188"/>
      <c r="CBZ29" s="188"/>
      <c r="CCA29" s="188"/>
      <c r="CCB29" s="188"/>
      <c r="CCC29" s="188"/>
      <c r="CCD29" s="188"/>
      <c r="CCE29" s="188"/>
      <c r="CCF29" s="188"/>
      <c r="CCG29" s="188"/>
      <c r="CCH29" s="188"/>
      <c r="CCI29" s="188"/>
      <c r="CCJ29" s="188"/>
      <c r="CCK29" s="188"/>
      <c r="CCL29" s="188"/>
      <c r="CCM29" s="188"/>
      <c r="CCN29" s="188"/>
      <c r="CCO29" s="188"/>
      <c r="CCP29" s="188"/>
      <c r="CCQ29" s="188"/>
      <c r="CCR29" s="188"/>
      <c r="CCS29" s="188"/>
      <c r="CCT29" s="188"/>
      <c r="CCU29" s="188"/>
      <c r="CCV29" s="188"/>
      <c r="CCW29" s="188"/>
      <c r="CCX29" s="188"/>
      <c r="CCY29" s="188"/>
      <c r="CCZ29" s="188"/>
      <c r="CDA29" s="188"/>
      <c r="CDB29" s="188"/>
      <c r="CDC29" s="188"/>
      <c r="CDD29" s="188"/>
      <c r="CDE29" s="188"/>
      <c r="CDF29" s="188"/>
      <c r="CDG29" s="188"/>
      <c r="CDH29" s="188"/>
      <c r="CDI29" s="188"/>
      <c r="CDJ29" s="188"/>
      <c r="CDK29" s="188"/>
      <c r="CDL29" s="188"/>
      <c r="CDM29" s="188"/>
      <c r="CDN29" s="188"/>
      <c r="CDO29" s="188"/>
      <c r="CDP29" s="188"/>
      <c r="CDQ29" s="188"/>
      <c r="CDR29" s="188"/>
      <c r="CDS29" s="188"/>
      <c r="CDT29" s="188"/>
      <c r="CDU29" s="188"/>
      <c r="CDV29" s="188"/>
      <c r="CDW29" s="188"/>
      <c r="CDX29" s="188"/>
      <c r="CDY29" s="188"/>
      <c r="CDZ29" s="188"/>
      <c r="CEA29" s="188"/>
      <c r="CEB29" s="188"/>
      <c r="CEC29" s="188"/>
      <c r="CED29" s="188"/>
      <c r="CEE29" s="188"/>
      <c r="CEF29" s="188"/>
      <c r="CEG29" s="188"/>
      <c r="CEH29" s="188"/>
      <c r="CEI29" s="188"/>
      <c r="CEJ29" s="188"/>
      <c r="CEK29" s="188"/>
      <c r="CEL29" s="188"/>
      <c r="CEM29" s="188"/>
      <c r="CEN29" s="188"/>
      <c r="CEO29" s="188"/>
      <c r="CEP29" s="188"/>
      <c r="CEQ29" s="188"/>
      <c r="CER29" s="188"/>
      <c r="CES29" s="188"/>
      <c r="CET29" s="188"/>
      <c r="CEU29" s="188"/>
      <c r="CEV29" s="188"/>
      <c r="CEW29" s="188"/>
      <c r="CEX29" s="188"/>
      <c r="CEY29" s="188"/>
      <c r="CEZ29" s="188"/>
      <c r="CFA29" s="188"/>
      <c r="CFB29" s="188"/>
      <c r="CFC29" s="188"/>
      <c r="CFD29" s="188"/>
      <c r="CFE29" s="188"/>
      <c r="CFF29" s="188"/>
      <c r="CFG29" s="188"/>
      <c r="CFH29" s="188"/>
      <c r="CFI29" s="188"/>
      <c r="CFJ29" s="188"/>
      <c r="CFK29" s="188"/>
      <c r="CFL29" s="188"/>
      <c r="CFM29" s="188"/>
      <c r="CFN29" s="188"/>
      <c r="CFO29" s="188"/>
      <c r="CFP29" s="188"/>
      <c r="CFQ29" s="188"/>
      <c r="CFR29" s="188"/>
      <c r="CFS29" s="188"/>
      <c r="CFT29" s="188"/>
      <c r="CFU29" s="188"/>
      <c r="CFV29" s="188"/>
      <c r="CFW29" s="188"/>
      <c r="CFX29" s="188"/>
      <c r="CFY29" s="188"/>
      <c r="CFZ29" s="188"/>
      <c r="CGA29" s="188"/>
      <c r="CGB29" s="188"/>
      <c r="CGC29" s="188"/>
      <c r="CGD29" s="188"/>
      <c r="CGE29" s="188"/>
      <c r="CGF29" s="188"/>
      <c r="CGG29" s="188"/>
      <c r="CGH29" s="188"/>
      <c r="CGI29" s="188"/>
      <c r="CGJ29" s="188"/>
      <c r="CGK29" s="188"/>
      <c r="CGL29" s="188"/>
      <c r="CGM29" s="188"/>
      <c r="CGN29" s="188"/>
      <c r="CGO29" s="188"/>
      <c r="CGP29" s="188"/>
      <c r="CGQ29" s="188"/>
      <c r="CGR29" s="188"/>
      <c r="CGS29" s="188"/>
      <c r="CGT29" s="188"/>
      <c r="CGU29" s="188"/>
      <c r="CGV29" s="188"/>
      <c r="CGW29" s="188"/>
      <c r="CGX29" s="188"/>
      <c r="CGY29" s="188"/>
      <c r="CGZ29" s="188"/>
      <c r="CHA29" s="188"/>
      <c r="CHB29" s="188"/>
      <c r="CHC29" s="188"/>
      <c r="CHD29" s="188"/>
      <c r="CHE29" s="188"/>
      <c r="CHF29" s="188"/>
      <c r="CHG29" s="188"/>
      <c r="CHH29" s="188"/>
      <c r="CHI29" s="188"/>
      <c r="CHJ29" s="188"/>
      <c r="CHK29" s="188"/>
      <c r="CHL29" s="188"/>
      <c r="CHM29" s="188"/>
      <c r="CHN29" s="188"/>
      <c r="CHO29" s="188"/>
      <c r="CHP29" s="188"/>
      <c r="CHQ29" s="188"/>
      <c r="CHR29" s="188"/>
      <c r="CHS29" s="188"/>
      <c r="CHT29" s="188"/>
      <c r="CHU29" s="188"/>
      <c r="CHV29" s="188"/>
      <c r="CHW29" s="188"/>
      <c r="CHX29" s="188"/>
      <c r="CHY29" s="188"/>
      <c r="CHZ29" s="188"/>
      <c r="CIA29" s="188"/>
      <c r="CIB29" s="188"/>
      <c r="CIC29" s="188"/>
      <c r="CID29" s="188"/>
      <c r="CIE29" s="188"/>
      <c r="CIF29" s="188"/>
      <c r="CIG29" s="188"/>
      <c r="CIH29" s="188"/>
      <c r="CII29" s="188"/>
      <c r="CIJ29" s="188"/>
      <c r="CIK29" s="188"/>
      <c r="CIL29" s="188"/>
      <c r="CIM29" s="188"/>
      <c r="CIN29" s="188"/>
      <c r="CIO29" s="188"/>
      <c r="CIP29" s="188"/>
      <c r="CIQ29" s="188"/>
      <c r="CIR29" s="188"/>
      <c r="CIS29" s="188"/>
      <c r="CIT29" s="188"/>
      <c r="CIU29" s="188"/>
      <c r="CIV29" s="188"/>
      <c r="CIW29" s="188"/>
      <c r="CIX29" s="188"/>
      <c r="CIY29" s="188"/>
      <c r="CIZ29" s="188"/>
      <c r="CJA29" s="188"/>
      <c r="CJB29" s="188"/>
      <c r="CJC29" s="188"/>
      <c r="CJD29" s="188"/>
      <c r="CJE29" s="188"/>
      <c r="CJF29" s="188"/>
      <c r="CJG29" s="188"/>
      <c r="CJH29" s="188"/>
      <c r="CJI29" s="188"/>
      <c r="CJJ29" s="188"/>
      <c r="CJK29" s="188"/>
      <c r="CJL29" s="188"/>
      <c r="CJM29" s="188"/>
      <c r="CJN29" s="188"/>
      <c r="CJO29" s="188"/>
      <c r="CJP29" s="188"/>
      <c r="CJQ29" s="188"/>
      <c r="CJR29" s="188"/>
      <c r="CJS29" s="188"/>
      <c r="CJT29" s="188"/>
      <c r="CJU29" s="188"/>
      <c r="CJV29" s="188"/>
      <c r="CJW29" s="188"/>
      <c r="CJX29" s="188"/>
      <c r="CJY29" s="188"/>
      <c r="CJZ29" s="188"/>
      <c r="CKA29" s="188"/>
      <c r="CKB29" s="188"/>
      <c r="CKC29" s="188"/>
      <c r="CKD29" s="188"/>
      <c r="CKE29" s="188"/>
      <c r="CKF29" s="188"/>
      <c r="CKG29" s="188"/>
      <c r="CKH29" s="188"/>
      <c r="CKI29" s="188"/>
      <c r="CKJ29" s="188"/>
      <c r="CKK29" s="188"/>
      <c r="CKL29" s="188"/>
      <c r="CKM29" s="188"/>
      <c r="CKN29" s="188"/>
      <c r="CKO29" s="188"/>
      <c r="CKP29" s="188"/>
      <c r="CKQ29" s="188"/>
      <c r="CKR29" s="188"/>
      <c r="CKS29" s="188"/>
      <c r="CKT29" s="188"/>
      <c r="CKU29" s="188"/>
      <c r="CKV29" s="188"/>
      <c r="CKW29" s="188"/>
      <c r="CKX29" s="188"/>
      <c r="CKY29" s="188"/>
      <c r="CKZ29" s="188"/>
      <c r="CLA29" s="188"/>
      <c r="CLB29" s="188"/>
      <c r="CLC29" s="188"/>
      <c r="CLD29" s="188"/>
      <c r="CLE29" s="188"/>
      <c r="CLF29" s="188"/>
      <c r="CLG29" s="188"/>
      <c r="CLH29" s="188"/>
      <c r="CLI29" s="188"/>
      <c r="CLJ29" s="188"/>
      <c r="CLK29" s="188"/>
      <c r="CLL29" s="188"/>
      <c r="CLM29" s="188"/>
      <c r="CLN29" s="188"/>
      <c r="CLO29" s="188"/>
      <c r="CLP29" s="188"/>
      <c r="CLQ29" s="188"/>
      <c r="CLR29" s="188"/>
      <c r="CLS29" s="188"/>
      <c r="CLT29" s="188"/>
      <c r="CLU29" s="188"/>
      <c r="CLV29" s="188"/>
      <c r="CLW29" s="188"/>
      <c r="CLX29" s="188"/>
      <c r="CLY29" s="188"/>
      <c r="CLZ29" s="188"/>
      <c r="CMA29" s="188"/>
      <c r="CMB29" s="188"/>
      <c r="CMC29" s="188"/>
      <c r="CMD29" s="188"/>
      <c r="CME29" s="188"/>
      <c r="CMF29" s="188"/>
      <c r="CMG29" s="188"/>
      <c r="CMH29" s="188"/>
      <c r="CMI29" s="188"/>
      <c r="CMJ29" s="188"/>
      <c r="CMK29" s="188"/>
      <c r="CML29" s="188"/>
      <c r="CMM29" s="188"/>
      <c r="CMN29" s="188"/>
      <c r="CMO29" s="188"/>
      <c r="CMP29" s="188"/>
      <c r="CMQ29" s="188"/>
      <c r="CMR29" s="188"/>
      <c r="CMS29" s="188"/>
      <c r="CMT29" s="188"/>
      <c r="CMU29" s="188"/>
      <c r="CMV29" s="188"/>
      <c r="CMW29" s="188"/>
      <c r="CMX29" s="188"/>
      <c r="CMY29" s="188"/>
      <c r="CMZ29" s="188"/>
      <c r="CNA29" s="188"/>
      <c r="CNB29" s="188"/>
      <c r="CNC29" s="188"/>
      <c r="CND29" s="188"/>
      <c r="CNE29" s="188"/>
      <c r="CNF29" s="188"/>
      <c r="CNG29" s="188"/>
      <c r="CNH29" s="188"/>
      <c r="CNI29" s="188"/>
      <c r="CNJ29" s="188"/>
      <c r="CNK29" s="188"/>
      <c r="CNL29" s="188"/>
      <c r="CNM29" s="188"/>
      <c r="CNN29" s="188"/>
      <c r="CNO29" s="188"/>
      <c r="CNP29" s="188"/>
      <c r="CNQ29" s="188"/>
      <c r="CNR29" s="188"/>
      <c r="CNS29" s="188"/>
      <c r="CNT29" s="188"/>
      <c r="CNU29" s="188"/>
      <c r="CNV29" s="188"/>
      <c r="CNW29" s="188"/>
      <c r="CNX29" s="188"/>
      <c r="CNY29" s="188"/>
      <c r="CNZ29" s="188"/>
      <c r="COA29" s="188"/>
      <c r="COB29" s="188"/>
      <c r="COC29" s="188"/>
      <c r="COD29" s="188"/>
      <c r="COE29" s="188"/>
      <c r="COF29" s="188"/>
      <c r="COG29" s="188"/>
      <c r="COH29" s="188"/>
      <c r="COI29" s="188"/>
      <c r="COJ29" s="188"/>
      <c r="COK29" s="188"/>
      <c r="COL29" s="188"/>
      <c r="COM29" s="188"/>
      <c r="CON29" s="188"/>
      <c r="COO29" s="188"/>
      <c r="COP29" s="188"/>
      <c r="COQ29" s="188"/>
      <c r="COR29" s="188"/>
      <c r="COS29" s="188"/>
      <c r="COT29" s="188"/>
      <c r="COU29" s="188"/>
      <c r="COV29" s="188"/>
      <c r="COW29" s="188"/>
      <c r="COX29" s="188"/>
      <c r="COY29" s="188"/>
      <c r="COZ29" s="188"/>
      <c r="CPA29" s="188"/>
      <c r="CPB29" s="188"/>
      <c r="CPC29" s="188"/>
      <c r="CPD29" s="188"/>
      <c r="CPE29" s="188"/>
      <c r="CPF29" s="188"/>
      <c r="CPG29" s="188"/>
      <c r="CPH29" s="188"/>
      <c r="CPI29" s="188"/>
      <c r="CPJ29" s="188"/>
      <c r="CPK29" s="188"/>
      <c r="CPL29" s="188"/>
      <c r="CPM29" s="188"/>
      <c r="CPN29" s="188"/>
      <c r="CPO29" s="188"/>
      <c r="CPP29" s="188"/>
      <c r="CPQ29" s="188"/>
      <c r="CPR29" s="188"/>
      <c r="CPS29" s="188"/>
      <c r="CPT29" s="188"/>
      <c r="CPU29" s="188"/>
      <c r="CPV29" s="188"/>
      <c r="CPW29" s="188"/>
      <c r="CPX29" s="188"/>
      <c r="CPY29" s="188"/>
      <c r="CPZ29" s="188"/>
      <c r="CQA29" s="188"/>
      <c r="CQB29" s="188"/>
      <c r="CQC29" s="188"/>
      <c r="CQD29" s="188"/>
      <c r="CQE29" s="188"/>
      <c r="CQF29" s="188"/>
      <c r="CQG29" s="188"/>
      <c r="CQH29" s="188"/>
      <c r="CQI29" s="188"/>
      <c r="CQJ29" s="188"/>
      <c r="CQK29" s="188"/>
      <c r="CQL29" s="188"/>
      <c r="CQM29" s="188"/>
      <c r="CQN29" s="188"/>
      <c r="CQO29" s="188"/>
      <c r="CQP29" s="188"/>
      <c r="CQQ29" s="188"/>
      <c r="CQR29" s="188"/>
      <c r="CQS29" s="188"/>
      <c r="CQT29" s="188"/>
      <c r="CQU29" s="188"/>
      <c r="CQV29" s="188"/>
      <c r="CQW29" s="188"/>
      <c r="CQX29" s="188"/>
      <c r="CQY29" s="188"/>
      <c r="CQZ29" s="188"/>
      <c r="CRA29" s="188"/>
      <c r="CRB29" s="188"/>
      <c r="CRC29" s="188"/>
      <c r="CRD29" s="188"/>
      <c r="CRE29" s="188"/>
      <c r="CRF29" s="188"/>
      <c r="CRG29" s="188"/>
      <c r="CRH29" s="188"/>
      <c r="CRI29" s="188"/>
      <c r="CRJ29" s="188"/>
      <c r="CRK29" s="188"/>
      <c r="CRL29" s="188"/>
      <c r="CRM29" s="188"/>
      <c r="CRN29" s="188"/>
      <c r="CRO29" s="188"/>
      <c r="CRP29" s="188"/>
      <c r="CRQ29" s="188"/>
      <c r="CRR29" s="188"/>
      <c r="CRS29" s="188"/>
      <c r="CRT29" s="188"/>
      <c r="CRU29" s="188"/>
      <c r="CRV29" s="188"/>
      <c r="CRW29" s="188"/>
      <c r="CRX29" s="188"/>
      <c r="CRY29" s="188"/>
      <c r="CRZ29" s="188"/>
      <c r="CSA29" s="188"/>
      <c r="CSB29" s="188"/>
      <c r="CSC29" s="188"/>
      <c r="CSD29" s="188"/>
      <c r="CSE29" s="188"/>
      <c r="CSF29" s="188"/>
      <c r="CSG29" s="188"/>
      <c r="CSH29" s="188"/>
      <c r="CSI29" s="188"/>
      <c r="CSJ29" s="188"/>
      <c r="CSK29" s="188"/>
      <c r="CSL29" s="188"/>
      <c r="CSM29" s="188"/>
      <c r="CSN29" s="188"/>
      <c r="CSO29" s="188"/>
      <c r="CSP29" s="188"/>
      <c r="CSQ29" s="188"/>
      <c r="CSR29" s="188"/>
      <c r="CSS29" s="188"/>
      <c r="CST29" s="188"/>
      <c r="CSU29" s="188"/>
      <c r="CSV29" s="188"/>
      <c r="CSW29" s="188"/>
      <c r="CSX29" s="188"/>
      <c r="CSY29" s="188"/>
      <c r="CSZ29" s="188"/>
      <c r="CTA29" s="188"/>
      <c r="CTB29" s="188"/>
      <c r="CTC29" s="188"/>
      <c r="CTD29" s="188"/>
      <c r="CTE29" s="188"/>
      <c r="CTF29" s="188"/>
      <c r="CTG29" s="188"/>
      <c r="CTH29" s="188"/>
      <c r="CTI29" s="188"/>
      <c r="CTJ29" s="188"/>
      <c r="CTK29" s="188"/>
      <c r="CTL29" s="188"/>
      <c r="CTM29" s="188"/>
      <c r="CTN29" s="188"/>
      <c r="CTO29" s="188"/>
      <c r="CTP29" s="188"/>
      <c r="CTQ29" s="188"/>
      <c r="CTR29" s="188"/>
      <c r="CTS29" s="188"/>
      <c r="CTT29" s="188"/>
      <c r="CTU29" s="188"/>
      <c r="CTV29" s="188"/>
      <c r="CTW29" s="188"/>
      <c r="CTX29" s="188"/>
      <c r="CTY29" s="188"/>
      <c r="CTZ29" s="188"/>
      <c r="CUA29" s="188"/>
    </row>
    <row r="30" s="189" customFormat="1" spans="1:1024 1025:2575">
      <c r="A30" s="216" t="s">
        <v>30</v>
      </c>
      <c r="B30" s="84" t="s">
        <v>50</v>
      </c>
      <c r="C30" s="217">
        <f t="shared" si="26"/>
        <v>45440</v>
      </c>
      <c r="D30" s="218">
        <f t="shared" si="22"/>
        <v>45446</v>
      </c>
      <c r="E30" s="219">
        <v>1166</v>
      </c>
      <c r="F30" s="220">
        <f t="shared" si="23"/>
        <v>45460</v>
      </c>
      <c r="G30" s="219">
        <v>953</v>
      </c>
      <c r="H30" s="54">
        <f t="shared" si="10"/>
        <v>0.817324185248714</v>
      </c>
      <c r="I30" s="218">
        <f t="shared" si="24"/>
        <v>45477</v>
      </c>
      <c r="J30" s="219">
        <v>893</v>
      </c>
      <c r="K30" s="54">
        <f t="shared" si="0"/>
        <v>0.765866209262436</v>
      </c>
      <c r="L30" s="218">
        <f t="shared" si="25"/>
        <v>45480</v>
      </c>
      <c r="M30" s="219">
        <v>879</v>
      </c>
      <c r="N30" s="219">
        <v>7450</v>
      </c>
      <c r="O30" s="54">
        <f t="shared" si="1"/>
        <v>0.753859348198971</v>
      </c>
      <c r="P30" s="54">
        <f t="shared" si="7"/>
        <v>0.0634648370497427</v>
      </c>
      <c r="Q30" s="221">
        <f t="shared" si="2"/>
        <v>8.47554038680319</v>
      </c>
      <c r="R30" s="218">
        <f t="shared" si="18"/>
        <v>45512</v>
      </c>
      <c r="S30" s="203">
        <v>7071</v>
      </c>
      <c r="T30" s="84">
        <v>770</v>
      </c>
      <c r="U30" s="54">
        <f t="shared" si="3"/>
        <v>0.949127516778523</v>
      </c>
      <c r="V30" s="218">
        <f t="shared" si="19"/>
        <v>45547</v>
      </c>
      <c r="W30" s="203">
        <v>6311</v>
      </c>
      <c r="X30" s="54">
        <f t="shared" si="4"/>
        <v>0.892518738509405</v>
      </c>
      <c r="Y30" s="84">
        <v>13489</v>
      </c>
      <c r="Z30" s="203">
        <v>14.6</v>
      </c>
      <c r="AA30" s="8">
        <v>2.14</v>
      </c>
      <c r="AB30" s="8">
        <f t="shared" si="5"/>
        <v>5.41252144082333</v>
      </c>
      <c r="AC30" s="8">
        <v>3.39</v>
      </c>
      <c r="AD30" s="8">
        <v>3.5</v>
      </c>
      <c r="AE30" s="8">
        <v>56.35</v>
      </c>
      <c r="AF30" s="203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88"/>
      <c r="BM30" s="188"/>
      <c r="BN30" s="188"/>
      <c r="BO30" s="188"/>
      <c r="BP30" s="188"/>
      <c r="BQ30" s="188"/>
      <c r="BR30" s="188"/>
      <c r="BS30" s="188"/>
      <c r="BT30" s="188"/>
      <c r="BU30" s="188"/>
      <c r="BV30" s="188"/>
      <c r="BW30" s="188"/>
      <c r="BX30" s="188"/>
      <c r="BY30" s="188"/>
      <c r="BZ30" s="188"/>
      <c r="CA30" s="188"/>
      <c r="CB30" s="188"/>
      <c r="CC30" s="188"/>
      <c r="CD30" s="188"/>
      <c r="CE30" s="188"/>
      <c r="CF30" s="188"/>
      <c r="CG30" s="188"/>
      <c r="CH30" s="188"/>
      <c r="CI30" s="188"/>
      <c r="CJ30" s="188"/>
      <c r="CK30" s="188"/>
      <c r="CL30" s="188"/>
      <c r="CM30" s="188"/>
      <c r="CN30" s="188"/>
      <c r="CO30" s="188"/>
      <c r="CP30" s="188"/>
      <c r="CQ30" s="188"/>
      <c r="CR30" s="188"/>
      <c r="CS30" s="188"/>
      <c r="CT30" s="188"/>
      <c r="CU30" s="188"/>
      <c r="CV30" s="188"/>
      <c r="CW30" s="188"/>
      <c r="CX30" s="188"/>
      <c r="CY30" s="188"/>
      <c r="CZ30" s="188"/>
      <c r="DA30" s="188"/>
      <c r="DB30" s="188"/>
      <c r="DC30" s="188"/>
      <c r="DD30" s="188"/>
      <c r="DE30" s="188"/>
      <c r="DF30" s="188"/>
      <c r="DG30" s="188"/>
      <c r="DH30" s="188"/>
      <c r="DI30" s="188"/>
      <c r="DJ30" s="188"/>
      <c r="DK30" s="188"/>
      <c r="DL30" s="188"/>
      <c r="DM30" s="188"/>
      <c r="DN30" s="188"/>
      <c r="DO30" s="188"/>
      <c r="DP30" s="188"/>
      <c r="DQ30" s="188"/>
      <c r="DR30" s="188"/>
      <c r="DS30" s="188"/>
      <c r="DT30" s="188"/>
      <c r="DU30" s="188"/>
      <c r="DV30" s="188"/>
      <c r="DW30" s="188"/>
      <c r="DX30" s="188"/>
      <c r="DY30" s="188"/>
      <c r="DZ30" s="188"/>
      <c r="EA30" s="188"/>
      <c r="EB30" s="188"/>
      <c r="EC30" s="188"/>
      <c r="ED30" s="188"/>
      <c r="EE30" s="188"/>
      <c r="EF30" s="188"/>
      <c r="EG30" s="188"/>
      <c r="EH30" s="188"/>
      <c r="EI30" s="188"/>
      <c r="EJ30" s="188"/>
      <c r="EK30" s="188"/>
      <c r="EL30" s="188"/>
      <c r="EM30" s="188"/>
      <c r="EN30" s="188"/>
      <c r="EO30" s="188"/>
      <c r="EP30" s="188"/>
      <c r="EQ30" s="188"/>
      <c r="ER30" s="188"/>
      <c r="ES30" s="188"/>
      <c r="ET30" s="188"/>
      <c r="EU30" s="188"/>
      <c r="EV30" s="188"/>
      <c r="EW30" s="188"/>
      <c r="EX30" s="188"/>
      <c r="EY30" s="188"/>
      <c r="EZ30" s="188"/>
      <c r="FA30" s="188"/>
      <c r="FB30" s="188"/>
      <c r="FC30" s="188"/>
      <c r="FD30" s="188"/>
      <c r="FE30" s="188"/>
      <c r="FF30" s="188"/>
      <c r="FG30" s="188"/>
      <c r="FH30" s="188"/>
      <c r="FI30" s="188"/>
      <c r="FJ30" s="188"/>
      <c r="FK30" s="188"/>
      <c r="FL30" s="188"/>
      <c r="FM30" s="188"/>
      <c r="FN30" s="188"/>
      <c r="FO30" s="188"/>
      <c r="FP30" s="188"/>
      <c r="FQ30" s="188"/>
      <c r="FR30" s="188"/>
      <c r="FS30" s="188"/>
      <c r="FT30" s="188"/>
      <c r="FU30" s="188"/>
      <c r="FV30" s="188"/>
      <c r="FW30" s="188"/>
      <c r="FX30" s="188"/>
      <c r="FY30" s="188"/>
      <c r="FZ30" s="188"/>
      <c r="GA30" s="188"/>
      <c r="GB30" s="188"/>
      <c r="GC30" s="188"/>
      <c r="GD30" s="188"/>
      <c r="GE30" s="188"/>
      <c r="GF30" s="188"/>
      <c r="GG30" s="188"/>
      <c r="GH30" s="188"/>
      <c r="GI30" s="188"/>
      <c r="GJ30" s="188"/>
      <c r="GK30" s="188"/>
      <c r="GL30" s="188"/>
      <c r="GM30" s="188"/>
      <c r="GN30" s="188"/>
      <c r="GO30" s="188"/>
      <c r="GP30" s="188"/>
      <c r="GQ30" s="188"/>
      <c r="GR30" s="188"/>
      <c r="GS30" s="188"/>
      <c r="GT30" s="188"/>
      <c r="GU30" s="188"/>
      <c r="GV30" s="188"/>
      <c r="GW30" s="188"/>
      <c r="GX30" s="188"/>
      <c r="GY30" s="188"/>
      <c r="GZ30" s="188"/>
      <c r="HA30" s="188"/>
      <c r="HB30" s="188"/>
      <c r="HC30" s="188"/>
      <c r="HD30" s="188"/>
      <c r="HE30" s="188"/>
      <c r="HF30" s="188"/>
      <c r="HG30" s="188"/>
      <c r="HH30" s="188"/>
      <c r="HI30" s="188"/>
      <c r="HJ30" s="188"/>
      <c r="HK30" s="188"/>
      <c r="HL30" s="188"/>
      <c r="HM30" s="188"/>
      <c r="HN30" s="188"/>
      <c r="HO30" s="188"/>
      <c r="HP30" s="188"/>
      <c r="HQ30" s="188"/>
      <c r="HR30" s="188"/>
      <c r="HS30" s="188"/>
      <c r="HT30" s="188"/>
      <c r="HU30" s="188"/>
      <c r="HV30" s="188"/>
      <c r="HW30" s="188"/>
      <c r="HX30" s="188"/>
      <c r="HY30" s="188"/>
      <c r="HZ30" s="188"/>
      <c r="IA30" s="188"/>
      <c r="IB30" s="188"/>
      <c r="IC30" s="188"/>
      <c r="ID30" s="188"/>
      <c r="IE30" s="188"/>
      <c r="IF30" s="188"/>
      <c r="IG30" s="188"/>
      <c r="IH30" s="188"/>
      <c r="II30" s="188"/>
      <c r="IJ30" s="188"/>
      <c r="IK30" s="188"/>
      <c r="IL30" s="188"/>
      <c r="IM30" s="188"/>
      <c r="IN30" s="188"/>
      <c r="IO30" s="188"/>
      <c r="IP30" s="188"/>
      <c r="IQ30" s="188"/>
      <c r="IR30" s="188"/>
      <c r="IS30" s="188"/>
      <c r="IT30" s="188"/>
      <c r="IU30" s="188"/>
      <c r="IV30" s="188"/>
      <c r="IW30" s="188"/>
      <c r="IX30" s="188"/>
      <c r="IY30" s="188"/>
      <c r="IZ30" s="188"/>
      <c r="JA30" s="188"/>
      <c r="JB30" s="188"/>
      <c r="JC30" s="188"/>
      <c r="JD30" s="188"/>
      <c r="JE30" s="188"/>
      <c r="JF30" s="188"/>
      <c r="JG30" s="188"/>
      <c r="JH30" s="188"/>
      <c r="JI30" s="188"/>
      <c r="JJ30" s="188"/>
      <c r="JK30" s="188"/>
      <c r="JL30" s="188"/>
      <c r="JM30" s="188"/>
      <c r="JN30" s="188"/>
      <c r="JO30" s="188"/>
      <c r="JP30" s="188"/>
      <c r="JQ30" s="188"/>
      <c r="JR30" s="188"/>
      <c r="JS30" s="188"/>
      <c r="JT30" s="188"/>
      <c r="JU30" s="188"/>
      <c r="JV30" s="188"/>
      <c r="JW30" s="188"/>
      <c r="JX30" s="188"/>
      <c r="JY30" s="188"/>
      <c r="JZ30" s="188"/>
      <c r="KA30" s="188"/>
      <c r="KB30" s="188"/>
      <c r="KC30" s="188"/>
      <c r="KD30" s="188"/>
      <c r="KE30" s="188"/>
      <c r="KF30" s="188"/>
      <c r="KG30" s="188"/>
      <c r="KH30" s="188"/>
      <c r="KI30" s="188"/>
      <c r="KJ30" s="188"/>
      <c r="KK30" s="188"/>
      <c r="KL30" s="188"/>
      <c r="KM30" s="188"/>
      <c r="KN30" s="188"/>
      <c r="KO30" s="188"/>
      <c r="KP30" s="188"/>
      <c r="KQ30" s="188"/>
      <c r="KR30" s="188"/>
      <c r="KS30" s="188"/>
      <c r="KT30" s="188"/>
      <c r="KU30" s="188"/>
      <c r="KV30" s="188"/>
      <c r="KW30" s="188"/>
      <c r="KX30" s="188"/>
      <c r="KY30" s="188"/>
      <c r="KZ30" s="188"/>
      <c r="LA30" s="188"/>
      <c r="LB30" s="188"/>
      <c r="LC30" s="188"/>
      <c r="LD30" s="188"/>
      <c r="LE30" s="188"/>
      <c r="LF30" s="188"/>
      <c r="LG30" s="188"/>
      <c r="LH30" s="188"/>
      <c r="LI30" s="188"/>
      <c r="LJ30" s="188"/>
      <c r="LK30" s="188"/>
      <c r="LL30" s="188"/>
      <c r="LM30" s="188"/>
      <c r="LN30" s="188"/>
      <c r="LO30" s="188"/>
      <c r="LP30" s="188"/>
      <c r="LQ30" s="188"/>
      <c r="LR30" s="188"/>
      <c r="LS30" s="188"/>
      <c r="LT30" s="188"/>
      <c r="LU30" s="188"/>
      <c r="LV30" s="188"/>
      <c r="LW30" s="188"/>
      <c r="LX30" s="188"/>
      <c r="LY30" s="188"/>
      <c r="LZ30" s="188"/>
      <c r="MA30" s="188"/>
      <c r="MB30" s="188"/>
      <c r="MC30" s="188"/>
      <c r="MD30" s="188"/>
      <c r="ME30" s="188"/>
      <c r="MF30" s="188"/>
      <c r="MG30" s="188"/>
      <c r="MH30" s="188"/>
      <c r="MI30" s="188"/>
      <c r="MJ30" s="188"/>
      <c r="MK30" s="188"/>
      <c r="ML30" s="188"/>
      <c r="MM30" s="188"/>
      <c r="MN30" s="188"/>
      <c r="MO30" s="188"/>
      <c r="MP30" s="188"/>
      <c r="MQ30" s="188"/>
      <c r="MR30" s="188"/>
      <c r="MS30" s="188"/>
      <c r="MT30" s="188"/>
      <c r="MU30" s="188"/>
      <c r="MV30" s="188"/>
      <c r="MW30" s="188"/>
      <c r="MX30" s="188"/>
      <c r="MY30" s="188"/>
      <c r="MZ30" s="188"/>
      <c r="NA30" s="188"/>
      <c r="NB30" s="188"/>
      <c r="NC30" s="188"/>
      <c r="ND30" s="188"/>
      <c r="NE30" s="188"/>
      <c r="NF30" s="188"/>
      <c r="NG30" s="188"/>
      <c r="NH30" s="188"/>
      <c r="NI30" s="188"/>
      <c r="NJ30" s="188"/>
      <c r="NK30" s="188"/>
      <c r="NL30" s="188"/>
      <c r="NM30" s="188"/>
      <c r="NN30" s="188"/>
      <c r="NO30" s="188"/>
      <c r="NP30" s="188"/>
      <c r="NQ30" s="188"/>
      <c r="NR30" s="188"/>
      <c r="NS30" s="188"/>
      <c r="NT30" s="188"/>
      <c r="NU30" s="188"/>
      <c r="NV30" s="188"/>
      <c r="NW30" s="188"/>
      <c r="NX30" s="188"/>
      <c r="NY30" s="188"/>
      <c r="NZ30" s="188"/>
      <c r="OA30" s="188"/>
      <c r="OB30" s="188"/>
      <c r="OC30" s="188"/>
      <c r="OD30" s="188"/>
      <c r="OE30" s="188"/>
      <c r="OF30" s="188"/>
      <c r="OG30" s="188"/>
      <c r="OH30" s="188"/>
      <c r="OI30" s="188"/>
      <c r="OJ30" s="188"/>
      <c r="OK30" s="188"/>
      <c r="OL30" s="188"/>
      <c r="OM30" s="188"/>
      <c r="ON30" s="188"/>
      <c r="OO30" s="188"/>
      <c r="OP30" s="188"/>
      <c r="OQ30" s="188"/>
      <c r="OR30" s="188"/>
      <c r="OS30" s="188"/>
      <c r="OT30" s="188"/>
      <c r="OU30" s="188"/>
      <c r="OV30" s="188"/>
      <c r="OW30" s="188"/>
      <c r="OX30" s="188"/>
      <c r="OY30" s="188"/>
      <c r="OZ30" s="188"/>
      <c r="PA30" s="188"/>
      <c r="PB30" s="188"/>
      <c r="PC30" s="188"/>
      <c r="PD30" s="188"/>
      <c r="PE30" s="188"/>
      <c r="PF30" s="188"/>
      <c r="PG30" s="188"/>
      <c r="PH30" s="188"/>
      <c r="PI30" s="188"/>
      <c r="PJ30" s="188"/>
      <c r="PK30" s="188"/>
      <c r="PL30" s="188"/>
      <c r="PM30" s="188"/>
      <c r="PN30" s="188"/>
      <c r="PO30" s="188"/>
      <c r="PP30" s="188"/>
      <c r="PQ30" s="188"/>
      <c r="PR30" s="188"/>
      <c r="PS30" s="188"/>
      <c r="PT30" s="188"/>
      <c r="PU30" s="188"/>
      <c r="PV30" s="188"/>
      <c r="PW30" s="188"/>
      <c r="PX30" s="188"/>
      <c r="PY30" s="188"/>
      <c r="PZ30" s="188"/>
      <c r="QA30" s="188"/>
      <c r="QB30" s="188"/>
      <c r="QC30" s="188"/>
      <c r="QD30" s="188"/>
      <c r="QE30" s="188"/>
      <c r="QF30" s="188"/>
      <c r="QG30" s="188"/>
      <c r="QH30" s="188"/>
      <c r="QI30" s="188"/>
      <c r="QJ30" s="188"/>
      <c r="QK30" s="188"/>
      <c r="QL30" s="188"/>
      <c r="QM30" s="188"/>
      <c r="QN30" s="188"/>
      <c r="QO30" s="188"/>
      <c r="QP30" s="188"/>
      <c r="QQ30" s="188"/>
      <c r="QR30" s="188"/>
      <c r="QS30" s="188"/>
      <c r="QT30" s="188"/>
      <c r="QU30" s="188"/>
      <c r="QV30" s="188"/>
      <c r="QW30" s="188"/>
      <c r="QX30" s="188"/>
      <c r="QY30" s="188"/>
      <c r="QZ30" s="188"/>
      <c r="RA30" s="188"/>
      <c r="RB30" s="188"/>
      <c r="RC30" s="188"/>
      <c r="RD30" s="188"/>
      <c r="RE30" s="188"/>
      <c r="RF30" s="188"/>
      <c r="RG30" s="188"/>
      <c r="RH30" s="188"/>
      <c r="RI30" s="188"/>
      <c r="RJ30" s="188"/>
      <c r="RK30" s="188"/>
      <c r="RL30" s="188"/>
      <c r="RM30" s="188"/>
      <c r="RN30" s="188"/>
      <c r="RO30" s="188"/>
      <c r="RP30" s="188"/>
      <c r="RQ30" s="188"/>
      <c r="RR30" s="188"/>
      <c r="RS30" s="188"/>
      <c r="RT30" s="188"/>
      <c r="RU30" s="188"/>
      <c r="RV30" s="188"/>
      <c r="RW30" s="188"/>
      <c r="RX30" s="188"/>
      <c r="RY30" s="188"/>
      <c r="RZ30" s="188"/>
      <c r="SA30" s="188"/>
      <c r="SB30" s="188"/>
      <c r="SC30" s="188"/>
      <c r="SD30" s="188"/>
      <c r="SE30" s="188"/>
      <c r="SF30" s="188"/>
      <c r="SG30" s="188"/>
      <c r="SH30" s="188"/>
      <c r="SI30" s="188"/>
      <c r="SJ30" s="188"/>
      <c r="SK30" s="188"/>
      <c r="SL30" s="188"/>
      <c r="SM30" s="188"/>
      <c r="SN30" s="188"/>
      <c r="SO30" s="188"/>
      <c r="SP30" s="188"/>
      <c r="SQ30" s="188"/>
      <c r="SR30" s="188"/>
      <c r="SS30" s="188"/>
      <c r="ST30" s="188"/>
      <c r="SU30" s="188"/>
      <c r="SV30" s="188"/>
      <c r="SW30" s="188"/>
      <c r="SX30" s="188"/>
      <c r="SY30" s="188"/>
      <c r="SZ30" s="188"/>
      <c r="TA30" s="188"/>
      <c r="TB30" s="188"/>
      <c r="TC30" s="188"/>
      <c r="TD30" s="188"/>
      <c r="TE30" s="188"/>
      <c r="TF30" s="188"/>
      <c r="TG30" s="188"/>
      <c r="TH30" s="188"/>
      <c r="TI30" s="188"/>
      <c r="TJ30" s="188"/>
      <c r="TK30" s="188"/>
      <c r="TL30" s="188"/>
      <c r="TM30" s="188"/>
      <c r="TN30" s="188"/>
      <c r="TO30" s="188"/>
      <c r="TP30" s="188"/>
      <c r="TQ30" s="188"/>
      <c r="TR30" s="188"/>
      <c r="TS30" s="188"/>
      <c r="TT30" s="188"/>
      <c r="TU30" s="188"/>
      <c r="TV30" s="188"/>
      <c r="TW30" s="188"/>
      <c r="TX30" s="188"/>
      <c r="TY30" s="188"/>
      <c r="TZ30" s="188"/>
      <c r="UA30" s="188"/>
      <c r="UB30" s="188"/>
      <c r="UC30" s="188"/>
      <c r="UD30" s="188"/>
      <c r="UE30" s="188"/>
      <c r="UF30" s="188"/>
      <c r="UG30" s="188"/>
      <c r="UH30" s="188"/>
      <c r="UI30" s="188"/>
      <c r="UJ30" s="188"/>
      <c r="UK30" s="188"/>
      <c r="UL30" s="188"/>
      <c r="UM30" s="188"/>
      <c r="UN30" s="188"/>
      <c r="UO30" s="188"/>
      <c r="UP30" s="188"/>
      <c r="UQ30" s="188"/>
      <c r="UR30" s="188"/>
      <c r="US30" s="188"/>
      <c r="UT30" s="188"/>
      <c r="UU30" s="188"/>
      <c r="UV30" s="188"/>
      <c r="UW30" s="188"/>
      <c r="UX30" s="188"/>
      <c r="UY30" s="188"/>
      <c r="UZ30" s="188"/>
      <c r="VA30" s="188"/>
      <c r="VB30" s="188"/>
      <c r="VC30" s="188"/>
      <c r="VD30" s="188"/>
      <c r="VE30" s="188"/>
      <c r="VF30" s="188"/>
      <c r="VG30" s="188"/>
      <c r="VH30" s="188"/>
      <c r="VI30" s="188"/>
      <c r="VJ30" s="188"/>
      <c r="VK30" s="188"/>
      <c r="VL30" s="188"/>
      <c r="VM30" s="188"/>
      <c r="VN30" s="188"/>
      <c r="VO30" s="188"/>
      <c r="VP30" s="188"/>
      <c r="VQ30" s="188"/>
      <c r="VR30" s="188"/>
      <c r="VS30" s="188"/>
      <c r="VT30" s="188"/>
      <c r="VU30" s="188"/>
      <c r="VV30" s="188"/>
      <c r="VW30" s="188"/>
      <c r="VX30" s="188"/>
      <c r="VY30" s="188"/>
      <c r="VZ30" s="188"/>
      <c r="WA30" s="188"/>
      <c r="WB30" s="188"/>
      <c r="WC30" s="188"/>
      <c r="WD30" s="188"/>
      <c r="WE30" s="188"/>
      <c r="WF30" s="188"/>
      <c r="WG30" s="188"/>
      <c r="WH30" s="188"/>
      <c r="WI30" s="188"/>
      <c r="WJ30" s="188"/>
      <c r="WK30" s="188"/>
      <c r="WL30" s="188"/>
      <c r="WM30" s="188"/>
      <c r="WN30" s="188"/>
      <c r="WO30" s="188"/>
      <c r="WP30" s="188"/>
      <c r="WQ30" s="188"/>
      <c r="WR30" s="188"/>
      <c r="WS30" s="188"/>
      <c r="WT30" s="188"/>
      <c r="WU30" s="188"/>
      <c r="WV30" s="188"/>
      <c r="WW30" s="188"/>
      <c r="WX30" s="188"/>
      <c r="WY30" s="188"/>
      <c r="WZ30" s="188"/>
      <c r="XA30" s="188"/>
      <c r="XB30" s="188"/>
      <c r="XC30" s="188"/>
      <c r="XD30" s="188"/>
      <c r="XE30" s="188"/>
      <c r="XF30" s="188"/>
      <c r="XG30" s="188"/>
      <c r="XH30" s="188"/>
      <c r="XI30" s="188"/>
      <c r="XJ30" s="188"/>
      <c r="XK30" s="188"/>
      <c r="XL30" s="188"/>
      <c r="XM30" s="188"/>
      <c r="XN30" s="188"/>
      <c r="XO30" s="188"/>
      <c r="XP30" s="188"/>
      <c r="XQ30" s="188"/>
      <c r="XR30" s="188"/>
      <c r="XS30" s="188"/>
      <c r="XT30" s="188"/>
      <c r="XU30" s="188"/>
      <c r="XV30" s="188"/>
      <c r="XW30" s="188"/>
      <c r="XX30" s="188"/>
      <c r="XY30" s="188"/>
      <c r="XZ30" s="188"/>
      <c r="YA30" s="188"/>
      <c r="YB30" s="188"/>
      <c r="YC30" s="188"/>
      <c r="YD30" s="188"/>
      <c r="YE30" s="188"/>
      <c r="YF30" s="188"/>
      <c r="YG30" s="188"/>
      <c r="YH30" s="188"/>
      <c r="YI30" s="188"/>
      <c r="YJ30" s="188"/>
      <c r="YK30" s="188"/>
      <c r="YL30" s="188"/>
      <c r="YM30" s="188"/>
      <c r="YN30" s="188"/>
      <c r="YO30" s="188"/>
      <c r="YP30" s="188"/>
      <c r="YQ30" s="188"/>
      <c r="YR30" s="188"/>
      <c r="YS30" s="188"/>
      <c r="YT30" s="188"/>
      <c r="YU30" s="188"/>
      <c r="YV30" s="188"/>
      <c r="YW30" s="188"/>
      <c r="YX30" s="188"/>
      <c r="YY30" s="188"/>
      <c r="YZ30" s="188"/>
      <c r="ZA30" s="188"/>
      <c r="ZB30" s="188"/>
      <c r="ZC30" s="188"/>
      <c r="ZD30" s="188"/>
      <c r="ZE30" s="188"/>
      <c r="ZF30" s="188"/>
      <c r="ZG30" s="188"/>
      <c r="ZH30" s="188"/>
      <c r="ZI30" s="188"/>
      <c r="ZJ30" s="188"/>
      <c r="ZK30" s="188"/>
      <c r="ZL30" s="188"/>
      <c r="ZM30" s="188"/>
      <c r="ZN30" s="188"/>
      <c r="ZO30" s="188"/>
      <c r="ZP30" s="188"/>
      <c r="ZQ30" s="188"/>
      <c r="ZR30" s="188"/>
      <c r="ZS30" s="188"/>
      <c r="ZT30" s="188"/>
      <c r="ZU30" s="188"/>
      <c r="ZV30" s="188"/>
      <c r="ZW30" s="188"/>
      <c r="ZX30" s="188"/>
      <c r="ZY30" s="188"/>
      <c r="ZZ30" s="188"/>
      <c r="AAA30" s="188"/>
      <c r="AAB30" s="188"/>
      <c r="AAC30" s="188"/>
      <c r="AAD30" s="188"/>
      <c r="AAE30" s="188"/>
      <c r="AAF30" s="188"/>
      <c r="AAG30" s="188"/>
      <c r="AAH30" s="188"/>
      <c r="AAI30" s="188"/>
      <c r="AAJ30" s="188"/>
      <c r="AAK30" s="188"/>
      <c r="AAL30" s="188"/>
      <c r="AAM30" s="188"/>
      <c r="AAN30" s="188"/>
      <c r="AAO30" s="188"/>
      <c r="AAP30" s="188"/>
      <c r="AAQ30" s="188"/>
      <c r="AAR30" s="188"/>
      <c r="AAS30" s="188"/>
      <c r="AAT30" s="188"/>
      <c r="AAU30" s="188"/>
      <c r="AAV30" s="188"/>
      <c r="AAW30" s="188"/>
      <c r="AAX30" s="188"/>
      <c r="AAY30" s="188"/>
      <c r="AAZ30" s="188"/>
      <c r="ABA30" s="188"/>
      <c r="ABB30" s="188"/>
      <c r="ABC30" s="188"/>
      <c r="ABD30" s="188"/>
      <c r="ABE30" s="188"/>
      <c r="ABF30" s="188"/>
      <c r="ABG30" s="188"/>
      <c r="ABH30" s="188"/>
      <c r="ABI30" s="188"/>
      <c r="ABJ30" s="188"/>
      <c r="ABK30" s="188"/>
      <c r="ABL30" s="188"/>
      <c r="ABM30" s="188"/>
      <c r="ABN30" s="188"/>
      <c r="ABO30" s="188"/>
      <c r="ABP30" s="188"/>
      <c r="ABQ30" s="188"/>
      <c r="ABR30" s="188"/>
      <c r="ABS30" s="188"/>
      <c r="ABT30" s="188"/>
      <c r="ABU30" s="188"/>
      <c r="ABV30" s="188"/>
      <c r="ABW30" s="188"/>
      <c r="ABX30" s="188"/>
      <c r="ABY30" s="188"/>
      <c r="ABZ30" s="188"/>
      <c r="ACA30" s="188"/>
      <c r="ACB30" s="188"/>
      <c r="ACC30" s="188"/>
      <c r="ACD30" s="188"/>
      <c r="ACE30" s="188"/>
      <c r="ACF30" s="188"/>
      <c r="ACG30" s="188"/>
      <c r="ACH30" s="188"/>
      <c r="ACI30" s="188"/>
      <c r="ACJ30" s="188"/>
      <c r="ACK30" s="188"/>
      <c r="ACL30" s="188"/>
      <c r="ACM30" s="188"/>
      <c r="ACN30" s="188"/>
      <c r="ACO30" s="188"/>
      <c r="ACP30" s="188"/>
      <c r="ACQ30" s="188"/>
      <c r="ACR30" s="188"/>
      <c r="ACS30" s="188"/>
      <c r="ACT30" s="188"/>
      <c r="ACU30" s="188"/>
      <c r="ACV30" s="188"/>
      <c r="ACW30" s="188"/>
      <c r="ACX30" s="188"/>
      <c r="ACY30" s="188"/>
      <c r="ACZ30" s="188"/>
      <c r="ADA30" s="188"/>
      <c r="ADB30" s="188"/>
      <c r="ADC30" s="188"/>
      <c r="ADD30" s="188"/>
      <c r="ADE30" s="188"/>
      <c r="ADF30" s="188"/>
      <c r="ADG30" s="188"/>
      <c r="ADH30" s="188"/>
      <c r="ADI30" s="188"/>
      <c r="ADJ30" s="188"/>
      <c r="ADK30" s="188"/>
      <c r="ADL30" s="188"/>
      <c r="ADM30" s="188"/>
      <c r="ADN30" s="188"/>
      <c r="ADO30" s="188"/>
      <c r="ADP30" s="188"/>
      <c r="ADQ30" s="188"/>
      <c r="ADR30" s="188"/>
      <c r="ADS30" s="188"/>
      <c r="ADT30" s="188"/>
      <c r="ADU30" s="188"/>
      <c r="ADV30" s="188"/>
      <c r="ADW30" s="188"/>
      <c r="ADX30" s="188"/>
      <c r="ADY30" s="188"/>
      <c r="ADZ30" s="188"/>
      <c r="AEA30" s="188"/>
      <c r="AEB30" s="188"/>
      <c r="AEC30" s="188"/>
      <c r="AED30" s="188"/>
      <c r="AEE30" s="188"/>
      <c r="AEF30" s="188"/>
      <c r="AEG30" s="188"/>
      <c r="AEH30" s="188"/>
      <c r="AEI30" s="188"/>
      <c r="AEJ30" s="188"/>
      <c r="AEK30" s="188"/>
      <c r="AEL30" s="188"/>
      <c r="AEM30" s="188"/>
      <c r="AEN30" s="188"/>
      <c r="AEO30" s="188"/>
      <c r="AEP30" s="188"/>
      <c r="AEQ30" s="188"/>
      <c r="AER30" s="188"/>
      <c r="AES30" s="188"/>
      <c r="AET30" s="188"/>
      <c r="AEU30" s="188"/>
      <c r="AEV30" s="188"/>
      <c r="AEW30" s="188"/>
      <c r="AEX30" s="188"/>
      <c r="AEY30" s="188"/>
      <c r="AEZ30" s="188"/>
      <c r="AFA30" s="188"/>
      <c r="AFB30" s="188"/>
      <c r="AFC30" s="188"/>
      <c r="AFD30" s="188"/>
      <c r="AFE30" s="188"/>
      <c r="AFF30" s="188"/>
      <c r="AFG30" s="188"/>
      <c r="AFH30" s="188"/>
      <c r="AFI30" s="188"/>
      <c r="AFJ30" s="188"/>
      <c r="AFK30" s="188"/>
      <c r="AFL30" s="188"/>
      <c r="AFM30" s="188"/>
      <c r="AFN30" s="188"/>
      <c r="AFO30" s="188"/>
      <c r="AFP30" s="188"/>
      <c r="AFQ30" s="188"/>
      <c r="AFR30" s="188"/>
      <c r="AFS30" s="188"/>
      <c r="AFT30" s="188"/>
      <c r="AFU30" s="188"/>
      <c r="AFV30" s="188"/>
      <c r="AFW30" s="188"/>
      <c r="AFX30" s="188"/>
      <c r="AFY30" s="188"/>
      <c r="AFZ30" s="188"/>
      <c r="AGA30" s="188"/>
      <c r="AGB30" s="188"/>
      <c r="AGC30" s="188"/>
      <c r="AGD30" s="188"/>
      <c r="AGE30" s="188"/>
      <c r="AGF30" s="188"/>
      <c r="AGG30" s="188"/>
      <c r="AGH30" s="188"/>
      <c r="AGI30" s="188"/>
      <c r="AGJ30" s="188"/>
      <c r="AGK30" s="188"/>
      <c r="AGL30" s="188"/>
      <c r="AGM30" s="188"/>
      <c r="AGN30" s="188"/>
      <c r="AGO30" s="188"/>
      <c r="AGP30" s="188"/>
      <c r="AGQ30" s="188"/>
      <c r="AGR30" s="188"/>
      <c r="AGS30" s="188"/>
      <c r="AGT30" s="188"/>
      <c r="AGU30" s="188"/>
      <c r="AGV30" s="188"/>
      <c r="AGW30" s="188"/>
      <c r="AGX30" s="188"/>
      <c r="AGY30" s="188"/>
      <c r="AGZ30" s="188"/>
      <c r="AHA30" s="188"/>
      <c r="AHB30" s="188"/>
      <c r="AHC30" s="188"/>
      <c r="AHD30" s="188"/>
      <c r="AHE30" s="188"/>
      <c r="AHF30" s="188"/>
      <c r="AHG30" s="188"/>
      <c r="AHH30" s="188"/>
      <c r="AHI30" s="188"/>
      <c r="AHJ30" s="188"/>
      <c r="AHK30" s="188"/>
      <c r="AHL30" s="188"/>
      <c r="AHM30" s="188"/>
      <c r="AHN30" s="188"/>
      <c r="AHO30" s="188"/>
      <c r="AHP30" s="188"/>
      <c r="AHQ30" s="188"/>
      <c r="AHR30" s="188"/>
      <c r="AHS30" s="188"/>
      <c r="AHT30" s="188"/>
      <c r="AHU30" s="188"/>
      <c r="AHV30" s="188"/>
      <c r="AHW30" s="188"/>
      <c r="AHX30" s="188"/>
      <c r="AHY30" s="188"/>
      <c r="AHZ30" s="188"/>
      <c r="AIA30" s="188"/>
      <c r="AIB30" s="188"/>
      <c r="AIC30" s="188"/>
      <c r="AID30" s="188"/>
      <c r="AIE30" s="188"/>
      <c r="AIF30" s="188"/>
      <c r="AIG30" s="188"/>
      <c r="AIH30" s="188"/>
      <c r="AII30" s="188"/>
      <c r="AIJ30" s="188"/>
      <c r="AIK30" s="188"/>
      <c r="AIL30" s="188"/>
      <c r="AIM30" s="188"/>
      <c r="AIN30" s="188"/>
      <c r="AIO30" s="188"/>
      <c r="AIP30" s="188"/>
      <c r="AIQ30" s="188"/>
      <c r="AIR30" s="188"/>
      <c r="AIS30" s="188"/>
      <c r="AIT30" s="188"/>
      <c r="AIU30" s="188"/>
      <c r="AIV30" s="188"/>
      <c r="AIW30" s="188"/>
      <c r="AIX30" s="188"/>
      <c r="AIY30" s="188"/>
      <c r="AIZ30" s="188"/>
      <c r="AJA30" s="188"/>
      <c r="AJB30" s="188"/>
      <c r="AJC30" s="188"/>
      <c r="AJD30" s="188"/>
      <c r="AJE30" s="188"/>
      <c r="AJF30" s="188"/>
      <c r="AJG30" s="188"/>
      <c r="AJH30" s="188"/>
      <c r="AJI30" s="188"/>
      <c r="AJJ30" s="188"/>
      <c r="AJK30" s="188"/>
      <c r="AJL30" s="188"/>
      <c r="AJM30" s="188"/>
      <c r="AJN30" s="188"/>
      <c r="AJO30" s="188"/>
      <c r="AJP30" s="188"/>
      <c r="AJQ30" s="188"/>
      <c r="AJR30" s="188"/>
      <c r="AJS30" s="188"/>
      <c r="AJT30" s="188"/>
      <c r="AJU30" s="188"/>
      <c r="AJV30" s="188"/>
      <c r="AJW30" s="188"/>
      <c r="AJX30" s="188"/>
      <c r="AJY30" s="188"/>
      <c r="AJZ30" s="188"/>
      <c r="AKA30" s="188"/>
      <c r="AKB30" s="188"/>
      <c r="AKC30" s="188"/>
      <c r="AKD30" s="188"/>
      <c r="AKE30" s="188"/>
      <c r="AKF30" s="188"/>
      <c r="AKG30" s="188"/>
      <c r="AKH30" s="188"/>
      <c r="AKI30" s="188"/>
      <c r="AKJ30" s="188"/>
      <c r="AKK30" s="188"/>
      <c r="AKL30" s="188"/>
      <c r="AKM30" s="188"/>
      <c r="AKN30" s="188"/>
      <c r="AKO30" s="188"/>
      <c r="AKP30" s="188"/>
      <c r="AKQ30" s="188"/>
      <c r="AKR30" s="188"/>
      <c r="AKS30" s="188"/>
      <c r="AKT30" s="188"/>
      <c r="AKU30" s="188"/>
      <c r="AKV30" s="188"/>
      <c r="AKW30" s="188"/>
      <c r="AKX30" s="188"/>
      <c r="AKY30" s="188"/>
      <c r="AKZ30" s="188"/>
      <c r="ALA30" s="188"/>
      <c r="ALB30" s="188"/>
      <c r="ALC30" s="188"/>
      <c r="ALD30" s="188"/>
      <c r="ALE30" s="188"/>
      <c r="ALF30" s="188"/>
      <c r="ALG30" s="188"/>
      <c r="ALH30" s="188"/>
      <c r="ALI30" s="188"/>
      <c r="ALJ30" s="188"/>
      <c r="ALK30" s="188"/>
      <c r="ALL30" s="188"/>
      <c r="ALM30" s="188"/>
      <c r="ALN30" s="188"/>
      <c r="ALO30" s="188"/>
      <c r="ALP30" s="188"/>
      <c r="ALQ30" s="188"/>
      <c r="ALR30" s="188"/>
      <c r="ALS30" s="188"/>
      <c r="ALT30" s="188"/>
      <c r="ALU30" s="188"/>
      <c r="ALV30" s="188"/>
      <c r="ALW30" s="188"/>
      <c r="ALX30" s="188"/>
      <c r="ALY30" s="188"/>
      <c r="ALZ30" s="188"/>
      <c r="AMA30" s="188"/>
      <c r="AMB30" s="188"/>
      <c r="AMC30" s="188"/>
      <c r="AMD30" s="188"/>
      <c r="AME30" s="188"/>
      <c r="AMF30" s="188"/>
      <c r="AMG30" s="188"/>
      <c r="AMH30" s="188"/>
      <c r="AMI30" s="188"/>
      <c r="AMJ30" s="188"/>
      <c r="AMK30" s="188"/>
      <c r="AML30" s="188"/>
      <c r="AMM30" s="188"/>
      <c r="AMN30" s="188"/>
      <c r="AMO30" s="188"/>
      <c r="AMP30" s="188"/>
      <c r="AMQ30" s="188"/>
      <c r="AMR30" s="188"/>
      <c r="AMS30" s="188"/>
      <c r="AMT30" s="188"/>
      <c r="AMU30" s="188"/>
      <c r="AMV30" s="188"/>
      <c r="AMW30" s="188"/>
      <c r="AMX30" s="188"/>
      <c r="AMY30" s="188"/>
      <c r="AMZ30" s="188"/>
      <c r="ANA30" s="188"/>
      <c r="ANB30" s="188"/>
      <c r="ANC30" s="188"/>
      <c r="AND30" s="188"/>
      <c r="ANE30" s="188"/>
      <c r="ANF30" s="188"/>
      <c r="ANG30" s="188"/>
      <c r="ANH30" s="188"/>
      <c r="ANI30" s="188"/>
      <c r="ANJ30" s="188"/>
      <c r="ANK30" s="188"/>
      <c r="ANL30" s="188"/>
      <c r="ANM30" s="188"/>
      <c r="ANN30" s="188"/>
      <c r="ANO30" s="188"/>
      <c r="ANP30" s="188"/>
      <c r="ANQ30" s="188"/>
      <c r="ANR30" s="188"/>
      <c r="ANS30" s="188"/>
      <c r="ANT30" s="188"/>
      <c r="ANU30" s="188"/>
      <c r="ANV30" s="188"/>
      <c r="ANW30" s="188"/>
      <c r="ANX30" s="188"/>
      <c r="ANY30" s="188"/>
      <c r="ANZ30" s="188"/>
      <c r="AOA30" s="188"/>
      <c r="AOB30" s="188"/>
      <c r="AOC30" s="188"/>
      <c r="AOD30" s="188"/>
      <c r="AOE30" s="188"/>
      <c r="AOF30" s="188"/>
      <c r="AOG30" s="188"/>
      <c r="AOH30" s="188"/>
      <c r="AOI30" s="188"/>
      <c r="AOJ30" s="188"/>
      <c r="AOK30" s="188"/>
      <c r="AOL30" s="188"/>
      <c r="AOM30" s="188"/>
      <c r="AON30" s="188"/>
      <c r="AOO30" s="188"/>
      <c r="AOP30" s="188"/>
      <c r="AOQ30" s="188"/>
      <c r="AOR30" s="188"/>
      <c r="AOS30" s="188"/>
      <c r="AOT30" s="188"/>
      <c r="AOU30" s="188"/>
      <c r="AOV30" s="188"/>
      <c r="AOW30" s="188"/>
      <c r="AOX30" s="188"/>
      <c r="AOY30" s="188"/>
      <c r="AOZ30" s="188"/>
      <c r="APA30" s="188"/>
      <c r="APB30" s="188"/>
      <c r="APC30" s="188"/>
      <c r="APD30" s="188"/>
      <c r="APE30" s="188"/>
      <c r="APF30" s="188"/>
      <c r="APG30" s="188"/>
      <c r="APH30" s="188"/>
      <c r="API30" s="188"/>
      <c r="APJ30" s="188"/>
      <c r="APK30" s="188"/>
      <c r="APL30" s="188"/>
      <c r="APM30" s="188"/>
      <c r="APN30" s="188"/>
      <c r="APO30" s="188"/>
      <c r="APP30" s="188"/>
      <c r="APQ30" s="188"/>
      <c r="APR30" s="188"/>
      <c r="APS30" s="188"/>
      <c r="APT30" s="188"/>
      <c r="APU30" s="188"/>
      <c r="APV30" s="188"/>
      <c r="APW30" s="188"/>
      <c r="APX30" s="188"/>
      <c r="APY30" s="188"/>
      <c r="APZ30" s="188"/>
      <c r="AQA30" s="188"/>
      <c r="AQB30" s="188"/>
      <c r="AQC30" s="188"/>
      <c r="AQD30" s="188"/>
      <c r="AQE30" s="188"/>
      <c r="AQF30" s="188"/>
      <c r="AQG30" s="188"/>
      <c r="AQH30" s="188"/>
      <c r="AQI30" s="188"/>
      <c r="AQJ30" s="188"/>
      <c r="AQK30" s="188"/>
      <c r="AQL30" s="188"/>
      <c r="AQM30" s="188"/>
      <c r="AQN30" s="188"/>
      <c r="AQO30" s="188"/>
      <c r="AQP30" s="188"/>
      <c r="AQQ30" s="188"/>
      <c r="AQR30" s="188"/>
      <c r="AQS30" s="188"/>
      <c r="AQT30" s="188"/>
      <c r="AQU30" s="188"/>
      <c r="AQV30" s="188"/>
      <c r="AQW30" s="188"/>
      <c r="AQX30" s="188"/>
      <c r="AQY30" s="188"/>
      <c r="AQZ30" s="188"/>
      <c r="ARA30" s="188"/>
      <c r="ARB30" s="188"/>
      <c r="ARC30" s="188"/>
      <c r="ARD30" s="188"/>
      <c r="ARE30" s="188"/>
      <c r="ARF30" s="188"/>
      <c r="ARG30" s="188"/>
      <c r="ARH30" s="188"/>
      <c r="ARI30" s="188"/>
      <c r="ARJ30" s="188"/>
      <c r="ARK30" s="188"/>
      <c r="ARL30" s="188"/>
      <c r="ARM30" s="188"/>
      <c r="ARN30" s="188"/>
      <c r="ARO30" s="188"/>
      <c r="ARP30" s="188"/>
      <c r="ARQ30" s="188"/>
      <c r="ARR30" s="188"/>
      <c r="ARS30" s="188"/>
      <c r="ART30" s="188"/>
      <c r="ARU30" s="188"/>
      <c r="ARV30" s="188"/>
      <c r="ARW30" s="188"/>
      <c r="ARX30" s="188"/>
      <c r="ARY30" s="188"/>
      <c r="ARZ30" s="188"/>
      <c r="ASA30" s="188"/>
      <c r="ASB30" s="188"/>
      <c r="ASC30" s="188"/>
      <c r="ASD30" s="188"/>
      <c r="ASE30" s="188"/>
      <c r="ASF30" s="188"/>
      <c r="ASG30" s="188"/>
      <c r="ASH30" s="188"/>
      <c r="ASI30" s="188"/>
      <c r="ASJ30" s="188"/>
      <c r="ASK30" s="188"/>
      <c r="ASL30" s="188"/>
      <c r="ASM30" s="188"/>
      <c r="ASN30" s="188"/>
      <c r="ASO30" s="188"/>
      <c r="ASP30" s="188"/>
      <c r="ASQ30" s="188"/>
      <c r="ASR30" s="188"/>
      <c r="ASS30" s="188"/>
      <c r="AST30" s="188"/>
      <c r="ASU30" s="188"/>
      <c r="ASV30" s="188"/>
      <c r="ASW30" s="188"/>
      <c r="ASX30" s="188"/>
      <c r="ASY30" s="188"/>
      <c r="ASZ30" s="188"/>
      <c r="ATA30" s="188"/>
      <c r="ATB30" s="188"/>
      <c r="ATC30" s="188"/>
      <c r="ATD30" s="188"/>
      <c r="ATE30" s="188"/>
      <c r="ATF30" s="188"/>
      <c r="ATG30" s="188"/>
      <c r="ATH30" s="188"/>
      <c r="ATI30" s="188"/>
      <c r="ATJ30" s="188"/>
      <c r="ATK30" s="188"/>
      <c r="ATL30" s="188"/>
      <c r="ATM30" s="188"/>
      <c r="ATN30" s="188"/>
      <c r="ATO30" s="188"/>
      <c r="ATP30" s="188"/>
      <c r="ATQ30" s="188"/>
      <c r="ATR30" s="188"/>
      <c r="ATS30" s="188"/>
      <c r="ATT30" s="188"/>
      <c r="ATU30" s="188"/>
      <c r="ATV30" s="188"/>
      <c r="ATW30" s="188"/>
      <c r="ATX30" s="188"/>
      <c r="ATY30" s="188"/>
      <c r="ATZ30" s="188"/>
      <c r="AUA30" s="188"/>
      <c r="AUB30" s="188"/>
      <c r="AUC30" s="188"/>
      <c r="AUD30" s="188"/>
      <c r="AUE30" s="188"/>
      <c r="AUF30" s="188"/>
      <c r="AUG30" s="188"/>
      <c r="AUH30" s="188"/>
      <c r="AUI30" s="188"/>
      <c r="AUJ30" s="188"/>
      <c r="AUK30" s="188"/>
      <c r="AUL30" s="188"/>
      <c r="AUM30" s="188"/>
      <c r="AUN30" s="188"/>
      <c r="AUO30" s="188"/>
      <c r="AUP30" s="188"/>
      <c r="AUQ30" s="188"/>
      <c r="AUR30" s="188"/>
      <c r="AUS30" s="188"/>
      <c r="AUT30" s="188"/>
      <c r="AUU30" s="188"/>
      <c r="AUV30" s="188"/>
      <c r="AUW30" s="188"/>
      <c r="AUX30" s="188"/>
      <c r="AUY30" s="188"/>
      <c r="AUZ30" s="188"/>
      <c r="AVA30" s="188"/>
      <c r="AVB30" s="188"/>
      <c r="AVC30" s="188"/>
      <c r="AVD30" s="188"/>
      <c r="AVE30" s="188"/>
      <c r="AVF30" s="188"/>
      <c r="AVG30" s="188"/>
      <c r="AVH30" s="188"/>
      <c r="AVI30" s="188"/>
      <c r="AVJ30" s="188"/>
      <c r="AVK30" s="188"/>
      <c r="AVL30" s="188"/>
      <c r="AVM30" s="188"/>
      <c r="AVN30" s="188"/>
      <c r="AVO30" s="188"/>
      <c r="AVP30" s="188"/>
      <c r="AVQ30" s="188"/>
      <c r="AVR30" s="188"/>
      <c r="AVS30" s="188"/>
      <c r="AVT30" s="188"/>
      <c r="AVU30" s="188"/>
      <c r="AVV30" s="188"/>
      <c r="AVW30" s="188"/>
      <c r="AVX30" s="188"/>
      <c r="AVY30" s="188"/>
      <c r="AVZ30" s="188"/>
      <c r="AWA30" s="188"/>
      <c r="AWB30" s="188"/>
      <c r="AWC30" s="188"/>
      <c r="AWD30" s="188"/>
      <c r="AWE30" s="188"/>
      <c r="AWF30" s="188"/>
      <c r="AWG30" s="188"/>
      <c r="AWH30" s="188"/>
      <c r="AWI30" s="188"/>
      <c r="AWJ30" s="188"/>
      <c r="AWK30" s="188"/>
      <c r="AWL30" s="188"/>
      <c r="AWM30" s="188"/>
      <c r="AWN30" s="188"/>
      <c r="AWO30" s="188"/>
      <c r="AWP30" s="188"/>
      <c r="AWQ30" s="188"/>
      <c r="AWR30" s="188"/>
      <c r="AWS30" s="188"/>
      <c r="AWT30" s="188"/>
      <c r="AWU30" s="188"/>
      <c r="AWV30" s="188"/>
      <c r="AWW30" s="188"/>
      <c r="AWX30" s="188"/>
      <c r="AWY30" s="188"/>
      <c r="AWZ30" s="188"/>
      <c r="AXA30" s="188"/>
      <c r="AXB30" s="188"/>
      <c r="AXC30" s="188"/>
      <c r="AXD30" s="188"/>
      <c r="AXE30" s="188"/>
      <c r="AXF30" s="188"/>
      <c r="AXG30" s="188"/>
      <c r="AXH30" s="188"/>
      <c r="AXI30" s="188"/>
      <c r="AXJ30" s="188"/>
      <c r="AXK30" s="188"/>
      <c r="AXL30" s="188"/>
      <c r="AXM30" s="188"/>
      <c r="AXN30" s="188"/>
      <c r="AXO30" s="188"/>
      <c r="AXP30" s="188"/>
      <c r="AXQ30" s="188"/>
      <c r="AXR30" s="188"/>
      <c r="AXS30" s="188"/>
      <c r="AXT30" s="188"/>
      <c r="AXU30" s="188"/>
      <c r="AXV30" s="188"/>
      <c r="AXW30" s="188"/>
      <c r="AXX30" s="188"/>
      <c r="AXY30" s="188"/>
      <c r="AXZ30" s="188"/>
      <c r="AYA30" s="188"/>
      <c r="AYB30" s="188"/>
      <c r="AYC30" s="188"/>
      <c r="AYD30" s="188"/>
      <c r="AYE30" s="188"/>
      <c r="AYF30" s="188"/>
      <c r="AYG30" s="188"/>
      <c r="AYH30" s="188"/>
      <c r="AYI30" s="188"/>
      <c r="AYJ30" s="188"/>
      <c r="AYK30" s="188"/>
      <c r="AYL30" s="188"/>
      <c r="AYM30" s="188"/>
      <c r="AYN30" s="188"/>
      <c r="AYO30" s="188"/>
      <c r="AYP30" s="188"/>
      <c r="AYQ30" s="188"/>
      <c r="AYR30" s="188"/>
      <c r="AYS30" s="188"/>
      <c r="AYT30" s="188"/>
      <c r="AYU30" s="188"/>
      <c r="AYV30" s="188"/>
      <c r="AYW30" s="188"/>
      <c r="AYX30" s="188"/>
      <c r="AYY30" s="188"/>
      <c r="AYZ30" s="188"/>
      <c r="AZA30" s="188"/>
      <c r="AZB30" s="188"/>
      <c r="AZC30" s="188"/>
      <c r="AZD30" s="188"/>
      <c r="AZE30" s="188"/>
      <c r="AZF30" s="188"/>
      <c r="AZG30" s="188"/>
      <c r="AZH30" s="188"/>
      <c r="AZI30" s="188"/>
      <c r="AZJ30" s="188"/>
      <c r="AZK30" s="188"/>
      <c r="AZL30" s="188"/>
      <c r="AZM30" s="188"/>
      <c r="AZN30" s="188"/>
      <c r="AZO30" s="188"/>
      <c r="AZP30" s="188"/>
      <c r="AZQ30" s="188"/>
      <c r="AZR30" s="188"/>
      <c r="AZS30" s="188"/>
      <c r="AZT30" s="188"/>
      <c r="AZU30" s="188"/>
      <c r="AZV30" s="188"/>
      <c r="AZW30" s="188"/>
      <c r="AZX30" s="188"/>
      <c r="AZY30" s="188"/>
      <c r="AZZ30" s="188"/>
      <c r="BAA30" s="188"/>
      <c r="BAB30" s="188"/>
      <c r="BAC30" s="188"/>
      <c r="BAD30" s="188"/>
      <c r="BAE30" s="188"/>
      <c r="BAF30" s="188"/>
      <c r="BAG30" s="188"/>
      <c r="BAH30" s="188"/>
      <c r="BAI30" s="188"/>
      <c r="BAJ30" s="188"/>
      <c r="BAK30" s="188"/>
      <c r="BAL30" s="188"/>
      <c r="BAM30" s="188"/>
      <c r="BAN30" s="188"/>
      <c r="BAO30" s="188"/>
      <c r="BAP30" s="188"/>
      <c r="BAQ30" s="188"/>
      <c r="BAR30" s="188"/>
      <c r="BAS30" s="188"/>
      <c r="BAT30" s="188"/>
      <c r="BAU30" s="188"/>
      <c r="BAV30" s="188"/>
      <c r="BAW30" s="188"/>
      <c r="BAX30" s="188"/>
      <c r="BAY30" s="188"/>
      <c r="BAZ30" s="188"/>
      <c r="BBA30" s="188"/>
      <c r="BBB30" s="188"/>
      <c r="BBC30" s="188"/>
      <c r="BBD30" s="188"/>
      <c r="BBE30" s="188"/>
      <c r="BBF30" s="188"/>
      <c r="BBG30" s="188"/>
      <c r="BBH30" s="188"/>
      <c r="BBI30" s="188"/>
      <c r="BBJ30" s="188"/>
      <c r="BBK30" s="188"/>
      <c r="BBL30" s="188"/>
      <c r="BBM30" s="188"/>
      <c r="BBN30" s="188"/>
      <c r="BBO30" s="188"/>
      <c r="BBP30" s="188"/>
      <c r="BBQ30" s="188"/>
      <c r="BBR30" s="188"/>
      <c r="BBS30" s="188"/>
      <c r="BBT30" s="188"/>
      <c r="BBU30" s="188"/>
      <c r="BBV30" s="188"/>
      <c r="BBW30" s="188"/>
      <c r="BBX30" s="188"/>
      <c r="BBY30" s="188"/>
      <c r="BBZ30" s="188"/>
      <c r="BCA30" s="188"/>
      <c r="BCB30" s="188"/>
      <c r="BCC30" s="188"/>
      <c r="BCD30" s="188"/>
      <c r="BCE30" s="188"/>
      <c r="BCF30" s="188"/>
      <c r="BCG30" s="188"/>
      <c r="BCH30" s="188"/>
      <c r="BCI30" s="188"/>
      <c r="BCJ30" s="188"/>
      <c r="BCK30" s="188"/>
      <c r="BCL30" s="188"/>
      <c r="BCM30" s="188"/>
      <c r="BCN30" s="188"/>
      <c r="BCO30" s="188"/>
      <c r="BCP30" s="188"/>
      <c r="BCQ30" s="188"/>
      <c r="BCR30" s="188"/>
      <c r="BCS30" s="188"/>
      <c r="BCT30" s="188"/>
      <c r="BCU30" s="188"/>
      <c r="BCV30" s="188"/>
      <c r="BCW30" s="188"/>
      <c r="BCX30" s="188"/>
      <c r="BCY30" s="188"/>
      <c r="BCZ30" s="188"/>
      <c r="BDA30" s="188"/>
      <c r="BDB30" s="188"/>
      <c r="BDC30" s="188"/>
      <c r="BDD30" s="188"/>
      <c r="BDE30" s="188"/>
      <c r="BDF30" s="188"/>
      <c r="BDG30" s="188"/>
      <c r="BDH30" s="188"/>
      <c r="BDI30" s="188"/>
      <c r="BDJ30" s="188"/>
      <c r="BDK30" s="188"/>
      <c r="BDL30" s="188"/>
      <c r="BDM30" s="188"/>
      <c r="BDN30" s="188"/>
      <c r="BDO30" s="188"/>
      <c r="BDP30" s="188"/>
      <c r="BDQ30" s="188"/>
      <c r="BDR30" s="188"/>
      <c r="BDS30" s="188"/>
      <c r="BDT30" s="188"/>
      <c r="BDU30" s="188"/>
      <c r="BDV30" s="188"/>
      <c r="BDW30" s="188"/>
      <c r="BDX30" s="188"/>
      <c r="BDY30" s="188"/>
      <c r="BDZ30" s="188"/>
      <c r="BEA30" s="188"/>
      <c r="BEB30" s="188"/>
      <c r="BEC30" s="188"/>
      <c r="BED30" s="188"/>
      <c r="BEE30" s="188"/>
      <c r="BEF30" s="188"/>
      <c r="BEG30" s="188"/>
      <c r="BEH30" s="188"/>
      <c r="BEI30" s="188"/>
      <c r="BEJ30" s="188"/>
      <c r="BEK30" s="188"/>
      <c r="BEL30" s="188"/>
      <c r="BEM30" s="188"/>
      <c r="BEN30" s="188"/>
      <c r="BEO30" s="188"/>
      <c r="BEP30" s="188"/>
      <c r="BEQ30" s="188"/>
      <c r="BER30" s="188"/>
      <c r="BES30" s="188"/>
      <c r="BET30" s="188"/>
      <c r="BEU30" s="188"/>
      <c r="BEV30" s="188"/>
      <c r="BEW30" s="188"/>
      <c r="BEX30" s="188"/>
      <c r="BEY30" s="188"/>
      <c r="BEZ30" s="188"/>
      <c r="BFA30" s="188"/>
      <c r="BFB30" s="188"/>
      <c r="BFC30" s="188"/>
      <c r="BFD30" s="188"/>
      <c r="BFE30" s="188"/>
      <c r="BFF30" s="188"/>
      <c r="BFG30" s="188"/>
      <c r="BFH30" s="188"/>
      <c r="BFI30" s="188"/>
      <c r="BFJ30" s="188"/>
      <c r="BFK30" s="188"/>
      <c r="BFL30" s="188"/>
      <c r="BFM30" s="188"/>
      <c r="BFN30" s="188"/>
      <c r="BFO30" s="188"/>
      <c r="BFP30" s="188"/>
      <c r="BFQ30" s="188"/>
      <c r="BFR30" s="188"/>
      <c r="BFS30" s="188"/>
      <c r="BFT30" s="188"/>
      <c r="BFU30" s="188"/>
      <c r="BFV30" s="188"/>
      <c r="BFW30" s="188"/>
      <c r="BFX30" s="188"/>
      <c r="BFY30" s="188"/>
      <c r="BFZ30" s="188"/>
      <c r="BGA30" s="188"/>
      <c r="BGB30" s="188"/>
      <c r="BGC30" s="188"/>
      <c r="BGD30" s="188"/>
      <c r="BGE30" s="188"/>
      <c r="BGF30" s="188"/>
      <c r="BGG30" s="188"/>
      <c r="BGH30" s="188"/>
      <c r="BGI30" s="188"/>
      <c r="BGJ30" s="188"/>
      <c r="BGK30" s="188"/>
      <c r="BGL30" s="188"/>
      <c r="BGM30" s="188"/>
      <c r="BGN30" s="188"/>
      <c r="BGO30" s="188"/>
      <c r="BGP30" s="188"/>
      <c r="BGQ30" s="188"/>
      <c r="BGR30" s="188"/>
      <c r="BGS30" s="188"/>
      <c r="BGT30" s="188"/>
      <c r="BGU30" s="188"/>
      <c r="BGV30" s="188"/>
      <c r="BGW30" s="188"/>
      <c r="BGX30" s="188"/>
      <c r="BGY30" s="188"/>
      <c r="BGZ30" s="188"/>
      <c r="BHA30" s="188"/>
      <c r="BHB30" s="188"/>
      <c r="BHC30" s="188"/>
      <c r="BHD30" s="188"/>
      <c r="BHE30" s="188"/>
      <c r="BHF30" s="188"/>
      <c r="BHG30" s="188"/>
      <c r="BHH30" s="188"/>
      <c r="BHI30" s="188"/>
      <c r="BHJ30" s="188"/>
      <c r="BHK30" s="188"/>
      <c r="BHL30" s="188"/>
      <c r="BHM30" s="188"/>
      <c r="BHN30" s="188"/>
      <c r="BHO30" s="188"/>
      <c r="BHP30" s="188"/>
      <c r="BHQ30" s="188"/>
      <c r="BHR30" s="188"/>
      <c r="BHS30" s="188"/>
      <c r="BHT30" s="188"/>
      <c r="BHU30" s="188"/>
      <c r="BHV30" s="188"/>
      <c r="BHW30" s="188"/>
      <c r="BHX30" s="188"/>
      <c r="BHY30" s="188"/>
      <c r="BHZ30" s="188"/>
      <c r="BIA30" s="188"/>
      <c r="BIB30" s="188"/>
      <c r="BIC30" s="188"/>
      <c r="BID30" s="188"/>
      <c r="BIE30" s="188"/>
      <c r="BIF30" s="188"/>
      <c r="BIG30" s="188"/>
      <c r="BIH30" s="188"/>
      <c r="BII30" s="188"/>
      <c r="BIJ30" s="188"/>
      <c r="BIK30" s="188"/>
      <c r="BIL30" s="188"/>
      <c r="BIM30" s="188"/>
      <c r="BIN30" s="188"/>
      <c r="BIO30" s="188"/>
      <c r="BIP30" s="188"/>
      <c r="BIQ30" s="188"/>
      <c r="BIR30" s="188"/>
      <c r="BIS30" s="188"/>
      <c r="BIT30" s="188"/>
      <c r="BIU30" s="188"/>
      <c r="BIV30" s="188"/>
      <c r="BIW30" s="188"/>
      <c r="BIX30" s="188"/>
      <c r="BIY30" s="188"/>
      <c r="BIZ30" s="188"/>
      <c r="BJA30" s="188"/>
      <c r="BJB30" s="188"/>
      <c r="BJC30" s="188"/>
      <c r="BJD30" s="188"/>
      <c r="BJE30" s="188"/>
      <c r="BJF30" s="188"/>
      <c r="BJG30" s="188"/>
      <c r="BJH30" s="188"/>
      <c r="BJI30" s="188"/>
      <c r="BJJ30" s="188"/>
      <c r="BJK30" s="188"/>
      <c r="BJL30" s="188"/>
      <c r="BJM30" s="188"/>
      <c r="BJN30" s="188"/>
      <c r="BJO30" s="188"/>
      <c r="BJP30" s="188"/>
      <c r="BJQ30" s="188"/>
      <c r="BJR30" s="188"/>
      <c r="BJS30" s="188"/>
      <c r="BJT30" s="188"/>
      <c r="BJU30" s="188"/>
      <c r="BJV30" s="188"/>
      <c r="BJW30" s="188"/>
      <c r="BJX30" s="188"/>
      <c r="BJY30" s="188"/>
      <c r="BJZ30" s="188"/>
      <c r="BKA30" s="188"/>
      <c r="BKB30" s="188"/>
      <c r="BKC30" s="188"/>
      <c r="BKD30" s="188"/>
      <c r="BKE30" s="188"/>
      <c r="BKF30" s="188"/>
      <c r="BKG30" s="188"/>
      <c r="BKH30" s="188"/>
      <c r="BKI30" s="188"/>
      <c r="BKJ30" s="188"/>
      <c r="BKK30" s="188"/>
      <c r="BKL30" s="188"/>
      <c r="BKM30" s="188"/>
      <c r="BKN30" s="188"/>
      <c r="BKO30" s="188"/>
      <c r="BKP30" s="188"/>
      <c r="BKQ30" s="188"/>
      <c r="BKR30" s="188"/>
      <c r="BKS30" s="188"/>
      <c r="BKT30" s="188"/>
      <c r="BKU30" s="188"/>
      <c r="BKV30" s="188"/>
      <c r="BKW30" s="188"/>
      <c r="BKX30" s="188"/>
      <c r="BKY30" s="188"/>
      <c r="BKZ30" s="188"/>
      <c r="BLA30" s="188"/>
      <c r="BLB30" s="188"/>
      <c r="BLC30" s="188"/>
      <c r="BLD30" s="188"/>
      <c r="BLE30" s="188"/>
      <c r="BLF30" s="188"/>
      <c r="BLG30" s="188"/>
      <c r="BLH30" s="188"/>
      <c r="BLI30" s="188"/>
      <c r="BLJ30" s="188"/>
      <c r="BLK30" s="188"/>
      <c r="BLL30" s="188"/>
      <c r="BLM30" s="188"/>
      <c r="BLN30" s="188"/>
      <c r="BLO30" s="188"/>
      <c r="BLP30" s="188"/>
      <c r="BLQ30" s="188"/>
      <c r="BLR30" s="188"/>
      <c r="BLS30" s="188"/>
      <c r="BLT30" s="188"/>
      <c r="BLU30" s="188"/>
      <c r="BLV30" s="188"/>
      <c r="BLW30" s="188"/>
      <c r="BLX30" s="188"/>
      <c r="BLY30" s="188"/>
      <c r="BLZ30" s="188"/>
      <c r="BMA30" s="188"/>
      <c r="BMB30" s="188"/>
      <c r="BMC30" s="188"/>
      <c r="BMD30" s="188"/>
      <c r="BME30" s="188"/>
      <c r="BMF30" s="188"/>
      <c r="BMG30" s="188"/>
      <c r="BMH30" s="188"/>
      <c r="BMI30" s="188"/>
      <c r="BMJ30" s="188"/>
      <c r="BMK30" s="188"/>
      <c r="BML30" s="188"/>
      <c r="BMM30" s="188"/>
      <c r="BMN30" s="188"/>
      <c r="BMO30" s="188"/>
      <c r="BMP30" s="188"/>
      <c r="BMQ30" s="188"/>
      <c r="BMR30" s="188"/>
      <c r="BMS30" s="188"/>
      <c r="BMT30" s="188"/>
      <c r="BMU30" s="188"/>
      <c r="BMV30" s="188"/>
      <c r="BMW30" s="188"/>
      <c r="BMX30" s="188"/>
      <c r="BMY30" s="188"/>
      <c r="BMZ30" s="188"/>
      <c r="BNA30" s="188"/>
      <c r="BNB30" s="188"/>
      <c r="BNC30" s="188"/>
      <c r="BND30" s="188"/>
      <c r="BNE30" s="188"/>
      <c r="BNF30" s="188"/>
      <c r="BNG30" s="188"/>
      <c r="BNH30" s="188"/>
      <c r="BNI30" s="188"/>
      <c r="BNJ30" s="188"/>
      <c r="BNK30" s="188"/>
      <c r="BNL30" s="188"/>
      <c r="BNM30" s="188"/>
      <c r="BNN30" s="188"/>
      <c r="BNO30" s="188"/>
      <c r="BNP30" s="188"/>
      <c r="BNQ30" s="188"/>
      <c r="BNR30" s="188"/>
      <c r="BNS30" s="188"/>
      <c r="BNT30" s="188"/>
      <c r="BNU30" s="188"/>
      <c r="BNV30" s="188"/>
      <c r="BNW30" s="188"/>
      <c r="BNX30" s="188"/>
      <c r="BNY30" s="188"/>
      <c r="BNZ30" s="188"/>
      <c r="BOA30" s="188"/>
      <c r="BOB30" s="188"/>
      <c r="BOC30" s="188"/>
      <c r="BOD30" s="188"/>
      <c r="BOE30" s="188"/>
      <c r="BOF30" s="188"/>
      <c r="BOG30" s="188"/>
      <c r="BOH30" s="188"/>
      <c r="BOI30" s="188"/>
      <c r="BOJ30" s="188"/>
      <c r="BOK30" s="188"/>
      <c r="BOL30" s="188"/>
      <c r="BOM30" s="188"/>
      <c r="BON30" s="188"/>
      <c r="BOO30" s="188"/>
      <c r="BOP30" s="188"/>
      <c r="BOQ30" s="188"/>
      <c r="BOR30" s="188"/>
      <c r="BOS30" s="188"/>
      <c r="BOT30" s="188"/>
      <c r="BOU30" s="188"/>
      <c r="BOV30" s="188"/>
      <c r="BOW30" s="188"/>
      <c r="BOX30" s="188"/>
      <c r="BOY30" s="188"/>
      <c r="BOZ30" s="188"/>
      <c r="BPA30" s="188"/>
      <c r="BPB30" s="188"/>
      <c r="BPC30" s="188"/>
      <c r="BPD30" s="188"/>
      <c r="BPE30" s="188"/>
      <c r="BPF30" s="188"/>
      <c r="BPG30" s="188"/>
      <c r="BPH30" s="188"/>
      <c r="BPI30" s="188"/>
      <c r="BPJ30" s="188"/>
      <c r="BPK30" s="188"/>
      <c r="BPL30" s="188"/>
      <c r="BPM30" s="188"/>
      <c r="BPN30" s="188"/>
      <c r="BPO30" s="188"/>
      <c r="BPP30" s="188"/>
      <c r="BPQ30" s="188"/>
      <c r="BPR30" s="188"/>
      <c r="BPS30" s="188"/>
      <c r="BPT30" s="188"/>
      <c r="BPU30" s="188"/>
      <c r="BPV30" s="188"/>
      <c r="BPW30" s="188"/>
      <c r="BPX30" s="188"/>
      <c r="BPY30" s="188"/>
      <c r="BPZ30" s="188"/>
      <c r="BQA30" s="188"/>
      <c r="BQB30" s="188"/>
      <c r="BQC30" s="188"/>
      <c r="BQD30" s="188"/>
      <c r="BQE30" s="188"/>
      <c r="BQF30" s="188"/>
      <c r="BQG30" s="188"/>
      <c r="BQH30" s="188"/>
      <c r="BQI30" s="188"/>
      <c r="BQJ30" s="188"/>
      <c r="BQK30" s="188"/>
      <c r="BQL30" s="188"/>
      <c r="BQM30" s="188"/>
      <c r="BQN30" s="188"/>
      <c r="BQO30" s="188"/>
      <c r="BQP30" s="188"/>
      <c r="BQQ30" s="188"/>
      <c r="BQR30" s="188"/>
      <c r="BQS30" s="188"/>
      <c r="BQT30" s="188"/>
      <c r="BQU30" s="188"/>
      <c r="BQV30" s="188"/>
      <c r="BQW30" s="188"/>
      <c r="BQX30" s="188"/>
      <c r="BQY30" s="188"/>
      <c r="BQZ30" s="188"/>
      <c r="BRA30" s="188"/>
      <c r="BRB30" s="188"/>
      <c r="BRC30" s="188"/>
      <c r="BRD30" s="188"/>
      <c r="BRE30" s="188"/>
      <c r="BRF30" s="188"/>
      <c r="BRG30" s="188"/>
      <c r="BRH30" s="188"/>
      <c r="BRI30" s="188"/>
      <c r="BRJ30" s="188"/>
      <c r="BRK30" s="188"/>
      <c r="BRL30" s="188"/>
      <c r="BRM30" s="188"/>
      <c r="BRN30" s="188"/>
      <c r="BRO30" s="188"/>
      <c r="BRP30" s="188"/>
      <c r="BRQ30" s="188"/>
      <c r="BRR30" s="188"/>
      <c r="BRS30" s="188"/>
      <c r="BRT30" s="188"/>
      <c r="BRU30" s="188"/>
      <c r="BRV30" s="188"/>
      <c r="BRW30" s="188"/>
      <c r="BRX30" s="188"/>
      <c r="BRY30" s="188"/>
      <c r="BRZ30" s="188"/>
      <c r="BSA30" s="188"/>
      <c r="BSB30" s="188"/>
      <c r="BSC30" s="188"/>
      <c r="BSD30" s="188"/>
      <c r="BSE30" s="188"/>
      <c r="BSF30" s="188"/>
      <c r="BSG30" s="188"/>
      <c r="BSH30" s="188"/>
      <c r="BSI30" s="188"/>
      <c r="BSJ30" s="188"/>
      <c r="BSK30" s="188"/>
      <c r="BSL30" s="188"/>
      <c r="BSM30" s="188"/>
      <c r="BSN30" s="188"/>
      <c r="BSO30" s="188"/>
      <c r="BSP30" s="188"/>
      <c r="BSQ30" s="188"/>
      <c r="BSR30" s="188"/>
      <c r="BSS30" s="188"/>
      <c r="BST30" s="188"/>
      <c r="BSU30" s="188"/>
      <c r="BSV30" s="188"/>
      <c r="BSW30" s="188"/>
      <c r="BSX30" s="188"/>
      <c r="BSY30" s="188"/>
      <c r="BSZ30" s="188"/>
      <c r="BTA30" s="188"/>
      <c r="BTB30" s="188"/>
      <c r="BTC30" s="188"/>
      <c r="BTD30" s="188"/>
      <c r="BTE30" s="188"/>
      <c r="BTF30" s="188"/>
      <c r="BTG30" s="188"/>
      <c r="BTH30" s="188"/>
      <c r="BTI30" s="188"/>
      <c r="BTJ30" s="188"/>
      <c r="BTK30" s="188"/>
      <c r="BTL30" s="188"/>
      <c r="BTM30" s="188"/>
      <c r="BTN30" s="188"/>
      <c r="BTO30" s="188"/>
      <c r="BTP30" s="188"/>
      <c r="BTQ30" s="188"/>
      <c r="BTR30" s="188"/>
      <c r="BTS30" s="188"/>
      <c r="BTT30" s="188"/>
      <c r="BTU30" s="188"/>
      <c r="BTV30" s="188"/>
      <c r="BTW30" s="188"/>
      <c r="BTX30" s="188"/>
      <c r="BTY30" s="188"/>
      <c r="BTZ30" s="188"/>
      <c r="BUA30" s="188"/>
      <c r="BUB30" s="188"/>
      <c r="BUC30" s="188"/>
      <c r="BUD30" s="188"/>
      <c r="BUE30" s="188"/>
      <c r="BUF30" s="188"/>
      <c r="BUG30" s="188"/>
      <c r="BUH30" s="188"/>
      <c r="BUI30" s="188"/>
      <c r="BUJ30" s="188"/>
      <c r="BUK30" s="188"/>
      <c r="BUL30" s="188"/>
      <c r="BUM30" s="188"/>
      <c r="BUN30" s="188"/>
      <c r="BUO30" s="188"/>
      <c r="BUP30" s="188"/>
      <c r="BUQ30" s="188"/>
      <c r="BUR30" s="188"/>
      <c r="BUS30" s="188"/>
      <c r="BUT30" s="188"/>
      <c r="BUU30" s="188"/>
      <c r="BUV30" s="188"/>
      <c r="BUW30" s="188"/>
      <c r="BUX30" s="188"/>
      <c r="BUY30" s="188"/>
      <c r="BUZ30" s="188"/>
      <c r="BVA30" s="188"/>
      <c r="BVB30" s="188"/>
      <c r="BVC30" s="188"/>
      <c r="BVD30" s="188"/>
      <c r="BVE30" s="188"/>
      <c r="BVF30" s="188"/>
      <c r="BVG30" s="188"/>
      <c r="BVH30" s="188"/>
      <c r="BVI30" s="188"/>
      <c r="BVJ30" s="188"/>
      <c r="BVK30" s="188"/>
      <c r="BVL30" s="188"/>
      <c r="BVM30" s="188"/>
      <c r="BVN30" s="188"/>
      <c r="BVO30" s="188"/>
      <c r="BVP30" s="188"/>
      <c r="BVQ30" s="188"/>
      <c r="BVR30" s="188"/>
      <c r="BVS30" s="188"/>
      <c r="BVT30" s="188"/>
      <c r="BVU30" s="188"/>
      <c r="BVV30" s="188"/>
      <c r="BVW30" s="188"/>
      <c r="BVX30" s="188"/>
      <c r="BVY30" s="188"/>
      <c r="BVZ30" s="188"/>
      <c r="BWA30" s="188"/>
      <c r="BWB30" s="188"/>
      <c r="BWC30" s="188"/>
      <c r="BWD30" s="188"/>
      <c r="BWE30" s="188"/>
      <c r="BWF30" s="188"/>
      <c r="BWG30" s="188"/>
      <c r="BWH30" s="188"/>
      <c r="BWI30" s="188"/>
      <c r="BWJ30" s="188"/>
      <c r="BWK30" s="188"/>
      <c r="BWL30" s="188"/>
      <c r="BWM30" s="188"/>
      <c r="BWN30" s="188"/>
      <c r="BWO30" s="188"/>
      <c r="BWP30" s="188"/>
      <c r="BWQ30" s="188"/>
      <c r="BWR30" s="188"/>
      <c r="BWS30" s="188"/>
      <c r="BWT30" s="188"/>
      <c r="BWU30" s="188"/>
      <c r="BWV30" s="188"/>
      <c r="BWW30" s="188"/>
      <c r="BWX30" s="188"/>
      <c r="BWY30" s="188"/>
      <c r="BWZ30" s="188"/>
      <c r="BXA30" s="188"/>
      <c r="BXB30" s="188"/>
      <c r="BXC30" s="188"/>
      <c r="BXD30" s="188"/>
      <c r="BXE30" s="188"/>
      <c r="BXF30" s="188"/>
      <c r="BXG30" s="188"/>
      <c r="BXH30" s="188"/>
      <c r="BXI30" s="188"/>
      <c r="BXJ30" s="188"/>
      <c r="BXK30" s="188"/>
      <c r="BXL30" s="188"/>
      <c r="BXM30" s="188"/>
      <c r="BXN30" s="188"/>
      <c r="BXO30" s="188"/>
      <c r="BXP30" s="188"/>
      <c r="BXQ30" s="188"/>
      <c r="BXR30" s="188"/>
      <c r="BXS30" s="188"/>
      <c r="BXT30" s="188"/>
      <c r="BXU30" s="188"/>
      <c r="BXV30" s="188"/>
      <c r="BXW30" s="188"/>
      <c r="BXX30" s="188"/>
      <c r="BXY30" s="188"/>
      <c r="BXZ30" s="188"/>
      <c r="BYA30" s="188"/>
      <c r="BYB30" s="188"/>
      <c r="BYC30" s="188"/>
      <c r="BYD30" s="188"/>
      <c r="BYE30" s="188"/>
      <c r="BYF30" s="188"/>
      <c r="BYG30" s="188"/>
      <c r="BYH30" s="188"/>
      <c r="BYI30" s="188"/>
      <c r="BYJ30" s="188"/>
      <c r="BYK30" s="188"/>
      <c r="BYL30" s="188"/>
      <c r="BYM30" s="188"/>
      <c r="BYN30" s="188"/>
      <c r="BYO30" s="188"/>
      <c r="BYP30" s="188"/>
      <c r="BYQ30" s="188"/>
      <c r="BYR30" s="188"/>
      <c r="BYS30" s="188"/>
      <c r="BYT30" s="188"/>
      <c r="BYU30" s="188"/>
      <c r="BYV30" s="188"/>
      <c r="BYW30" s="188"/>
      <c r="BYX30" s="188"/>
      <c r="BYY30" s="188"/>
      <c r="BYZ30" s="188"/>
      <c r="BZA30" s="188"/>
      <c r="BZB30" s="188"/>
      <c r="BZC30" s="188"/>
      <c r="BZD30" s="188"/>
      <c r="BZE30" s="188"/>
      <c r="BZF30" s="188"/>
      <c r="BZG30" s="188"/>
      <c r="BZH30" s="188"/>
      <c r="BZI30" s="188"/>
      <c r="BZJ30" s="188"/>
      <c r="BZK30" s="188"/>
      <c r="BZL30" s="188"/>
      <c r="BZM30" s="188"/>
      <c r="BZN30" s="188"/>
      <c r="BZO30" s="188"/>
      <c r="BZP30" s="188"/>
      <c r="BZQ30" s="188"/>
      <c r="BZR30" s="188"/>
      <c r="BZS30" s="188"/>
      <c r="BZT30" s="188"/>
      <c r="BZU30" s="188"/>
      <c r="BZV30" s="188"/>
      <c r="BZW30" s="188"/>
      <c r="BZX30" s="188"/>
      <c r="BZY30" s="188"/>
      <c r="BZZ30" s="188"/>
      <c r="CAA30" s="188"/>
      <c r="CAB30" s="188"/>
      <c r="CAC30" s="188"/>
      <c r="CAD30" s="188"/>
      <c r="CAE30" s="188"/>
      <c r="CAF30" s="188"/>
      <c r="CAG30" s="188"/>
      <c r="CAH30" s="188"/>
      <c r="CAI30" s="188"/>
      <c r="CAJ30" s="188"/>
      <c r="CAK30" s="188"/>
      <c r="CAL30" s="188"/>
      <c r="CAM30" s="188"/>
      <c r="CAN30" s="188"/>
      <c r="CAO30" s="188"/>
      <c r="CAP30" s="188"/>
      <c r="CAQ30" s="188"/>
      <c r="CAR30" s="188"/>
      <c r="CAS30" s="188"/>
      <c r="CAT30" s="188"/>
      <c r="CAU30" s="188"/>
      <c r="CAV30" s="188"/>
      <c r="CAW30" s="188"/>
      <c r="CAX30" s="188"/>
      <c r="CAY30" s="188"/>
      <c r="CAZ30" s="188"/>
      <c r="CBA30" s="188"/>
      <c r="CBB30" s="188"/>
      <c r="CBC30" s="188"/>
      <c r="CBD30" s="188"/>
      <c r="CBE30" s="188"/>
      <c r="CBF30" s="188"/>
      <c r="CBG30" s="188"/>
      <c r="CBH30" s="188"/>
      <c r="CBI30" s="188"/>
      <c r="CBJ30" s="188"/>
      <c r="CBK30" s="188"/>
      <c r="CBL30" s="188"/>
      <c r="CBM30" s="188"/>
      <c r="CBN30" s="188"/>
      <c r="CBO30" s="188"/>
      <c r="CBP30" s="188"/>
      <c r="CBQ30" s="188"/>
      <c r="CBR30" s="188"/>
      <c r="CBS30" s="188"/>
      <c r="CBT30" s="188"/>
      <c r="CBU30" s="188"/>
      <c r="CBV30" s="188"/>
      <c r="CBW30" s="188"/>
      <c r="CBX30" s="188"/>
      <c r="CBY30" s="188"/>
      <c r="CBZ30" s="188"/>
      <c r="CCA30" s="188"/>
      <c r="CCB30" s="188"/>
      <c r="CCC30" s="188"/>
      <c r="CCD30" s="188"/>
      <c r="CCE30" s="188"/>
      <c r="CCF30" s="188"/>
      <c r="CCG30" s="188"/>
      <c r="CCH30" s="188"/>
      <c r="CCI30" s="188"/>
      <c r="CCJ30" s="188"/>
      <c r="CCK30" s="188"/>
      <c r="CCL30" s="188"/>
      <c r="CCM30" s="188"/>
      <c r="CCN30" s="188"/>
      <c r="CCO30" s="188"/>
      <c r="CCP30" s="188"/>
      <c r="CCQ30" s="188"/>
      <c r="CCR30" s="188"/>
      <c r="CCS30" s="188"/>
      <c r="CCT30" s="188"/>
      <c r="CCU30" s="188"/>
      <c r="CCV30" s="188"/>
      <c r="CCW30" s="188"/>
      <c r="CCX30" s="188"/>
      <c r="CCY30" s="188"/>
      <c r="CCZ30" s="188"/>
      <c r="CDA30" s="188"/>
      <c r="CDB30" s="188"/>
      <c r="CDC30" s="188"/>
      <c r="CDD30" s="188"/>
      <c r="CDE30" s="188"/>
      <c r="CDF30" s="188"/>
      <c r="CDG30" s="188"/>
      <c r="CDH30" s="188"/>
      <c r="CDI30" s="188"/>
      <c r="CDJ30" s="188"/>
      <c r="CDK30" s="188"/>
      <c r="CDL30" s="188"/>
      <c r="CDM30" s="188"/>
      <c r="CDN30" s="188"/>
      <c r="CDO30" s="188"/>
      <c r="CDP30" s="188"/>
      <c r="CDQ30" s="188"/>
      <c r="CDR30" s="188"/>
      <c r="CDS30" s="188"/>
      <c r="CDT30" s="188"/>
      <c r="CDU30" s="188"/>
      <c r="CDV30" s="188"/>
      <c r="CDW30" s="188"/>
      <c r="CDX30" s="188"/>
      <c r="CDY30" s="188"/>
      <c r="CDZ30" s="188"/>
      <c r="CEA30" s="188"/>
      <c r="CEB30" s="188"/>
      <c r="CEC30" s="188"/>
      <c r="CED30" s="188"/>
      <c r="CEE30" s="188"/>
      <c r="CEF30" s="188"/>
      <c r="CEG30" s="188"/>
      <c r="CEH30" s="188"/>
      <c r="CEI30" s="188"/>
      <c r="CEJ30" s="188"/>
      <c r="CEK30" s="188"/>
      <c r="CEL30" s="188"/>
      <c r="CEM30" s="188"/>
      <c r="CEN30" s="188"/>
      <c r="CEO30" s="188"/>
      <c r="CEP30" s="188"/>
      <c r="CEQ30" s="188"/>
      <c r="CER30" s="188"/>
      <c r="CES30" s="188"/>
      <c r="CET30" s="188"/>
      <c r="CEU30" s="188"/>
      <c r="CEV30" s="188"/>
      <c r="CEW30" s="188"/>
      <c r="CEX30" s="188"/>
      <c r="CEY30" s="188"/>
      <c r="CEZ30" s="188"/>
      <c r="CFA30" s="188"/>
      <c r="CFB30" s="188"/>
      <c r="CFC30" s="188"/>
      <c r="CFD30" s="188"/>
      <c r="CFE30" s="188"/>
      <c r="CFF30" s="188"/>
      <c r="CFG30" s="188"/>
      <c r="CFH30" s="188"/>
      <c r="CFI30" s="188"/>
      <c r="CFJ30" s="188"/>
      <c r="CFK30" s="188"/>
      <c r="CFL30" s="188"/>
      <c r="CFM30" s="188"/>
      <c r="CFN30" s="188"/>
      <c r="CFO30" s="188"/>
      <c r="CFP30" s="188"/>
      <c r="CFQ30" s="188"/>
      <c r="CFR30" s="188"/>
      <c r="CFS30" s="188"/>
      <c r="CFT30" s="188"/>
      <c r="CFU30" s="188"/>
      <c r="CFV30" s="188"/>
      <c r="CFW30" s="188"/>
      <c r="CFX30" s="188"/>
      <c r="CFY30" s="188"/>
      <c r="CFZ30" s="188"/>
      <c r="CGA30" s="188"/>
      <c r="CGB30" s="188"/>
      <c r="CGC30" s="188"/>
      <c r="CGD30" s="188"/>
      <c r="CGE30" s="188"/>
      <c r="CGF30" s="188"/>
      <c r="CGG30" s="188"/>
      <c r="CGH30" s="188"/>
      <c r="CGI30" s="188"/>
      <c r="CGJ30" s="188"/>
      <c r="CGK30" s="188"/>
      <c r="CGL30" s="188"/>
      <c r="CGM30" s="188"/>
      <c r="CGN30" s="188"/>
      <c r="CGO30" s="188"/>
      <c r="CGP30" s="188"/>
      <c r="CGQ30" s="188"/>
      <c r="CGR30" s="188"/>
      <c r="CGS30" s="188"/>
      <c r="CGT30" s="188"/>
      <c r="CGU30" s="188"/>
      <c r="CGV30" s="188"/>
      <c r="CGW30" s="188"/>
      <c r="CGX30" s="188"/>
      <c r="CGY30" s="188"/>
      <c r="CGZ30" s="188"/>
      <c r="CHA30" s="188"/>
      <c r="CHB30" s="188"/>
      <c r="CHC30" s="188"/>
      <c r="CHD30" s="188"/>
      <c r="CHE30" s="188"/>
      <c r="CHF30" s="188"/>
      <c r="CHG30" s="188"/>
      <c r="CHH30" s="188"/>
      <c r="CHI30" s="188"/>
      <c r="CHJ30" s="188"/>
      <c r="CHK30" s="188"/>
      <c r="CHL30" s="188"/>
      <c r="CHM30" s="188"/>
      <c r="CHN30" s="188"/>
      <c r="CHO30" s="188"/>
      <c r="CHP30" s="188"/>
      <c r="CHQ30" s="188"/>
      <c r="CHR30" s="188"/>
      <c r="CHS30" s="188"/>
      <c r="CHT30" s="188"/>
      <c r="CHU30" s="188"/>
      <c r="CHV30" s="188"/>
      <c r="CHW30" s="188"/>
      <c r="CHX30" s="188"/>
      <c r="CHY30" s="188"/>
      <c r="CHZ30" s="188"/>
      <c r="CIA30" s="188"/>
      <c r="CIB30" s="188"/>
      <c r="CIC30" s="188"/>
      <c r="CID30" s="188"/>
      <c r="CIE30" s="188"/>
      <c r="CIF30" s="188"/>
      <c r="CIG30" s="188"/>
      <c r="CIH30" s="188"/>
      <c r="CII30" s="188"/>
      <c r="CIJ30" s="188"/>
      <c r="CIK30" s="188"/>
      <c r="CIL30" s="188"/>
      <c r="CIM30" s="188"/>
      <c r="CIN30" s="188"/>
      <c r="CIO30" s="188"/>
      <c r="CIP30" s="188"/>
      <c r="CIQ30" s="188"/>
      <c r="CIR30" s="188"/>
      <c r="CIS30" s="188"/>
      <c r="CIT30" s="188"/>
      <c r="CIU30" s="188"/>
      <c r="CIV30" s="188"/>
      <c r="CIW30" s="188"/>
      <c r="CIX30" s="188"/>
      <c r="CIY30" s="188"/>
      <c r="CIZ30" s="188"/>
      <c r="CJA30" s="188"/>
      <c r="CJB30" s="188"/>
      <c r="CJC30" s="188"/>
      <c r="CJD30" s="188"/>
      <c r="CJE30" s="188"/>
      <c r="CJF30" s="188"/>
      <c r="CJG30" s="188"/>
      <c r="CJH30" s="188"/>
      <c r="CJI30" s="188"/>
      <c r="CJJ30" s="188"/>
      <c r="CJK30" s="188"/>
      <c r="CJL30" s="188"/>
      <c r="CJM30" s="188"/>
      <c r="CJN30" s="188"/>
      <c r="CJO30" s="188"/>
      <c r="CJP30" s="188"/>
      <c r="CJQ30" s="188"/>
      <c r="CJR30" s="188"/>
      <c r="CJS30" s="188"/>
      <c r="CJT30" s="188"/>
      <c r="CJU30" s="188"/>
      <c r="CJV30" s="188"/>
      <c r="CJW30" s="188"/>
      <c r="CJX30" s="188"/>
      <c r="CJY30" s="188"/>
      <c r="CJZ30" s="188"/>
      <c r="CKA30" s="188"/>
      <c r="CKB30" s="188"/>
      <c r="CKC30" s="188"/>
      <c r="CKD30" s="188"/>
      <c r="CKE30" s="188"/>
      <c r="CKF30" s="188"/>
      <c r="CKG30" s="188"/>
      <c r="CKH30" s="188"/>
      <c r="CKI30" s="188"/>
      <c r="CKJ30" s="188"/>
      <c r="CKK30" s="188"/>
      <c r="CKL30" s="188"/>
      <c r="CKM30" s="188"/>
      <c r="CKN30" s="188"/>
      <c r="CKO30" s="188"/>
      <c r="CKP30" s="188"/>
      <c r="CKQ30" s="188"/>
      <c r="CKR30" s="188"/>
      <c r="CKS30" s="188"/>
      <c r="CKT30" s="188"/>
      <c r="CKU30" s="188"/>
      <c r="CKV30" s="188"/>
      <c r="CKW30" s="188"/>
      <c r="CKX30" s="188"/>
      <c r="CKY30" s="188"/>
      <c r="CKZ30" s="188"/>
      <c r="CLA30" s="188"/>
      <c r="CLB30" s="188"/>
      <c r="CLC30" s="188"/>
      <c r="CLD30" s="188"/>
      <c r="CLE30" s="188"/>
      <c r="CLF30" s="188"/>
      <c r="CLG30" s="188"/>
      <c r="CLH30" s="188"/>
      <c r="CLI30" s="188"/>
      <c r="CLJ30" s="188"/>
      <c r="CLK30" s="188"/>
      <c r="CLL30" s="188"/>
      <c r="CLM30" s="188"/>
      <c r="CLN30" s="188"/>
      <c r="CLO30" s="188"/>
      <c r="CLP30" s="188"/>
      <c r="CLQ30" s="188"/>
      <c r="CLR30" s="188"/>
      <c r="CLS30" s="188"/>
      <c r="CLT30" s="188"/>
      <c r="CLU30" s="188"/>
      <c r="CLV30" s="188"/>
      <c r="CLW30" s="188"/>
      <c r="CLX30" s="188"/>
      <c r="CLY30" s="188"/>
      <c r="CLZ30" s="188"/>
      <c r="CMA30" s="188"/>
      <c r="CMB30" s="188"/>
      <c r="CMC30" s="188"/>
      <c r="CMD30" s="188"/>
      <c r="CME30" s="188"/>
      <c r="CMF30" s="188"/>
      <c r="CMG30" s="188"/>
      <c r="CMH30" s="188"/>
      <c r="CMI30" s="188"/>
      <c r="CMJ30" s="188"/>
      <c r="CMK30" s="188"/>
      <c r="CML30" s="188"/>
      <c r="CMM30" s="188"/>
      <c r="CMN30" s="188"/>
      <c r="CMO30" s="188"/>
      <c r="CMP30" s="188"/>
      <c r="CMQ30" s="188"/>
      <c r="CMR30" s="188"/>
      <c r="CMS30" s="188"/>
      <c r="CMT30" s="188"/>
      <c r="CMU30" s="188"/>
      <c r="CMV30" s="188"/>
      <c r="CMW30" s="188"/>
      <c r="CMX30" s="188"/>
      <c r="CMY30" s="188"/>
      <c r="CMZ30" s="188"/>
      <c r="CNA30" s="188"/>
      <c r="CNB30" s="188"/>
      <c r="CNC30" s="188"/>
      <c r="CND30" s="188"/>
      <c r="CNE30" s="188"/>
      <c r="CNF30" s="188"/>
      <c r="CNG30" s="188"/>
      <c r="CNH30" s="188"/>
      <c r="CNI30" s="188"/>
      <c r="CNJ30" s="188"/>
      <c r="CNK30" s="188"/>
      <c r="CNL30" s="188"/>
      <c r="CNM30" s="188"/>
      <c r="CNN30" s="188"/>
      <c r="CNO30" s="188"/>
      <c r="CNP30" s="188"/>
      <c r="CNQ30" s="188"/>
      <c r="CNR30" s="188"/>
      <c r="CNS30" s="188"/>
      <c r="CNT30" s="188"/>
      <c r="CNU30" s="188"/>
      <c r="CNV30" s="188"/>
      <c r="CNW30" s="188"/>
      <c r="CNX30" s="188"/>
      <c r="CNY30" s="188"/>
      <c r="CNZ30" s="188"/>
      <c r="COA30" s="188"/>
      <c r="COB30" s="188"/>
      <c r="COC30" s="188"/>
      <c r="COD30" s="188"/>
      <c r="COE30" s="188"/>
      <c r="COF30" s="188"/>
      <c r="COG30" s="188"/>
      <c r="COH30" s="188"/>
      <c r="COI30" s="188"/>
      <c r="COJ30" s="188"/>
      <c r="COK30" s="188"/>
      <c r="COL30" s="188"/>
      <c r="COM30" s="188"/>
      <c r="CON30" s="188"/>
      <c r="COO30" s="188"/>
      <c r="COP30" s="188"/>
      <c r="COQ30" s="188"/>
      <c r="COR30" s="188"/>
      <c r="COS30" s="188"/>
      <c r="COT30" s="188"/>
      <c r="COU30" s="188"/>
      <c r="COV30" s="188"/>
      <c r="COW30" s="188"/>
      <c r="COX30" s="188"/>
      <c r="COY30" s="188"/>
      <c r="COZ30" s="188"/>
      <c r="CPA30" s="188"/>
      <c r="CPB30" s="188"/>
      <c r="CPC30" s="188"/>
      <c r="CPD30" s="188"/>
      <c r="CPE30" s="188"/>
      <c r="CPF30" s="188"/>
      <c r="CPG30" s="188"/>
      <c r="CPH30" s="188"/>
      <c r="CPI30" s="188"/>
      <c r="CPJ30" s="188"/>
      <c r="CPK30" s="188"/>
      <c r="CPL30" s="188"/>
      <c r="CPM30" s="188"/>
      <c r="CPN30" s="188"/>
      <c r="CPO30" s="188"/>
      <c r="CPP30" s="188"/>
      <c r="CPQ30" s="188"/>
      <c r="CPR30" s="188"/>
      <c r="CPS30" s="188"/>
      <c r="CPT30" s="188"/>
      <c r="CPU30" s="188"/>
      <c r="CPV30" s="188"/>
      <c r="CPW30" s="188"/>
      <c r="CPX30" s="188"/>
      <c r="CPY30" s="188"/>
      <c r="CPZ30" s="188"/>
      <c r="CQA30" s="188"/>
      <c r="CQB30" s="188"/>
      <c r="CQC30" s="188"/>
      <c r="CQD30" s="188"/>
      <c r="CQE30" s="188"/>
      <c r="CQF30" s="188"/>
      <c r="CQG30" s="188"/>
      <c r="CQH30" s="188"/>
      <c r="CQI30" s="188"/>
      <c r="CQJ30" s="188"/>
      <c r="CQK30" s="188"/>
      <c r="CQL30" s="188"/>
      <c r="CQM30" s="188"/>
      <c r="CQN30" s="188"/>
      <c r="CQO30" s="188"/>
      <c r="CQP30" s="188"/>
      <c r="CQQ30" s="188"/>
      <c r="CQR30" s="188"/>
      <c r="CQS30" s="188"/>
      <c r="CQT30" s="188"/>
      <c r="CQU30" s="188"/>
      <c r="CQV30" s="188"/>
      <c r="CQW30" s="188"/>
      <c r="CQX30" s="188"/>
      <c r="CQY30" s="188"/>
      <c r="CQZ30" s="188"/>
      <c r="CRA30" s="188"/>
      <c r="CRB30" s="188"/>
      <c r="CRC30" s="188"/>
      <c r="CRD30" s="188"/>
      <c r="CRE30" s="188"/>
      <c r="CRF30" s="188"/>
      <c r="CRG30" s="188"/>
      <c r="CRH30" s="188"/>
      <c r="CRI30" s="188"/>
      <c r="CRJ30" s="188"/>
      <c r="CRK30" s="188"/>
      <c r="CRL30" s="188"/>
      <c r="CRM30" s="188"/>
      <c r="CRN30" s="188"/>
      <c r="CRO30" s="188"/>
      <c r="CRP30" s="188"/>
      <c r="CRQ30" s="188"/>
      <c r="CRR30" s="188"/>
      <c r="CRS30" s="188"/>
      <c r="CRT30" s="188"/>
      <c r="CRU30" s="188"/>
      <c r="CRV30" s="188"/>
      <c r="CRW30" s="188"/>
      <c r="CRX30" s="188"/>
      <c r="CRY30" s="188"/>
      <c r="CRZ30" s="188"/>
      <c r="CSA30" s="188"/>
      <c r="CSB30" s="188"/>
      <c r="CSC30" s="188"/>
      <c r="CSD30" s="188"/>
      <c r="CSE30" s="188"/>
      <c r="CSF30" s="188"/>
      <c r="CSG30" s="188"/>
      <c r="CSH30" s="188"/>
      <c r="CSI30" s="188"/>
      <c r="CSJ30" s="188"/>
      <c r="CSK30" s="188"/>
      <c r="CSL30" s="188"/>
      <c r="CSM30" s="188"/>
      <c r="CSN30" s="188"/>
      <c r="CSO30" s="188"/>
      <c r="CSP30" s="188"/>
      <c r="CSQ30" s="188"/>
      <c r="CSR30" s="188"/>
      <c r="CSS30" s="188"/>
      <c r="CST30" s="188"/>
      <c r="CSU30" s="188"/>
      <c r="CSV30" s="188"/>
      <c r="CSW30" s="188"/>
      <c r="CSX30" s="188"/>
      <c r="CSY30" s="188"/>
      <c r="CSZ30" s="188"/>
      <c r="CTA30" s="188"/>
      <c r="CTB30" s="188"/>
      <c r="CTC30" s="188"/>
      <c r="CTD30" s="188"/>
      <c r="CTE30" s="188"/>
      <c r="CTF30" s="188"/>
      <c r="CTG30" s="188"/>
      <c r="CTH30" s="188"/>
      <c r="CTI30" s="188"/>
      <c r="CTJ30" s="188"/>
      <c r="CTK30" s="188"/>
      <c r="CTL30" s="188"/>
      <c r="CTM30" s="188"/>
      <c r="CTN30" s="188"/>
      <c r="CTO30" s="188"/>
      <c r="CTP30" s="188"/>
      <c r="CTQ30" s="188"/>
      <c r="CTR30" s="188"/>
      <c r="CTS30" s="188"/>
      <c r="CTT30" s="188"/>
      <c r="CTU30" s="188"/>
      <c r="CTV30" s="188"/>
      <c r="CTW30" s="188"/>
      <c r="CTX30" s="188"/>
      <c r="CTY30" s="188"/>
      <c r="CTZ30" s="188"/>
      <c r="CUA30" s="188"/>
    </row>
    <row r="31" s="188" customFormat="1" spans="1:1024 1025:2575">
      <c r="A31" s="216" t="s">
        <v>42</v>
      </c>
      <c r="B31" s="84" t="s">
        <v>40</v>
      </c>
      <c r="C31" s="217">
        <f t="shared" si="26"/>
        <v>45447</v>
      </c>
      <c r="D31" s="218">
        <f t="shared" si="22"/>
        <v>45453</v>
      </c>
      <c r="E31" s="219">
        <v>1131</v>
      </c>
      <c r="F31" s="220">
        <f t="shared" si="23"/>
        <v>45467</v>
      </c>
      <c r="G31" s="219" t="s">
        <v>51</v>
      </c>
      <c r="H31" s="54">
        <f>900/E31</f>
        <v>0.795755968169761</v>
      </c>
      <c r="I31" s="218">
        <f t="shared" si="24"/>
        <v>45484</v>
      </c>
      <c r="J31" s="219">
        <v>848</v>
      </c>
      <c r="K31" s="54">
        <f t="shared" si="0"/>
        <v>0.749778956675508</v>
      </c>
      <c r="L31" s="218">
        <f t="shared" si="25"/>
        <v>45487</v>
      </c>
      <c r="M31" s="219">
        <v>848</v>
      </c>
      <c r="N31" s="219">
        <v>6887</v>
      </c>
      <c r="O31" s="54">
        <f t="shared" si="1"/>
        <v>0.749778956675508</v>
      </c>
      <c r="P31" s="54">
        <f t="shared" si="7"/>
        <v>0.0459770114942526</v>
      </c>
      <c r="Q31" s="221">
        <f t="shared" si="2"/>
        <v>8.12146226415094</v>
      </c>
      <c r="R31" s="218">
        <f t="shared" si="18"/>
        <v>45519</v>
      </c>
      <c r="S31" s="203">
        <v>6002</v>
      </c>
      <c r="T31" s="84">
        <v>693</v>
      </c>
      <c r="U31" s="54">
        <f t="shared" si="3"/>
        <v>0.871497023377378</v>
      </c>
      <c r="V31" s="218">
        <f t="shared" si="19"/>
        <v>45554</v>
      </c>
      <c r="W31" s="203">
        <v>5685</v>
      </c>
      <c r="X31" s="54">
        <f t="shared" si="4"/>
        <v>0.947184271909363</v>
      </c>
      <c r="Y31" s="84">
        <v>11620</v>
      </c>
      <c r="Z31" s="203">
        <v>15.1</v>
      </c>
      <c r="AA31" s="8">
        <v>2.16</v>
      </c>
      <c r="AB31" s="8">
        <f t="shared" si="5"/>
        <v>5.02652519893899</v>
      </c>
      <c r="AC31" s="8">
        <v>3.39</v>
      </c>
      <c r="AD31" s="8">
        <v>3.23</v>
      </c>
      <c r="AE31" s="8">
        <v>57</v>
      </c>
      <c r="AF31" s="203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</row>
    <row r="32" s="189" customFormat="1" ht="13" customHeight="1" spans="1:1024 1025:2575">
      <c r="A32" s="216" t="s">
        <v>37</v>
      </c>
      <c r="B32" s="84" t="s">
        <v>46</v>
      </c>
      <c r="C32" s="217">
        <f t="shared" si="26"/>
        <v>45454</v>
      </c>
      <c r="D32" s="218">
        <f t="shared" si="22"/>
        <v>45460</v>
      </c>
      <c r="E32" s="219">
        <v>1130</v>
      </c>
      <c r="F32" s="220">
        <f t="shared" si="23"/>
        <v>45474</v>
      </c>
      <c r="G32" s="219">
        <v>940</v>
      </c>
      <c r="H32" s="54">
        <f t="shared" si="10"/>
        <v>0.831858407079646</v>
      </c>
      <c r="I32" s="218">
        <f t="shared" si="24"/>
        <v>45491</v>
      </c>
      <c r="J32" s="219">
        <v>874</v>
      </c>
      <c r="K32" s="54">
        <f t="shared" si="0"/>
        <v>0.773451327433628</v>
      </c>
      <c r="L32" s="218">
        <f t="shared" si="25"/>
        <v>45494</v>
      </c>
      <c r="M32" s="219">
        <v>862</v>
      </c>
      <c r="N32" s="219">
        <v>6685</v>
      </c>
      <c r="O32" s="54">
        <f t="shared" si="1"/>
        <v>0.76283185840708</v>
      </c>
      <c r="P32" s="54">
        <f t="shared" si="7"/>
        <v>0.0690265486725663</v>
      </c>
      <c r="Q32" s="221">
        <f t="shared" si="2"/>
        <v>7.75522041763341</v>
      </c>
      <c r="R32" s="218">
        <f t="shared" si="18"/>
        <v>45526</v>
      </c>
      <c r="S32" s="203">
        <v>6116</v>
      </c>
      <c r="T32" s="84">
        <v>768</v>
      </c>
      <c r="U32" s="54">
        <f t="shared" si="3"/>
        <v>0.91488406881077</v>
      </c>
      <c r="V32" s="218">
        <f t="shared" si="19"/>
        <v>45561</v>
      </c>
      <c r="W32" s="203">
        <v>5743</v>
      </c>
      <c r="X32" s="54">
        <f t="shared" si="4"/>
        <v>0.939012426422498</v>
      </c>
      <c r="Y32" s="84">
        <v>10091</v>
      </c>
      <c r="Z32" s="203">
        <v>15.1</v>
      </c>
      <c r="AA32" s="8">
        <f>Y32/W32</f>
        <v>1.75709559463695</v>
      </c>
      <c r="AB32" s="8">
        <f t="shared" si="5"/>
        <v>5.08230088495575</v>
      </c>
      <c r="AC32" s="8">
        <v>3.88</v>
      </c>
      <c r="AD32" s="8">
        <v>4.68</v>
      </c>
      <c r="AE32" s="8">
        <v>56.4</v>
      </c>
      <c r="AF32" s="203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  <c r="BD32" s="188"/>
      <c r="BE32" s="188"/>
      <c r="BF32" s="188"/>
      <c r="BG32" s="188"/>
      <c r="BH32" s="188"/>
      <c r="BI32" s="188"/>
      <c r="BJ32" s="188"/>
      <c r="BK32" s="188"/>
      <c r="BL32" s="188"/>
      <c r="BM32" s="188"/>
      <c r="BN32" s="188"/>
      <c r="BO32" s="188"/>
      <c r="BP32" s="188"/>
      <c r="BQ32" s="188"/>
      <c r="BR32" s="188"/>
      <c r="BS32" s="188"/>
      <c r="BT32" s="188"/>
      <c r="BU32" s="188"/>
      <c r="BV32" s="188"/>
      <c r="BW32" s="188"/>
      <c r="BX32" s="188"/>
      <c r="BY32" s="188"/>
      <c r="BZ32" s="188"/>
      <c r="CA32" s="188"/>
      <c r="CB32" s="188"/>
      <c r="CC32" s="188"/>
      <c r="CD32" s="188"/>
      <c r="CE32" s="188"/>
      <c r="CF32" s="188"/>
      <c r="CG32" s="188"/>
      <c r="CH32" s="188"/>
      <c r="CI32" s="188"/>
      <c r="CJ32" s="188"/>
      <c r="CK32" s="188"/>
      <c r="CL32" s="188"/>
      <c r="CM32" s="188"/>
      <c r="CN32" s="188"/>
      <c r="CO32" s="188"/>
      <c r="CP32" s="188"/>
      <c r="CQ32" s="188"/>
      <c r="CR32" s="188"/>
      <c r="CS32" s="188"/>
      <c r="CT32" s="188"/>
      <c r="CU32" s="188"/>
      <c r="CV32" s="188"/>
      <c r="CW32" s="188"/>
      <c r="CX32" s="188"/>
      <c r="CY32" s="188"/>
      <c r="CZ32" s="188"/>
      <c r="DA32" s="188"/>
      <c r="DB32" s="188"/>
      <c r="DC32" s="188"/>
      <c r="DD32" s="188"/>
      <c r="DE32" s="188"/>
      <c r="DF32" s="188"/>
      <c r="DG32" s="188"/>
      <c r="DH32" s="188"/>
      <c r="DI32" s="188"/>
      <c r="DJ32" s="188"/>
      <c r="DK32" s="188"/>
      <c r="DL32" s="188"/>
      <c r="DM32" s="188"/>
      <c r="DN32" s="188"/>
      <c r="DO32" s="188"/>
      <c r="DP32" s="188"/>
      <c r="DQ32" s="188"/>
      <c r="DR32" s="188"/>
      <c r="DS32" s="188"/>
      <c r="DT32" s="188"/>
      <c r="DU32" s="188"/>
      <c r="DV32" s="188"/>
      <c r="DW32" s="188"/>
      <c r="DX32" s="188"/>
      <c r="DY32" s="188"/>
      <c r="DZ32" s="188"/>
      <c r="EA32" s="188"/>
      <c r="EB32" s="188"/>
      <c r="EC32" s="188"/>
      <c r="ED32" s="188"/>
      <c r="EE32" s="188"/>
      <c r="EF32" s="188"/>
      <c r="EG32" s="188"/>
      <c r="EH32" s="188"/>
      <c r="EI32" s="188"/>
      <c r="EJ32" s="188"/>
      <c r="EK32" s="188"/>
      <c r="EL32" s="188"/>
      <c r="EM32" s="188"/>
      <c r="EN32" s="188"/>
      <c r="EO32" s="188"/>
      <c r="EP32" s="188"/>
      <c r="EQ32" s="188"/>
      <c r="ER32" s="188"/>
      <c r="ES32" s="188"/>
      <c r="ET32" s="188"/>
      <c r="EU32" s="188"/>
      <c r="EV32" s="188"/>
      <c r="EW32" s="188"/>
      <c r="EX32" s="188"/>
      <c r="EY32" s="188"/>
      <c r="EZ32" s="188"/>
      <c r="FA32" s="188"/>
      <c r="FB32" s="188"/>
      <c r="FC32" s="188"/>
      <c r="FD32" s="188"/>
      <c r="FE32" s="188"/>
      <c r="FF32" s="188"/>
      <c r="FG32" s="188"/>
      <c r="FH32" s="188"/>
      <c r="FI32" s="188"/>
      <c r="FJ32" s="188"/>
      <c r="FK32" s="188"/>
      <c r="FL32" s="188"/>
      <c r="FM32" s="188"/>
      <c r="FN32" s="188"/>
      <c r="FO32" s="188"/>
      <c r="FP32" s="188"/>
      <c r="FQ32" s="188"/>
      <c r="FR32" s="188"/>
      <c r="FS32" s="188"/>
      <c r="FT32" s="188"/>
      <c r="FU32" s="188"/>
      <c r="FV32" s="188"/>
      <c r="FW32" s="188"/>
      <c r="FX32" s="188"/>
      <c r="FY32" s="188"/>
      <c r="FZ32" s="188"/>
      <c r="GA32" s="188"/>
      <c r="GB32" s="188"/>
      <c r="GC32" s="188"/>
      <c r="GD32" s="188"/>
      <c r="GE32" s="188"/>
      <c r="GF32" s="188"/>
      <c r="GG32" s="188"/>
      <c r="GH32" s="188"/>
      <c r="GI32" s="188"/>
      <c r="GJ32" s="188"/>
      <c r="GK32" s="188"/>
      <c r="GL32" s="188"/>
      <c r="GM32" s="188"/>
      <c r="GN32" s="188"/>
      <c r="GO32" s="188"/>
      <c r="GP32" s="188"/>
      <c r="GQ32" s="188"/>
      <c r="GR32" s="188"/>
      <c r="GS32" s="188"/>
      <c r="GT32" s="188"/>
      <c r="GU32" s="188"/>
      <c r="GV32" s="188"/>
      <c r="GW32" s="188"/>
      <c r="GX32" s="188"/>
      <c r="GY32" s="188"/>
      <c r="GZ32" s="188"/>
      <c r="HA32" s="188"/>
      <c r="HB32" s="188"/>
      <c r="HC32" s="188"/>
      <c r="HD32" s="188"/>
      <c r="HE32" s="188"/>
      <c r="HF32" s="188"/>
      <c r="HG32" s="188"/>
      <c r="HH32" s="188"/>
      <c r="HI32" s="188"/>
      <c r="HJ32" s="188"/>
      <c r="HK32" s="188"/>
      <c r="HL32" s="188"/>
      <c r="HM32" s="188"/>
      <c r="HN32" s="188"/>
      <c r="HO32" s="188"/>
      <c r="HP32" s="188"/>
      <c r="HQ32" s="188"/>
      <c r="HR32" s="188"/>
      <c r="HS32" s="188"/>
      <c r="HT32" s="188"/>
      <c r="HU32" s="188"/>
      <c r="HV32" s="188"/>
      <c r="HW32" s="188"/>
      <c r="HX32" s="188"/>
      <c r="HY32" s="188"/>
      <c r="HZ32" s="188"/>
      <c r="IA32" s="188"/>
      <c r="IB32" s="188"/>
      <c r="IC32" s="188"/>
      <c r="ID32" s="188"/>
      <c r="IE32" s="188"/>
      <c r="IF32" s="188"/>
      <c r="IG32" s="188"/>
      <c r="IH32" s="188"/>
      <c r="II32" s="188"/>
      <c r="IJ32" s="188"/>
      <c r="IK32" s="188"/>
      <c r="IL32" s="188"/>
      <c r="IM32" s="188"/>
      <c r="IN32" s="188"/>
      <c r="IO32" s="188"/>
      <c r="IP32" s="188"/>
      <c r="IQ32" s="188"/>
      <c r="IR32" s="188"/>
      <c r="IS32" s="188"/>
      <c r="IT32" s="188"/>
      <c r="IU32" s="188"/>
      <c r="IV32" s="188"/>
      <c r="IW32" s="188"/>
      <c r="IX32" s="188"/>
      <c r="IY32" s="188"/>
      <c r="IZ32" s="188"/>
      <c r="JA32" s="188"/>
      <c r="JB32" s="188"/>
      <c r="JC32" s="188"/>
      <c r="JD32" s="188"/>
      <c r="JE32" s="188"/>
      <c r="JF32" s="188"/>
      <c r="JG32" s="188"/>
      <c r="JH32" s="188"/>
      <c r="JI32" s="188"/>
      <c r="JJ32" s="188"/>
      <c r="JK32" s="188"/>
      <c r="JL32" s="188"/>
      <c r="JM32" s="188"/>
      <c r="JN32" s="188"/>
      <c r="JO32" s="188"/>
      <c r="JP32" s="188"/>
      <c r="JQ32" s="188"/>
      <c r="JR32" s="188"/>
      <c r="JS32" s="188"/>
      <c r="JT32" s="188"/>
      <c r="JU32" s="188"/>
      <c r="JV32" s="188"/>
      <c r="JW32" s="188"/>
      <c r="JX32" s="188"/>
      <c r="JY32" s="188"/>
      <c r="JZ32" s="188"/>
      <c r="KA32" s="188"/>
      <c r="KB32" s="188"/>
      <c r="KC32" s="188"/>
      <c r="KD32" s="188"/>
      <c r="KE32" s="188"/>
      <c r="KF32" s="188"/>
      <c r="KG32" s="188"/>
      <c r="KH32" s="188"/>
      <c r="KI32" s="188"/>
      <c r="KJ32" s="188"/>
      <c r="KK32" s="188"/>
      <c r="KL32" s="188"/>
      <c r="KM32" s="188"/>
      <c r="KN32" s="188"/>
      <c r="KO32" s="188"/>
      <c r="KP32" s="188"/>
      <c r="KQ32" s="188"/>
      <c r="KR32" s="188"/>
      <c r="KS32" s="188"/>
      <c r="KT32" s="188"/>
      <c r="KU32" s="188"/>
      <c r="KV32" s="188"/>
      <c r="KW32" s="188"/>
      <c r="KX32" s="188"/>
      <c r="KY32" s="188"/>
      <c r="KZ32" s="188"/>
      <c r="LA32" s="188"/>
      <c r="LB32" s="188"/>
      <c r="LC32" s="188"/>
      <c r="LD32" s="188"/>
      <c r="LE32" s="188"/>
      <c r="LF32" s="188"/>
      <c r="LG32" s="188"/>
      <c r="LH32" s="188"/>
      <c r="LI32" s="188"/>
      <c r="LJ32" s="188"/>
      <c r="LK32" s="188"/>
      <c r="LL32" s="188"/>
      <c r="LM32" s="188"/>
      <c r="LN32" s="188"/>
      <c r="LO32" s="188"/>
      <c r="LP32" s="188"/>
      <c r="LQ32" s="188"/>
      <c r="LR32" s="188"/>
      <c r="LS32" s="188"/>
      <c r="LT32" s="188"/>
      <c r="LU32" s="188"/>
      <c r="LV32" s="188"/>
      <c r="LW32" s="188"/>
      <c r="LX32" s="188"/>
      <c r="LY32" s="188"/>
      <c r="LZ32" s="188"/>
      <c r="MA32" s="188"/>
      <c r="MB32" s="188"/>
      <c r="MC32" s="188"/>
      <c r="MD32" s="188"/>
      <c r="ME32" s="188"/>
      <c r="MF32" s="188"/>
      <c r="MG32" s="188"/>
      <c r="MH32" s="188"/>
      <c r="MI32" s="188"/>
      <c r="MJ32" s="188"/>
      <c r="MK32" s="188"/>
      <c r="ML32" s="188"/>
      <c r="MM32" s="188"/>
      <c r="MN32" s="188"/>
      <c r="MO32" s="188"/>
      <c r="MP32" s="188"/>
      <c r="MQ32" s="188"/>
      <c r="MR32" s="188"/>
      <c r="MS32" s="188"/>
      <c r="MT32" s="188"/>
      <c r="MU32" s="188"/>
      <c r="MV32" s="188"/>
      <c r="MW32" s="188"/>
      <c r="MX32" s="188"/>
      <c r="MY32" s="188"/>
      <c r="MZ32" s="188"/>
      <c r="NA32" s="188"/>
      <c r="NB32" s="188"/>
      <c r="NC32" s="188"/>
      <c r="ND32" s="188"/>
      <c r="NE32" s="188"/>
      <c r="NF32" s="188"/>
      <c r="NG32" s="188"/>
      <c r="NH32" s="188"/>
      <c r="NI32" s="188"/>
      <c r="NJ32" s="188"/>
      <c r="NK32" s="188"/>
      <c r="NL32" s="188"/>
      <c r="NM32" s="188"/>
      <c r="NN32" s="188"/>
      <c r="NO32" s="188"/>
      <c r="NP32" s="188"/>
      <c r="NQ32" s="188"/>
      <c r="NR32" s="188"/>
      <c r="NS32" s="188"/>
      <c r="NT32" s="188"/>
      <c r="NU32" s="188"/>
      <c r="NV32" s="188"/>
      <c r="NW32" s="188"/>
      <c r="NX32" s="188"/>
      <c r="NY32" s="188"/>
      <c r="NZ32" s="188"/>
      <c r="OA32" s="188"/>
      <c r="OB32" s="188"/>
      <c r="OC32" s="188"/>
      <c r="OD32" s="188"/>
      <c r="OE32" s="188"/>
      <c r="OF32" s="188"/>
      <c r="OG32" s="188"/>
      <c r="OH32" s="188"/>
      <c r="OI32" s="188"/>
      <c r="OJ32" s="188"/>
      <c r="OK32" s="188"/>
      <c r="OL32" s="188"/>
      <c r="OM32" s="188"/>
      <c r="ON32" s="188"/>
      <c r="OO32" s="188"/>
      <c r="OP32" s="188"/>
      <c r="OQ32" s="188"/>
      <c r="OR32" s="188"/>
      <c r="OS32" s="188"/>
      <c r="OT32" s="188"/>
      <c r="OU32" s="188"/>
      <c r="OV32" s="188"/>
      <c r="OW32" s="188"/>
      <c r="OX32" s="188"/>
      <c r="OY32" s="188"/>
      <c r="OZ32" s="188"/>
      <c r="PA32" s="188"/>
      <c r="PB32" s="188"/>
      <c r="PC32" s="188"/>
      <c r="PD32" s="188"/>
      <c r="PE32" s="188"/>
      <c r="PF32" s="188"/>
      <c r="PG32" s="188"/>
      <c r="PH32" s="188"/>
      <c r="PI32" s="188"/>
      <c r="PJ32" s="188"/>
      <c r="PK32" s="188"/>
      <c r="PL32" s="188"/>
      <c r="PM32" s="188"/>
      <c r="PN32" s="188"/>
      <c r="PO32" s="188"/>
      <c r="PP32" s="188"/>
      <c r="PQ32" s="188"/>
      <c r="PR32" s="188"/>
      <c r="PS32" s="188"/>
      <c r="PT32" s="188"/>
      <c r="PU32" s="188"/>
      <c r="PV32" s="188"/>
      <c r="PW32" s="188"/>
      <c r="PX32" s="188"/>
      <c r="PY32" s="188"/>
      <c r="PZ32" s="188"/>
      <c r="QA32" s="188"/>
      <c r="QB32" s="188"/>
      <c r="QC32" s="188"/>
      <c r="QD32" s="188"/>
      <c r="QE32" s="188"/>
      <c r="QF32" s="188"/>
      <c r="QG32" s="188"/>
      <c r="QH32" s="188"/>
      <c r="QI32" s="188"/>
      <c r="QJ32" s="188"/>
      <c r="QK32" s="188"/>
      <c r="QL32" s="188"/>
      <c r="QM32" s="188"/>
      <c r="QN32" s="188"/>
      <c r="QO32" s="188"/>
      <c r="QP32" s="188"/>
      <c r="QQ32" s="188"/>
      <c r="QR32" s="188"/>
      <c r="QS32" s="188"/>
      <c r="QT32" s="188"/>
      <c r="QU32" s="188"/>
      <c r="QV32" s="188"/>
      <c r="QW32" s="188"/>
      <c r="QX32" s="188"/>
      <c r="QY32" s="188"/>
      <c r="QZ32" s="188"/>
      <c r="RA32" s="188"/>
      <c r="RB32" s="188"/>
      <c r="RC32" s="188"/>
      <c r="RD32" s="188"/>
      <c r="RE32" s="188"/>
      <c r="RF32" s="188"/>
      <c r="RG32" s="188"/>
      <c r="RH32" s="188"/>
      <c r="RI32" s="188"/>
      <c r="RJ32" s="188"/>
      <c r="RK32" s="188"/>
      <c r="RL32" s="188"/>
      <c r="RM32" s="188"/>
      <c r="RN32" s="188"/>
      <c r="RO32" s="188"/>
      <c r="RP32" s="188"/>
      <c r="RQ32" s="188"/>
      <c r="RR32" s="188"/>
      <c r="RS32" s="188"/>
      <c r="RT32" s="188"/>
      <c r="RU32" s="188"/>
      <c r="RV32" s="188"/>
      <c r="RW32" s="188"/>
      <c r="RX32" s="188"/>
      <c r="RY32" s="188"/>
      <c r="RZ32" s="188"/>
      <c r="SA32" s="188"/>
      <c r="SB32" s="188"/>
      <c r="SC32" s="188"/>
      <c r="SD32" s="188"/>
      <c r="SE32" s="188"/>
      <c r="SF32" s="188"/>
      <c r="SG32" s="188"/>
      <c r="SH32" s="188"/>
      <c r="SI32" s="188"/>
      <c r="SJ32" s="188"/>
      <c r="SK32" s="188"/>
      <c r="SL32" s="188"/>
      <c r="SM32" s="188"/>
      <c r="SN32" s="188"/>
      <c r="SO32" s="188"/>
      <c r="SP32" s="188"/>
      <c r="SQ32" s="188"/>
      <c r="SR32" s="188"/>
      <c r="SS32" s="188"/>
      <c r="ST32" s="188"/>
      <c r="SU32" s="188"/>
      <c r="SV32" s="188"/>
      <c r="SW32" s="188"/>
      <c r="SX32" s="188"/>
      <c r="SY32" s="188"/>
      <c r="SZ32" s="188"/>
      <c r="TA32" s="188"/>
      <c r="TB32" s="188"/>
      <c r="TC32" s="188"/>
      <c r="TD32" s="188"/>
      <c r="TE32" s="188"/>
      <c r="TF32" s="188"/>
      <c r="TG32" s="188"/>
      <c r="TH32" s="188"/>
      <c r="TI32" s="188"/>
      <c r="TJ32" s="188"/>
      <c r="TK32" s="188"/>
      <c r="TL32" s="188"/>
      <c r="TM32" s="188"/>
      <c r="TN32" s="188"/>
      <c r="TO32" s="188"/>
      <c r="TP32" s="188"/>
      <c r="TQ32" s="188"/>
      <c r="TR32" s="188"/>
      <c r="TS32" s="188"/>
      <c r="TT32" s="188"/>
      <c r="TU32" s="188"/>
      <c r="TV32" s="188"/>
      <c r="TW32" s="188"/>
      <c r="TX32" s="188"/>
      <c r="TY32" s="188"/>
      <c r="TZ32" s="188"/>
      <c r="UA32" s="188"/>
      <c r="UB32" s="188"/>
      <c r="UC32" s="188"/>
      <c r="UD32" s="188"/>
      <c r="UE32" s="188"/>
      <c r="UF32" s="188"/>
      <c r="UG32" s="188"/>
      <c r="UH32" s="188"/>
      <c r="UI32" s="188"/>
      <c r="UJ32" s="188"/>
      <c r="UK32" s="188"/>
      <c r="UL32" s="188"/>
      <c r="UM32" s="188"/>
      <c r="UN32" s="188"/>
      <c r="UO32" s="188"/>
      <c r="UP32" s="188"/>
      <c r="UQ32" s="188"/>
      <c r="UR32" s="188"/>
      <c r="US32" s="188"/>
      <c r="UT32" s="188"/>
      <c r="UU32" s="188"/>
      <c r="UV32" s="188"/>
      <c r="UW32" s="188"/>
      <c r="UX32" s="188"/>
      <c r="UY32" s="188"/>
      <c r="UZ32" s="188"/>
      <c r="VA32" s="188"/>
      <c r="VB32" s="188"/>
      <c r="VC32" s="188"/>
      <c r="VD32" s="188"/>
      <c r="VE32" s="188"/>
      <c r="VF32" s="188"/>
      <c r="VG32" s="188"/>
      <c r="VH32" s="188"/>
      <c r="VI32" s="188"/>
      <c r="VJ32" s="188"/>
      <c r="VK32" s="188"/>
      <c r="VL32" s="188"/>
      <c r="VM32" s="188"/>
      <c r="VN32" s="188"/>
      <c r="VO32" s="188"/>
      <c r="VP32" s="188"/>
      <c r="VQ32" s="188"/>
      <c r="VR32" s="188"/>
      <c r="VS32" s="188"/>
      <c r="VT32" s="188"/>
      <c r="VU32" s="188"/>
      <c r="VV32" s="188"/>
      <c r="VW32" s="188"/>
      <c r="VX32" s="188"/>
      <c r="VY32" s="188"/>
      <c r="VZ32" s="188"/>
      <c r="WA32" s="188"/>
      <c r="WB32" s="188"/>
      <c r="WC32" s="188"/>
      <c r="WD32" s="188"/>
      <c r="WE32" s="188"/>
      <c r="WF32" s="188"/>
      <c r="WG32" s="188"/>
      <c r="WH32" s="188"/>
      <c r="WI32" s="188"/>
      <c r="WJ32" s="188"/>
      <c r="WK32" s="188"/>
      <c r="WL32" s="188"/>
      <c r="WM32" s="188"/>
      <c r="WN32" s="188"/>
      <c r="WO32" s="188"/>
      <c r="WP32" s="188"/>
      <c r="WQ32" s="188"/>
      <c r="WR32" s="188"/>
      <c r="WS32" s="188"/>
      <c r="WT32" s="188"/>
      <c r="WU32" s="188"/>
      <c r="WV32" s="188"/>
      <c r="WW32" s="188"/>
      <c r="WX32" s="188"/>
      <c r="WY32" s="188"/>
      <c r="WZ32" s="188"/>
      <c r="XA32" s="188"/>
      <c r="XB32" s="188"/>
      <c r="XC32" s="188"/>
      <c r="XD32" s="188"/>
      <c r="XE32" s="188"/>
      <c r="XF32" s="188"/>
      <c r="XG32" s="188"/>
      <c r="XH32" s="188"/>
      <c r="XI32" s="188"/>
      <c r="XJ32" s="188"/>
      <c r="XK32" s="188"/>
      <c r="XL32" s="188"/>
      <c r="XM32" s="188"/>
      <c r="XN32" s="188"/>
      <c r="XO32" s="188"/>
      <c r="XP32" s="188"/>
      <c r="XQ32" s="188"/>
      <c r="XR32" s="188"/>
      <c r="XS32" s="188"/>
      <c r="XT32" s="188"/>
      <c r="XU32" s="188"/>
      <c r="XV32" s="188"/>
      <c r="XW32" s="188"/>
      <c r="XX32" s="188"/>
      <c r="XY32" s="188"/>
      <c r="XZ32" s="188"/>
      <c r="YA32" s="188"/>
      <c r="YB32" s="188"/>
      <c r="YC32" s="188"/>
      <c r="YD32" s="188"/>
      <c r="YE32" s="188"/>
      <c r="YF32" s="188"/>
      <c r="YG32" s="188"/>
      <c r="YH32" s="188"/>
      <c r="YI32" s="188"/>
      <c r="YJ32" s="188"/>
      <c r="YK32" s="188"/>
      <c r="YL32" s="188"/>
      <c r="YM32" s="188"/>
      <c r="YN32" s="188"/>
      <c r="YO32" s="188"/>
      <c r="YP32" s="188"/>
      <c r="YQ32" s="188"/>
      <c r="YR32" s="188"/>
      <c r="YS32" s="188"/>
      <c r="YT32" s="188"/>
      <c r="YU32" s="188"/>
      <c r="YV32" s="188"/>
      <c r="YW32" s="188"/>
      <c r="YX32" s="188"/>
      <c r="YY32" s="188"/>
      <c r="YZ32" s="188"/>
      <c r="ZA32" s="188"/>
      <c r="ZB32" s="188"/>
      <c r="ZC32" s="188"/>
      <c r="ZD32" s="188"/>
      <c r="ZE32" s="188"/>
      <c r="ZF32" s="188"/>
      <c r="ZG32" s="188"/>
      <c r="ZH32" s="188"/>
      <c r="ZI32" s="188"/>
      <c r="ZJ32" s="188"/>
      <c r="ZK32" s="188"/>
      <c r="ZL32" s="188"/>
      <c r="ZM32" s="188"/>
      <c r="ZN32" s="188"/>
      <c r="ZO32" s="188"/>
      <c r="ZP32" s="188"/>
      <c r="ZQ32" s="188"/>
      <c r="ZR32" s="188"/>
      <c r="ZS32" s="188"/>
      <c r="ZT32" s="188"/>
      <c r="ZU32" s="188"/>
      <c r="ZV32" s="188"/>
      <c r="ZW32" s="188"/>
      <c r="ZX32" s="188"/>
      <c r="ZY32" s="188"/>
      <c r="ZZ32" s="188"/>
      <c r="AAA32" s="188"/>
      <c r="AAB32" s="188"/>
      <c r="AAC32" s="188"/>
      <c r="AAD32" s="188"/>
      <c r="AAE32" s="188"/>
      <c r="AAF32" s="188"/>
      <c r="AAG32" s="188"/>
      <c r="AAH32" s="188"/>
      <c r="AAI32" s="188"/>
      <c r="AAJ32" s="188"/>
      <c r="AAK32" s="188"/>
      <c r="AAL32" s="188"/>
      <c r="AAM32" s="188"/>
      <c r="AAN32" s="188"/>
      <c r="AAO32" s="188"/>
      <c r="AAP32" s="188"/>
      <c r="AAQ32" s="188"/>
      <c r="AAR32" s="188"/>
      <c r="AAS32" s="188"/>
      <c r="AAT32" s="188"/>
      <c r="AAU32" s="188"/>
      <c r="AAV32" s="188"/>
      <c r="AAW32" s="188"/>
      <c r="AAX32" s="188"/>
      <c r="AAY32" s="188"/>
      <c r="AAZ32" s="188"/>
      <c r="ABA32" s="188"/>
      <c r="ABB32" s="188"/>
      <c r="ABC32" s="188"/>
      <c r="ABD32" s="188"/>
      <c r="ABE32" s="188"/>
      <c r="ABF32" s="188"/>
      <c r="ABG32" s="188"/>
      <c r="ABH32" s="188"/>
      <c r="ABI32" s="188"/>
      <c r="ABJ32" s="188"/>
      <c r="ABK32" s="188"/>
      <c r="ABL32" s="188"/>
      <c r="ABM32" s="188"/>
      <c r="ABN32" s="188"/>
      <c r="ABO32" s="188"/>
      <c r="ABP32" s="188"/>
      <c r="ABQ32" s="188"/>
      <c r="ABR32" s="188"/>
      <c r="ABS32" s="188"/>
      <c r="ABT32" s="188"/>
      <c r="ABU32" s="188"/>
      <c r="ABV32" s="188"/>
      <c r="ABW32" s="188"/>
      <c r="ABX32" s="188"/>
      <c r="ABY32" s="188"/>
      <c r="ABZ32" s="188"/>
      <c r="ACA32" s="188"/>
      <c r="ACB32" s="188"/>
      <c r="ACC32" s="188"/>
      <c r="ACD32" s="188"/>
      <c r="ACE32" s="188"/>
      <c r="ACF32" s="188"/>
      <c r="ACG32" s="188"/>
      <c r="ACH32" s="188"/>
      <c r="ACI32" s="188"/>
      <c r="ACJ32" s="188"/>
      <c r="ACK32" s="188"/>
      <c r="ACL32" s="188"/>
      <c r="ACM32" s="188"/>
      <c r="ACN32" s="188"/>
      <c r="ACO32" s="188"/>
      <c r="ACP32" s="188"/>
      <c r="ACQ32" s="188"/>
      <c r="ACR32" s="188"/>
      <c r="ACS32" s="188"/>
      <c r="ACT32" s="188"/>
      <c r="ACU32" s="188"/>
      <c r="ACV32" s="188"/>
      <c r="ACW32" s="188"/>
      <c r="ACX32" s="188"/>
      <c r="ACY32" s="188"/>
      <c r="ACZ32" s="188"/>
      <c r="ADA32" s="188"/>
      <c r="ADB32" s="188"/>
      <c r="ADC32" s="188"/>
      <c r="ADD32" s="188"/>
      <c r="ADE32" s="188"/>
      <c r="ADF32" s="188"/>
      <c r="ADG32" s="188"/>
      <c r="ADH32" s="188"/>
      <c r="ADI32" s="188"/>
      <c r="ADJ32" s="188"/>
      <c r="ADK32" s="188"/>
      <c r="ADL32" s="188"/>
      <c r="ADM32" s="188"/>
      <c r="ADN32" s="188"/>
      <c r="ADO32" s="188"/>
      <c r="ADP32" s="188"/>
      <c r="ADQ32" s="188"/>
      <c r="ADR32" s="188"/>
      <c r="ADS32" s="188"/>
      <c r="ADT32" s="188"/>
      <c r="ADU32" s="188"/>
      <c r="ADV32" s="188"/>
      <c r="ADW32" s="188"/>
      <c r="ADX32" s="188"/>
      <c r="ADY32" s="188"/>
      <c r="ADZ32" s="188"/>
      <c r="AEA32" s="188"/>
      <c r="AEB32" s="188"/>
      <c r="AEC32" s="188"/>
      <c r="AED32" s="188"/>
      <c r="AEE32" s="188"/>
      <c r="AEF32" s="188"/>
      <c r="AEG32" s="188"/>
      <c r="AEH32" s="188"/>
      <c r="AEI32" s="188"/>
      <c r="AEJ32" s="188"/>
      <c r="AEK32" s="188"/>
      <c r="AEL32" s="188"/>
      <c r="AEM32" s="188"/>
      <c r="AEN32" s="188"/>
      <c r="AEO32" s="188"/>
      <c r="AEP32" s="188"/>
      <c r="AEQ32" s="188"/>
      <c r="AER32" s="188"/>
      <c r="AES32" s="188"/>
      <c r="AET32" s="188"/>
      <c r="AEU32" s="188"/>
      <c r="AEV32" s="188"/>
      <c r="AEW32" s="188"/>
      <c r="AEX32" s="188"/>
      <c r="AEY32" s="188"/>
      <c r="AEZ32" s="188"/>
      <c r="AFA32" s="188"/>
      <c r="AFB32" s="188"/>
      <c r="AFC32" s="188"/>
      <c r="AFD32" s="188"/>
      <c r="AFE32" s="188"/>
      <c r="AFF32" s="188"/>
      <c r="AFG32" s="188"/>
      <c r="AFH32" s="188"/>
      <c r="AFI32" s="188"/>
      <c r="AFJ32" s="188"/>
      <c r="AFK32" s="188"/>
      <c r="AFL32" s="188"/>
      <c r="AFM32" s="188"/>
      <c r="AFN32" s="188"/>
      <c r="AFO32" s="188"/>
      <c r="AFP32" s="188"/>
      <c r="AFQ32" s="188"/>
      <c r="AFR32" s="188"/>
      <c r="AFS32" s="188"/>
      <c r="AFT32" s="188"/>
      <c r="AFU32" s="188"/>
      <c r="AFV32" s="188"/>
      <c r="AFW32" s="188"/>
      <c r="AFX32" s="188"/>
      <c r="AFY32" s="188"/>
      <c r="AFZ32" s="188"/>
      <c r="AGA32" s="188"/>
      <c r="AGB32" s="188"/>
      <c r="AGC32" s="188"/>
      <c r="AGD32" s="188"/>
      <c r="AGE32" s="188"/>
      <c r="AGF32" s="188"/>
      <c r="AGG32" s="188"/>
      <c r="AGH32" s="188"/>
      <c r="AGI32" s="188"/>
      <c r="AGJ32" s="188"/>
      <c r="AGK32" s="188"/>
      <c r="AGL32" s="188"/>
      <c r="AGM32" s="188"/>
      <c r="AGN32" s="188"/>
      <c r="AGO32" s="188"/>
      <c r="AGP32" s="188"/>
      <c r="AGQ32" s="188"/>
      <c r="AGR32" s="188"/>
      <c r="AGS32" s="188"/>
      <c r="AGT32" s="188"/>
      <c r="AGU32" s="188"/>
      <c r="AGV32" s="188"/>
      <c r="AGW32" s="188"/>
      <c r="AGX32" s="188"/>
      <c r="AGY32" s="188"/>
      <c r="AGZ32" s="188"/>
      <c r="AHA32" s="188"/>
      <c r="AHB32" s="188"/>
      <c r="AHC32" s="188"/>
      <c r="AHD32" s="188"/>
      <c r="AHE32" s="188"/>
      <c r="AHF32" s="188"/>
      <c r="AHG32" s="188"/>
      <c r="AHH32" s="188"/>
      <c r="AHI32" s="188"/>
      <c r="AHJ32" s="188"/>
      <c r="AHK32" s="188"/>
      <c r="AHL32" s="188"/>
      <c r="AHM32" s="188"/>
      <c r="AHN32" s="188"/>
      <c r="AHO32" s="188"/>
      <c r="AHP32" s="188"/>
      <c r="AHQ32" s="188"/>
      <c r="AHR32" s="188"/>
      <c r="AHS32" s="188"/>
      <c r="AHT32" s="188"/>
      <c r="AHU32" s="188"/>
      <c r="AHV32" s="188"/>
      <c r="AHW32" s="188"/>
      <c r="AHX32" s="188"/>
      <c r="AHY32" s="188"/>
      <c r="AHZ32" s="188"/>
      <c r="AIA32" s="188"/>
      <c r="AIB32" s="188"/>
      <c r="AIC32" s="188"/>
      <c r="AID32" s="188"/>
      <c r="AIE32" s="188"/>
      <c r="AIF32" s="188"/>
      <c r="AIG32" s="188"/>
      <c r="AIH32" s="188"/>
      <c r="AII32" s="188"/>
      <c r="AIJ32" s="188"/>
      <c r="AIK32" s="188"/>
      <c r="AIL32" s="188"/>
      <c r="AIM32" s="188"/>
      <c r="AIN32" s="188"/>
      <c r="AIO32" s="188"/>
      <c r="AIP32" s="188"/>
      <c r="AIQ32" s="188"/>
      <c r="AIR32" s="188"/>
      <c r="AIS32" s="188"/>
      <c r="AIT32" s="188"/>
      <c r="AIU32" s="188"/>
      <c r="AIV32" s="188"/>
      <c r="AIW32" s="188"/>
      <c r="AIX32" s="188"/>
      <c r="AIY32" s="188"/>
      <c r="AIZ32" s="188"/>
      <c r="AJA32" s="188"/>
      <c r="AJB32" s="188"/>
      <c r="AJC32" s="188"/>
      <c r="AJD32" s="188"/>
      <c r="AJE32" s="188"/>
      <c r="AJF32" s="188"/>
      <c r="AJG32" s="188"/>
      <c r="AJH32" s="188"/>
      <c r="AJI32" s="188"/>
      <c r="AJJ32" s="188"/>
      <c r="AJK32" s="188"/>
      <c r="AJL32" s="188"/>
      <c r="AJM32" s="188"/>
      <c r="AJN32" s="188"/>
      <c r="AJO32" s="188"/>
      <c r="AJP32" s="188"/>
      <c r="AJQ32" s="188"/>
      <c r="AJR32" s="188"/>
      <c r="AJS32" s="188"/>
      <c r="AJT32" s="188"/>
      <c r="AJU32" s="188"/>
      <c r="AJV32" s="188"/>
      <c r="AJW32" s="188"/>
      <c r="AJX32" s="188"/>
      <c r="AJY32" s="188"/>
      <c r="AJZ32" s="188"/>
      <c r="AKA32" s="188"/>
      <c r="AKB32" s="188"/>
      <c r="AKC32" s="188"/>
      <c r="AKD32" s="188"/>
      <c r="AKE32" s="188"/>
      <c r="AKF32" s="188"/>
      <c r="AKG32" s="188"/>
      <c r="AKH32" s="188"/>
      <c r="AKI32" s="188"/>
      <c r="AKJ32" s="188"/>
      <c r="AKK32" s="188"/>
      <c r="AKL32" s="188"/>
      <c r="AKM32" s="188"/>
      <c r="AKN32" s="188"/>
      <c r="AKO32" s="188"/>
      <c r="AKP32" s="188"/>
      <c r="AKQ32" s="188"/>
      <c r="AKR32" s="188"/>
      <c r="AKS32" s="188"/>
      <c r="AKT32" s="188"/>
      <c r="AKU32" s="188"/>
      <c r="AKV32" s="188"/>
      <c r="AKW32" s="188"/>
      <c r="AKX32" s="188"/>
      <c r="AKY32" s="188"/>
      <c r="AKZ32" s="188"/>
      <c r="ALA32" s="188"/>
      <c r="ALB32" s="188"/>
      <c r="ALC32" s="188"/>
      <c r="ALD32" s="188"/>
      <c r="ALE32" s="188"/>
      <c r="ALF32" s="188"/>
      <c r="ALG32" s="188"/>
      <c r="ALH32" s="188"/>
      <c r="ALI32" s="188"/>
      <c r="ALJ32" s="188"/>
      <c r="ALK32" s="188"/>
      <c r="ALL32" s="188"/>
      <c r="ALM32" s="188"/>
      <c r="ALN32" s="188"/>
      <c r="ALO32" s="188"/>
      <c r="ALP32" s="188"/>
      <c r="ALQ32" s="188"/>
      <c r="ALR32" s="188"/>
      <c r="ALS32" s="188"/>
      <c r="ALT32" s="188"/>
      <c r="ALU32" s="188"/>
      <c r="ALV32" s="188"/>
      <c r="ALW32" s="188"/>
      <c r="ALX32" s="188"/>
      <c r="ALY32" s="188"/>
      <c r="ALZ32" s="188"/>
      <c r="AMA32" s="188"/>
      <c r="AMB32" s="188"/>
      <c r="AMC32" s="188"/>
      <c r="AMD32" s="188"/>
      <c r="AME32" s="188"/>
      <c r="AMF32" s="188"/>
      <c r="AMG32" s="188"/>
      <c r="AMH32" s="188"/>
      <c r="AMI32" s="188"/>
      <c r="AMJ32" s="188"/>
      <c r="AMK32" s="188"/>
      <c r="AML32" s="188"/>
      <c r="AMM32" s="188"/>
      <c r="AMN32" s="188"/>
      <c r="AMO32" s="188"/>
      <c r="AMP32" s="188"/>
      <c r="AMQ32" s="188"/>
      <c r="AMR32" s="188"/>
      <c r="AMS32" s="188"/>
      <c r="AMT32" s="188"/>
      <c r="AMU32" s="188"/>
      <c r="AMV32" s="188"/>
      <c r="AMW32" s="188"/>
      <c r="AMX32" s="188"/>
      <c r="AMY32" s="188"/>
      <c r="AMZ32" s="188"/>
      <c r="ANA32" s="188"/>
      <c r="ANB32" s="188"/>
      <c r="ANC32" s="188"/>
      <c r="AND32" s="188"/>
      <c r="ANE32" s="188"/>
      <c r="ANF32" s="188"/>
      <c r="ANG32" s="188"/>
      <c r="ANH32" s="188"/>
      <c r="ANI32" s="188"/>
      <c r="ANJ32" s="188"/>
      <c r="ANK32" s="188"/>
      <c r="ANL32" s="188"/>
      <c r="ANM32" s="188"/>
      <c r="ANN32" s="188"/>
      <c r="ANO32" s="188"/>
      <c r="ANP32" s="188"/>
      <c r="ANQ32" s="188"/>
      <c r="ANR32" s="188"/>
      <c r="ANS32" s="188"/>
      <c r="ANT32" s="188"/>
      <c r="ANU32" s="188"/>
      <c r="ANV32" s="188"/>
      <c r="ANW32" s="188"/>
      <c r="ANX32" s="188"/>
      <c r="ANY32" s="188"/>
      <c r="ANZ32" s="188"/>
      <c r="AOA32" s="188"/>
      <c r="AOB32" s="188"/>
      <c r="AOC32" s="188"/>
      <c r="AOD32" s="188"/>
      <c r="AOE32" s="188"/>
      <c r="AOF32" s="188"/>
      <c r="AOG32" s="188"/>
      <c r="AOH32" s="188"/>
      <c r="AOI32" s="188"/>
      <c r="AOJ32" s="188"/>
      <c r="AOK32" s="188"/>
      <c r="AOL32" s="188"/>
      <c r="AOM32" s="188"/>
      <c r="AON32" s="188"/>
      <c r="AOO32" s="188"/>
      <c r="AOP32" s="188"/>
      <c r="AOQ32" s="188"/>
      <c r="AOR32" s="188"/>
      <c r="AOS32" s="188"/>
      <c r="AOT32" s="188"/>
      <c r="AOU32" s="188"/>
      <c r="AOV32" s="188"/>
      <c r="AOW32" s="188"/>
      <c r="AOX32" s="188"/>
      <c r="AOY32" s="188"/>
      <c r="AOZ32" s="188"/>
      <c r="APA32" s="188"/>
      <c r="APB32" s="188"/>
      <c r="APC32" s="188"/>
      <c r="APD32" s="188"/>
      <c r="APE32" s="188"/>
      <c r="APF32" s="188"/>
      <c r="APG32" s="188"/>
      <c r="APH32" s="188"/>
      <c r="API32" s="188"/>
      <c r="APJ32" s="188"/>
      <c r="APK32" s="188"/>
      <c r="APL32" s="188"/>
      <c r="APM32" s="188"/>
      <c r="APN32" s="188"/>
      <c r="APO32" s="188"/>
      <c r="APP32" s="188"/>
      <c r="APQ32" s="188"/>
      <c r="APR32" s="188"/>
      <c r="APS32" s="188"/>
      <c r="APT32" s="188"/>
      <c r="APU32" s="188"/>
      <c r="APV32" s="188"/>
      <c r="APW32" s="188"/>
      <c r="APX32" s="188"/>
      <c r="APY32" s="188"/>
      <c r="APZ32" s="188"/>
      <c r="AQA32" s="188"/>
      <c r="AQB32" s="188"/>
      <c r="AQC32" s="188"/>
      <c r="AQD32" s="188"/>
      <c r="AQE32" s="188"/>
      <c r="AQF32" s="188"/>
      <c r="AQG32" s="188"/>
      <c r="AQH32" s="188"/>
      <c r="AQI32" s="188"/>
      <c r="AQJ32" s="188"/>
      <c r="AQK32" s="188"/>
      <c r="AQL32" s="188"/>
      <c r="AQM32" s="188"/>
      <c r="AQN32" s="188"/>
      <c r="AQO32" s="188"/>
      <c r="AQP32" s="188"/>
      <c r="AQQ32" s="188"/>
      <c r="AQR32" s="188"/>
      <c r="AQS32" s="188"/>
      <c r="AQT32" s="188"/>
      <c r="AQU32" s="188"/>
      <c r="AQV32" s="188"/>
      <c r="AQW32" s="188"/>
      <c r="AQX32" s="188"/>
      <c r="AQY32" s="188"/>
      <c r="AQZ32" s="188"/>
      <c r="ARA32" s="188"/>
      <c r="ARB32" s="188"/>
      <c r="ARC32" s="188"/>
      <c r="ARD32" s="188"/>
      <c r="ARE32" s="188"/>
      <c r="ARF32" s="188"/>
      <c r="ARG32" s="188"/>
      <c r="ARH32" s="188"/>
      <c r="ARI32" s="188"/>
      <c r="ARJ32" s="188"/>
      <c r="ARK32" s="188"/>
      <c r="ARL32" s="188"/>
      <c r="ARM32" s="188"/>
      <c r="ARN32" s="188"/>
      <c r="ARO32" s="188"/>
      <c r="ARP32" s="188"/>
      <c r="ARQ32" s="188"/>
      <c r="ARR32" s="188"/>
      <c r="ARS32" s="188"/>
      <c r="ART32" s="188"/>
      <c r="ARU32" s="188"/>
      <c r="ARV32" s="188"/>
      <c r="ARW32" s="188"/>
      <c r="ARX32" s="188"/>
      <c r="ARY32" s="188"/>
      <c r="ARZ32" s="188"/>
      <c r="ASA32" s="188"/>
      <c r="ASB32" s="188"/>
      <c r="ASC32" s="188"/>
      <c r="ASD32" s="188"/>
      <c r="ASE32" s="188"/>
      <c r="ASF32" s="188"/>
      <c r="ASG32" s="188"/>
      <c r="ASH32" s="188"/>
      <c r="ASI32" s="188"/>
      <c r="ASJ32" s="188"/>
      <c r="ASK32" s="188"/>
      <c r="ASL32" s="188"/>
      <c r="ASM32" s="188"/>
      <c r="ASN32" s="188"/>
      <c r="ASO32" s="188"/>
      <c r="ASP32" s="188"/>
      <c r="ASQ32" s="188"/>
      <c r="ASR32" s="188"/>
      <c r="ASS32" s="188"/>
      <c r="AST32" s="188"/>
      <c r="ASU32" s="188"/>
      <c r="ASV32" s="188"/>
      <c r="ASW32" s="188"/>
      <c r="ASX32" s="188"/>
      <c r="ASY32" s="188"/>
      <c r="ASZ32" s="188"/>
      <c r="ATA32" s="188"/>
      <c r="ATB32" s="188"/>
      <c r="ATC32" s="188"/>
      <c r="ATD32" s="188"/>
      <c r="ATE32" s="188"/>
      <c r="ATF32" s="188"/>
      <c r="ATG32" s="188"/>
      <c r="ATH32" s="188"/>
      <c r="ATI32" s="188"/>
      <c r="ATJ32" s="188"/>
      <c r="ATK32" s="188"/>
      <c r="ATL32" s="188"/>
      <c r="ATM32" s="188"/>
      <c r="ATN32" s="188"/>
      <c r="ATO32" s="188"/>
      <c r="ATP32" s="188"/>
      <c r="ATQ32" s="188"/>
      <c r="ATR32" s="188"/>
      <c r="ATS32" s="188"/>
      <c r="ATT32" s="188"/>
      <c r="ATU32" s="188"/>
      <c r="ATV32" s="188"/>
      <c r="ATW32" s="188"/>
      <c r="ATX32" s="188"/>
      <c r="ATY32" s="188"/>
      <c r="ATZ32" s="188"/>
      <c r="AUA32" s="188"/>
      <c r="AUB32" s="188"/>
      <c r="AUC32" s="188"/>
      <c r="AUD32" s="188"/>
      <c r="AUE32" s="188"/>
      <c r="AUF32" s="188"/>
      <c r="AUG32" s="188"/>
      <c r="AUH32" s="188"/>
      <c r="AUI32" s="188"/>
      <c r="AUJ32" s="188"/>
      <c r="AUK32" s="188"/>
      <c r="AUL32" s="188"/>
      <c r="AUM32" s="188"/>
      <c r="AUN32" s="188"/>
      <c r="AUO32" s="188"/>
      <c r="AUP32" s="188"/>
      <c r="AUQ32" s="188"/>
      <c r="AUR32" s="188"/>
      <c r="AUS32" s="188"/>
      <c r="AUT32" s="188"/>
      <c r="AUU32" s="188"/>
      <c r="AUV32" s="188"/>
      <c r="AUW32" s="188"/>
      <c r="AUX32" s="188"/>
      <c r="AUY32" s="188"/>
      <c r="AUZ32" s="188"/>
      <c r="AVA32" s="188"/>
      <c r="AVB32" s="188"/>
      <c r="AVC32" s="188"/>
      <c r="AVD32" s="188"/>
      <c r="AVE32" s="188"/>
      <c r="AVF32" s="188"/>
      <c r="AVG32" s="188"/>
      <c r="AVH32" s="188"/>
      <c r="AVI32" s="188"/>
      <c r="AVJ32" s="188"/>
      <c r="AVK32" s="188"/>
      <c r="AVL32" s="188"/>
      <c r="AVM32" s="188"/>
      <c r="AVN32" s="188"/>
      <c r="AVO32" s="188"/>
      <c r="AVP32" s="188"/>
      <c r="AVQ32" s="188"/>
      <c r="AVR32" s="188"/>
      <c r="AVS32" s="188"/>
      <c r="AVT32" s="188"/>
      <c r="AVU32" s="188"/>
      <c r="AVV32" s="188"/>
      <c r="AVW32" s="188"/>
      <c r="AVX32" s="188"/>
      <c r="AVY32" s="188"/>
      <c r="AVZ32" s="188"/>
      <c r="AWA32" s="188"/>
      <c r="AWB32" s="188"/>
      <c r="AWC32" s="188"/>
      <c r="AWD32" s="188"/>
      <c r="AWE32" s="188"/>
      <c r="AWF32" s="188"/>
      <c r="AWG32" s="188"/>
      <c r="AWH32" s="188"/>
      <c r="AWI32" s="188"/>
      <c r="AWJ32" s="188"/>
      <c r="AWK32" s="188"/>
      <c r="AWL32" s="188"/>
      <c r="AWM32" s="188"/>
      <c r="AWN32" s="188"/>
      <c r="AWO32" s="188"/>
      <c r="AWP32" s="188"/>
      <c r="AWQ32" s="188"/>
      <c r="AWR32" s="188"/>
      <c r="AWS32" s="188"/>
      <c r="AWT32" s="188"/>
      <c r="AWU32" s="188"/>
      <c r="AWV32" s="188"/>
      <c r="AWW32" s="188"/>
      <c r="AWX32" s="188"/>
      <c r="AWY32" s="188"/>
      <c r="AWZ32" s="188"/>
      <c r="AXA32" s="188"/>
      <c r="AXB32" s="188"/>
      <c r="AXC32" s="188"/>
      <c r="AXD32" s="188"/>
      <c r="AXE32" s="188"/>
      <c r="AXF32" s="188"/>
      <c r="AXG32" s="188"/>
      <c r="AXH32" s="188"/>
      <c r="AXI32" s="188"/>
      <c r="AXJ32" s="188"/>
      <c r="AXK32" s="188"/>
      <c r="AXL32" s="188"/>
      <c r="AXM32" s="188"/>
      <c r="AXN32" s="188"/>
      <c r="AXO32" s="188"/>
      <c r="AXP32" s="188"/>
      <c r="AXQ32" s="188"/>
      <c r="AXR32" s="188"/>
      <c r="AXS32" s="188"/>
      <c r="AXT32" s="188"/>
      <c r="AXU32" s="188"/>
      <c r="AXV32" s="188"/>
      <c r="AXW32" s="188"/>
      <c r="AXX32" s="188"/>
      <c r="AXY32" s="188"/>
      <c r="AXZ32" s="188"/>
      <c r="AYA32" s="188"/>
      <c r="AYB32" s="188"/>
      <c r="AYC32" s="188"/>
      <c r="AYD32" s="188"/>
      <c r="AYE32" s="188"/>
      <c r="AYF32" s="188"/>
      <c r="AYG32" s="188"/>
      <c r="AYH32" s="188"/>
      <c r="AYI32" s="188"/>
      <c r="AYJ32" s="188"/>
      <c r="AYK32" s="188"/>
      <c r="AYL32" s="188"/>
      <c r="AYM32" s="188"/>
      <c r="AYN32" s="188"/>
      <c r="AYO32" s="188"/>
      <c r="AYP32" s="188"/>
      <c r="AYQ32" s="188"/>
      <c r="AYR32" s="188"/>
      <c r="AYS32" s="188"/>
      <c r="AYT32" s="188"/>
      <c r="AYU32" s="188"/>
      <c r="AYV32" s="188"/>
      <c r="AYW32" s="188"/>
      <c r="AYX32" s="188"/>
      <c r="AYY32" s="188"/>
      <c r="AYZ32" s="188"/>
      <c r="AZA32" s="188"/>
      <c r="AZB32" s="188"/>
      <c r="AZC32" s="188"/>
      <c r="AZD32" s="188"/>
      <c r="AZE32" s="188"/>
      <c r="AZF32" s="188"/>
      <c r="AZG32" s="188"/>
      <c r="AZH32" s="188"/>
      <c r="AZI32" s="188"/>
      <c r="AZJ32" s="188"/>
      <c r="AZK32" s="188"/>
      <c r="AZL32" s="188"/>
      <c r="AZM32" s="188"/>
      <c r="AZN32" s="188"/>
      <c r="AZO32" s="188"/>
      <c r="AZP32" s="188"/>
      <c r="AZQ32" s="188"/>
      <c r="AZR32" s="188"/>
      <c r="AZS32" s="188"/>
      <c r="AZT32" s="188"/>
      <c r="AZU32" s="188"/>
      <c r="AZV32" s="188"/>
      <c r="AZW32" s="188"/>
      <c r="AZX32" s="188"/>
      <c r="AZY32" s="188"/>
      <c r="AZZ32" s="188"/>
      <c r="BAA32" s="188"/>
      <c r="BAB32" s="188"/>
      <c r="BAC32" s="188"/>
      <c r="BAD32" s="188"/>
      <c r="BAE32" s="188"/>
      <c r="BAF32" s="188"/>
      <c r="BAG32" s="188"/>
      <c r="BAH32" s="188"/>
      <c r="BAI32" s="188"/>
      <c r="BAJ32" s="188"/>
      <c r="BAK32" s="188"/>
      <c r="BAL32" s="188"/>
      <c r="BAM32" s="188"/>
      <c r="BAN32" s="188"/>
      <c r="BAO32" s="188"/>
      <c r="BAP32" s="188"/>
      <c r="BAQ32" s="188"/>
      <c r="BAR32" s="188"/>
      <c r="BAS32" s="188"/>
      <c r="BAT32" s="188"/>
      <c r="BAU32" s="188"/>
      <c r="BAV32" s="188"/>
      <c r="BAW32" s="188"/>
      <c r="BAX32" s="188"/>
      <c r="BAY32" s="188"/>
      <c r="BAZ32" s="188"/>
      <c r="BBA32" s="188"/>
      <c r="BBB32" s="188"/>
      <c r="BBC32" s="188"/>
      <c r="BBD32" s="188"/>
      <c r="BBE32" s="188"/>
      <c r="BBF32" s="188"/>
      <c r="BBG32" s="188"/>
      <c r="BBH32" s="188"/>
      <c r="BBI32" s="188"/>
      <c r="BBJ32" s="188"/>
      <c r="BBK32" s="188"/>
      <c r="BBL32" s="188"/>
      <c r="BBM32" s="188"/>
      <c r="BBN32" s="188"/>
      <c r="BBO32" s="188"/>
      <c r="BBP32" s="188"/>
      <c r="BBQ32" s="188"/>
      <c r="BBR32" s="188"/>
      <c r="BBS32" s="188"/>
      <c r="BBT32" s="188"/>
      <c r="BBU32" s="188"/>
      <c r="BBV32" s="188"/>
      <c r="BBW32" s="188"/>
      <c r="BBX32" s="188"/>
      <c r="BBY32" s="188"/>
      <c r="BBZ32" s="188"/>
      <c r="BCA32" s="188"/>
      <c r="BCB32" s="188"/>
      <c r="BCC32" s="188"/>
      <c r="BCD32" s="188"/>
      <c r="BCE32" s="188"/>
      <c r="BCF32" s="188"/>
      <c r="BCG32" s="188"/>
      <c r="BCH32" s="188"/>
      <c r="BCI32" s="188"/>
      <c r="BCJ32" s="188"/>
      <c r="BCK32" s="188"/>
      <c r="BCL32" s="188"/>
      <c r="BCM32" s="188"/>
      <c r="BCN32" s="188"/>
      <c r="BCO32" s="188"/>
      <c r="BCP32" s="188"/>
      <c r="BCQ32" s="188"/>
      <c r="BCR32" s="188"/>
      <c r="BCS32" s="188"/>
      <c r="BCT32" s="188"/>
      <c r="BCU32" s="188"/>
      <c r="BCV32" s="188"/>
      <c r="BCW32" s="188"/>
      <c r="BCX32" s="188"/>
      <c r="BCY32" s="188"/>
      <c r="BCZ32" s="188"/>
      <c r="BDA32" s="188"/>
      <c r="BDB32" s="188"/>
      <c r="BDC32" s="188"/>
      <c r="BDD32" s="188"/>
      <c r="BDE32" s="188"/>
      <c r="BDF32" s="188"/>
      <c r="BDG32" s="188"/>
      <c r="BDH32" s="188"/>
      <c r="BDI32" s="188"/>
      <c r="BDJ32" s="188"/>
      <c r="BDK32" s="188"/>
      <c r="BDL32" s="188"/>
      <c r="BDM32" s="188"/>
      <c r="BDN32" s="188"/>
      <c r="BDO32" s="188"/>
      <c r="BDP32" s="188"/>
      <c r="BDQ32" s="188"/>
      <c r="BDR32" s="188"/>
      <c r="BDS32" s="188"/>
      <c r="BDT32" s="188"/>
      <c r="BDU32" s="188"/>
      <c r="BDV32" s="188"/>
      <c r="BDW32" s="188"/>
      <c r="BDX32" s="188"/>
      <c r="BDY32" s="188"/>
      <c r="BDZ32" s="188"/>
      <c r="BEA32" s="188"/>
      <c r="BEB32" s="188"/>
      <c r="BEC32" s="188"/>
      <c r="BED32" s="188"/>
      <c r="BEE32" s="188"/>
      <c r="BEF32" s="188"/>
      <c r="BEG32" s="188"/>
      <c r="BEH32" s="188"/>
      <c r="BEI32" s="188"/>
      <c r="BEJ32" s="188"/>
      <c r="BEK32" s="188"/>
      <c r="BEL32" s="188"/>
      <c r="BEM32" s="188"/>
      <c r="BEN32" s="188"/>
      <c r="BEO32" s="188"/>
      <c r="BEP32" s="188"/>
      <c r="BEQ32" s="188"/>
      <c r="BER32" s="188"/>
      <c r="BES32" s="188"/>
      <c r="BET32" s="188"/>
      <c r="BEU32" s="188"/>
      <c r="BEV32" s="188"/>
      <c r="BEW32" s="188"/>
      <c r="BEX32" s="188"/>
      <c r="BEY32" s="188"/>
      <c r="BEZ32" s="188"/>
      <c r="BFA32" s="188"/>
      <c r="BFB32" s="188"/>
      <c r="BFC32" s="188"/>
      <c r="BFD32" s="188"/>
      <c r="BFE32" s="188"/>
      <c r="BFF32" s="188"/>
      <c r="BFG32" s="188"/>
      <c r="BFH32" s="188"/>
      <c r="BFI32" s="188"/>
      <c r="BFJ32" s="188"/>
      <c r="BFK32" s="188"/>
      <c r="BFL32" s="188"/>
      <c r="BFM32" s="188"/>
      <c r="BFN32" s="188"/>
      <c r="BFO32" s="188"/>
      <c r="BFP32" s="188"/>
      <c r="BFQ32" s="188"/>
      <c r="BFR32" s="188"/>
      <c r="BFS32" s="188"/>
      <c r="BFT32" s="188"/>
      <c r="BFU32" s="188"/>
      <c r="BFV32" s="188"/>
      <c r="BFW32" s="188"/>
      <c r="BFX32" s="188"/>
      <c r="BFY32" s="188"/>
      <c r="BFZ32" s="188"/>
      <c r="BGA32" s="188"/>
      <c r="BGB32" s="188"/>
      <c r="BGC32" s="188"/>
      <c r="BGD32" s="188"/>
      <c r="BGE32" s="188"/>
      <c r="BGF32" s="188"/>
      <c r="BGG32" s="188"/>
      <c r="BGH32" s="188"/>
      <c r="BGI32" s="188"/>
      <c r="BGJ32" s="188"/>
      <c r="BGK32" s="188"/>
      <c r="BGL32" s="188"/>
      <c r="BGM32" s="188"/>
      <c r="BGN32" s="188"/>
      <c r="BGO32" s="188"/>
      <c r="BGP32" s="188"/>
      <c r="BGQ32" s="188"/>
      <c r="BGR32" s="188"/>
      <c r="BGS32" s="188"/>
      <c r="BGT32" s="188"/>
      <c r="BGU32" s="188"/>
      <c r="BGV32" s="188"/>
      <c r="BGW32" s="188"/>
      <c r="BGX32" s="188"/>
      <c r="BGY32" s="188"/>
      <c r="BGZ32" s="188"/>
      <c r="BHA32" s="188"/>
      <c r="BHB32" s="188"/>
      <c r="BHC32" s="188"/>
      <c r="BHD32" s="188"/>
      <c r="BHE32" s="188"/>
      <c r="BHF32" s="188"/>
      <c r="BHG32" s="188"/>
      <c r="BHH32" s="188"/>
      <c r="BHI32" s="188"/>
      <c r="BHJ32" s="188"/>
      <c r="BHK32" s="188"/>
      <c r="BHL32" s="188"/>
      <c r="BHM32" s="188"/>
      <c r="BHN32" s="188"/>
      <c r="BHO32" s="188"/>
      <c r="BHP32" s="188"/>
      <c r="BHQ32" s="188"/>
      <c r="BHR32" s="188"/>
      <c r="BHS32" s="188"/>
      <c r="BHT32" s="188"/>
      <c r="BHU32" s="188"/>
      <c r="BHV32" s="188"/>
      <c r="BHW32" s="188"/>
      <c r="BHX32" s="188"/>
      <c r="BHY32" s="188"/>
      <c r="BHZ32" s="188"/>
      <c r="BIA32" s="188"/>
      <c r="BIB32" s="188"/>
      <c r="BIC32" s="188"/>
      <c r="BID32" s="188"/>
      <c r="BIE32" s="188"/>
      <c r="BIF32" s="188"/>
      <c r="BIG32" s="188"/>
      <c r="BIH32" s="188"/>
      <c r="BII32" s="188"/>
      <c r="BIJ32" s="188"/>
      <c r="BIK32" s="188"/>
      <c r="BIL32" s="188"/>
      <c r="BIM32" s="188"/>
      <c r="BIN32" s="188"/>
      <c r="BIO32" s="188"/>
      <c r="BIP32" s="188"/>
      <c r="BIQ32" s="188"/>
      <c r="BIR32" s="188"/>
      <c r="BIS32" s="188"/>
      <c r="BIT32" s="188"/>
      <c r="BIU32" s="188"/>
      <c r="BIV32" s="188"/>
      <c r="BIW32" s="188"/>
      <c r="BIX32" s="188"/>
      <c r="BIY32" s="188"/>
      <c r="BIZ32" s="188"/>
      <c r="BJA32" s="188"/>
      <c r="BJB32" s="188"/>
      <c r="BJC32" s="188"/>
      <c r="BJD32" s="188"/>
      <c r="BJE32" s="188"/>
      <c r="BJF32" s="188"/>
      <c r="BJG32" s="188"/>
      <c r="BJH32" s="188"/>
      <c r="BJI32" s="188"/>
      <c r="BJJ32" s="188"/>
      <c r="BJK32" s="188"/>
      <c r="BJL32" s="188"/>
      <c r="BJM32" s="188"/>
      <c r="BJN32" s="188"/>
      <c r="BJO32" s="188"/>
      <c r="BJP32" s="188"/>
      <c r="BJQ32" s="188"/>
      <c r="BJR32" s="188"/>
      <c r="BJS32" s="188"/>
      <c r="BJT32" s="188"/>
      <c r="BJU32" s="188"/>
      <c r="BJV32" s="188"/>
      <c r="BJW32" s="188"/>
      <c r="BJX32" s="188"/>
      <c r="BJY32" s="188"/>
      <c r="BJZ32" s="188"/>
      <c r="BKA32" s="188"/>
      <c r="BKB32" s="188"/>
      <c r="BKC32" s="188"/>
      <c r="BKD32" s="188"/>
      <c r="BKE32" s="188"/>
      <c r="BKF32" s="188"/>
      <c r="BKG32" s="188"/>
      <c r="BKH32" s="188"/>
      <c r="BKI32" s="188"/>
      <c r="BKJ32" s="188"/>
      <c r="BKK32" s="188"/>
      <c r="BKL32" s="188"/>
      <c r="BKM32" s="188"/>
      <c r="BKN32" s="188"/>
      <c r="BKO32" s="188"/>
      <c r="BKP32" s="188"/>
      <c r="BKQ32" s="188"/>
      <c r="BKR32" s="188"/>
      <c r="BKS32" s="188"/>
      <c r="BKT32" s="188"/>
      <c r="BKU32" s="188"/>
      <c r="BKV32" s="188"/>
      <c r="BKW32" s="188"/>
      <c r="BKX32" s="188"/>
      <c r="BKY32" s="188"/>
      <c r="BKZ32" s="188"/>
      <c r="BLA32" s="188"/>
      <c r="BLB32" s="188"/>
      <c r="BLC32" s="188"/>
      <c r="BLD32" s="188"/>
      <c r="BLE32" s="188"/>
      <c r="BLF32" s="188"/>
      <c r="BLG32" s="188"/>
      <c r="BLH32" s="188"/>
      <c r="BLI32" s="188"/>
      <c r="BLJ32" s="188"/>
      <c r="BLK32" s="188"/>
      <c r="BLL32" s="188"/>
      <c r="BLM32" s="188"/>
      <c r="BLN32" s="188"/>
      <c r="BLO32" s="188"/>
      <c r="BLP32" s="188"/>
      <c r="BLQ32" s="188"/>
      <c r="BLR32" s="188"/>
      <c r="BLS32" s="188"/>
      <c r="BLT32" s="188"/>
      <c r="BLU32" s="188"/>
      <c r="BLV32" s="188"/>
      <c r="BLW32" s="188"/>
      <c r="BLX32" s="188"/>
      <c r="BLY32" s="188"/>
      <c r="BLZ32" s="188"/>
      <c r="BMA32" s="188"/>
      <c r="BMB32" s="188"/>
      <c r="BMC32" s="188"/>
      <c r="BMD32" s="188"/>
      <c r="BME32" s="188"/>
      <c r="BMF32" s="188"/>
      <c r="BMG32" s="188"/>
      <c r="BMH32" s="188"/>
      <c r="BMI32" s="188"/>
      <c r="BMJ32" s="188"/>
      <c r="BMK32" s="188"/>
      <c r="BML32" s="188"/>
      <c r="BMM32" s="188"/>
      <c r="BMN32" s="188"/>
      <c r="BMO32" s="188"/>
      <c r="BMP32" s="188"/>
      <c r="BMQ32" s="188"/>
      <c r="BMR32" s="188"/>
      <c r="BMS32" s="188"/>
      <c r="BMT32" s="188"/>
      <c r="BMU32" s="188"/>
      <c r="BMV32" s="188"/>
      <c r="BMW32" s="188"/>
      <c r="BMX32" s="188"/>
      <c r="BMY32" s="188"/>
      <c r="BMZ32" s="188"/>
      <c r="BNA32" s="188"/>
      <c r="BNB32" s="188"/>
      <c r="BNC32" s="188"/>
      <c r="BND32" s="188"/>
      <c r="BNE32" s="188"/>
      <c r="BNF32" s="188"/>
      <c r="BNG32" s="188"/>
      <c r="BNH32" s="188"/>
      <c r="BNI32" s="188"/>
      <c r="BNJ32" s="188"/>
      <c r="BNK32" s="188"/>
      <c r="BNL32" s="188"/>
      <c r="BNM32" s="188"/>
      <c r="BNN32" s="188"/>
      <c r="BNO32" s="188"/>
      <c r="BNP32" s="188"/>
      <c r="BNQ32" s="188"/>
      <c r="BNR32" s="188"/>
      <c r="BNS32" s="188"/>
      <c r="BNT32" s="188"/>
      <c r="BNU32" s="188"/>
      <c r="BNV32" s="188"/>
      <c r="BNW32" s="188"/>
      <c r="BNX32" s="188"/>
      <c r="BNY32" s="188"/>
      <c r="BNZ32" s="188"/>
      <c r="BOA32" s="188"/>
      <c r="BOB32" s="188"/>
      <c r="BOC32" s="188"/>
      <c r="BOD32" s="188"/>
      <c r="BOE32" s="188"/>
      <c r="BOF32" s="188"/>
      <c r="BOG32" s="188"/>
      <c r="BOH32" s="188"/>
      <c r="BOI32" s="188"/>
      <c r="BOJ32" s="188"/>
      <c r="BOK32" s="188"/>
      <c r="BOL32" s="188"/>
      <c r="BOM32" s="188"/>
      <c r="BON32" s="188"/>
      <c r="BOO32" s="188"/>
      <c r="BOP32" s="188"/>
      <c r="BOQ32" s="188"/>
      <c r="BOR32" s="188"/>
      <c r="BOS32" s="188"/>
      <c r="BOT32" s="188"/>
      <c r="BOU32" s="188"/>
      <c r="BOV32" s="188"/>
      <c r="BOW32" s="188"/>
      <c r="BOX32" s="188"/>
      <c r="BOY32" s="188"/>
      <c r="BOZ32" s="188"/>
      <c r="BPA32" s="188"/>
      <c r="BPB32" s="188"/>
      <c r="BPC32" s="188"/>
      <c r="BPD32" s="188"/>
      <c r="BPE32" s="188"/>
      <c r="BPF32" s="188"/>
      <c r="BPG32" s="188"/>
      <c r="BPH32" s="188"/>
      <c r="BPI32" s="188"/>
      <c r="BPJ32" s="188"/>
      <c r="BPK32" s="188"/>
      <c r="BPL32" s="188"/>
      <c r="BPM32" s="188"/>
      <c r="BPN32" s="188"/>
      <c r="BPO32" s="188"/>
      <c r="BPP32" s="188"/>
      <c r="BPQ32" s="188"/>
      <c r="BPR32" s="188"/>
      <c r="BPS32" s="188"/>
      <c r="BPT32" s="188"/>
      <c r="BPU32" s="188"/>
      <c r="BPV32" s="188"/>
      <c r="BPW32" s="188"/>
      <c r="BPX32" s="188"/>
      <c r="BPY32" s="188"/>
      <c r="BPZ32" s="188"/>
      <c r="BQA32" s="188"/>
      <c r="BQB32" s="188"/>
      <c r="BQC32" s="188"/>
      <c r="BQD32" s="188"/>
      <c r="BQE32" s="188"/>
      <c r="BQF32" s="188"/>
      <c r="BQG32" s="188"/>
      <c r="BQH32" s="188"/>
      <c r="BQI32" s="188"/>
      <c r="BQJ32" s="188"/>
      <c r="BQK32" s="188"/>
      <c r="BQL32" s="188"/>
      <c r="BQM32" s="188"/>
      <c r="BQN32" s="188"/>
      <c r="BQO32" s="188"/>
      <c r="BQP32" s="188"/>
      <c r="BQQ32" s="188"/>
      <c r="BQR32" s="188"/>
      <c r="BQS32" s="188"/>
      <c r="BQT32" s="188"/>
      <c r="BQU32" s="188"/>
      <c r="BQV32" s="188"/>
      <c r="BQW32" s="188"/>
      <c r="BQX32" s="188"/>
      <c r="BQY32" s="188"/>
      <c r="BQZ32" s="188"/>
      <c r="BRA32" s="188"/>
      <c r="BRB32" s="188"/>
      <c r="BRC32" s="188"/>
      <c r="BRD32" s="188"/>
      <c r="BRE32" s="188"/>
      <c r="BRF32" s="188"/>
      <c r="BRG32" s="188"/>
      <c r="BRH32" s="188"/>
      <c r="BRI32" s="188"/>
      <c r="BRJ32" s="188"/>
      <c r="BRK32" s="188"/>
      <c r="BRL32" s="188"/>
      <c r="BRM32" s="188"/>
      <c r="BRN32" s="188"/>
      <c r="BRO32" s="188"/>
      <c r="BRP32" s="188"/>
      <c r="BRQ32" s="188"/>
      <c r="BRR32" s="188"/>
      <c r="BRS32" s="188"/>
      <c r="BRT32" s="188"/>
      <c r="BRU32" s="188"/>
      <c r="BRV32" s="188"/>
      <c r="BRW32" s="188"/>
      <c r="BRX32" s="188"/>
      <c r="BRY32" s="188"/>
      <c r="BRZ32" s="188"/>
      <c r="BSA32" s="188"/>
      <c r="BSB32" s="188"/>
      <c r="BSC32" s="188"/>
      <c r="BSD32" s="188"/>
      <c r="BSE32" s="188"/>
      <c r="BSF32" s="188"/>
      <c r="BSG32" s="188"/>
      <c r="BSH32" s="188"/>
      <c r="BSI32" s="188"/>
      <c r="BSJ32" s="188"/>
      <c r="BSK32" s="188"/>
      <c r="BSL32" s="188"/>
      <c r="BSM32" s="188"/>
      <c r="BSN32" s="188"/>
      <c r="BSO32" s="188"/>
      <c r="BSP32" s="188"/>
      <c r="BSQ32" s="188"/>
      <c r="BSR32" s="188"/>
      <c r="BSS32" s="188"/>
      <c r="BST32" s="188"/>
      <c r="BSU32" s="188"/>
      <c r="BSV32" s="188"/>
      <c r="BSW32" s="188"/>
      <c r="BSX32" s="188"/>
      <c r="BSY32" s="188"/>
      <c r="BSZ32" s="188"/>
      <c r="BTA32" s="188"/>
      <c r="BTB32" s="188"/>
      <c r="BTC32" s="188"/>
      <c r="BTD32" s="188"/>
      <c r="BTE32" s="188"/>
      <c r="BTF32" s="188"/>
      <c r="BTG32" s="188"/>
      <c r="BTH32" s="188"/>
      <c r="BTI32" s="188"/>
      <c r="BTJ32" s="188"/>
      <c r="BTK32" s="188"/>
      <c r="BTL32" s="188"/>
      <c r="BTM32" s="188"/>
      <c r="BTN32" s="188"/>
      <c r="BTO32" s="188"/>
      <c r="BTP32" s="188"/>
      <c r="BTQ32" s="188"/>
      <c r="BTR32" s="188"/>
      <c r="BTS32" s="188"/>
      <c r="BTT32" s="188"/>
      <c r="BTU32" s="188"/>
      <c r="BTV32" s="188"/>
      <c r="BTW32" s="188"/>
      <c r="BTX32" s="188"/>
      <c r="BTY32" s="188"/>
      <c r="BTZ32" s="188"/>
      <c r="BUA32" s="188"/>
      <c r="BUB32" s="188"/>
      <c r="BUC32" s="188"/>
      <c r="BUD32" s="188"/>
      <c r="BUE32" s="188"/>
      <c r="BUF32" s="188"/>
      <c r="BUG32" s="188"/>
      <c r="BUH32" s="188"/>
      <c r="BUI32" s="188"/>
      <c r="BUJ32" s="188"/>
      <c r="BUK32" s="188"/>
      <c r="BUL32" s="188"/>
      <c r="BUM32" s="188"/>
      <c r="BUN32" s="188"/>
      <c r="BUO32" s="188"/>
      <c r="BUP32" s="188"/>
      <c r="BUQ32" s="188"/>
      <c r="BUR32" s="188"/>
      <c r="BUS32" s="188"/>
      <c r="BUT32" s="188"/>
      <c r="BUU32" s="188"/>
      <c r="BUV32" s="188"/>
      <c r="BUW32" s="188"/>
      <c r="BUX32" s="188"/>
      <c r="BUY32" s="188"/>
      <c r="BUZ32" s="188"/>
      <c r="BVA32" s="188"/>
      <c r="BVB32" s="188"/>
      <c r="BVC32" s="188"/>
      <c r="BVD32" s="188"/>
      <c r="BVE32" s="188"/>
      <c r="BVF32" s="188"/>
      <c r="BVG32" s="188"/>
      <c r="BVH32" s="188"/>
      <c r="BVI32" s="188"/>
      <c r="BVJ32" s="188"/>
      <c r="BVK32" s="188"/>
      <c r="BVL32" s="188"/>
      <c r="BVM32" s="188"/>
      <c r="BVN32" s="188"/>
      <c r="BVO32" s="188"/>
      <c r="BVP32" s="188"/>
      <c r="BVQ32" s="188"/>
      <c r="BVR32" s="188"/>
      <c r="BVS32" s="188"/>
      <c r="BVT32" s="188"/>
      <c r="BVU32" s="188"/>
      <c r="BVV32" s="188"/>
      <c r="BVW32" s="188"/>
      <c r="BVX32" s="188"/>
      <c r="BVY32" s="188"/>
      <c r="BVZ32" s="188"/>
      <c r="BWA32" s="188"/>
      <c r="BWB32" s="188"/>
      <c r="BWC32" s="188"/>
      <c r="BWD32" s="188"/>
      <c r="BWE32" s="188"/>
      <c r="BWF32" s="188"/>
      <c r="BWG32" s="188"/>
      <c r="BWH32" s="188"/>
      <c r="BWI32" s="188"/>
      <c r="BWJ32" s="188"/>
      <c r="BWK32" s="188"/>
      <c r="BWL32" s="188"/>
      <c r="BWM32" s="188"/>
      <c r="BWN32" s="188"/>
      <c r="BWO32" s="188"/>
      <c r="BWP32" s="188"/>
      <c r="BWQ32" s="188"/>
      <c r="BWR32" s="188"/>
      <c r="BWS32" s="188"/>
      <c r="BWT32" s="188"/>
      <c r="BWU32" s="188"/>
      <c r="BWV32" s="188"/>
      <c r="BWW32" s="188"/>
      <c r="BWX32" s="188"/>
      <c r="BWY32" s="188"/>
      <c r="BWZ32" s="188"/>
      <c r="BXA32" s="188"/>
      <c r="BXB32" s="188"/>
      <c r="BXC32" s="188"/>
      <c r="BXD32" s="188"/>
      <c r="BXE32" s="188"/>
      <c r="BXF32" s="188"/>
      <c r="BXG32" s="188"/>
      <c r="BXH32" s="188"/>
      <c r="BXI32" s="188"/>
      <c r="BXJ32" s="188"/>
      <c r="BXK32" s="188"/>
      <c r="BXL32" s="188"/>
      <c r="BXM32" s="188"/>
      <c r="BXN32" s="188"/>
      <c r="BXO32" s="188"/>
      <c r="BXP32" s="188"/>
      <c r="BXQ32" s="188"/>
      <c r="BXR32" s="188"/>
      <c r="BXS32" s="188"/>
      <c r="BXT32" s="188"/>
      <c r="BXU32" s="188"/>
      <c r="BXV32" s="188"/>
      <c r="BXW32" s="188"/>
      <c r="BXX32" s="188"/>
      <c r="BXY32" s="188"/>
      <c r="BXZ32" s="188"/>
      <c r="BYA32" s="188"/>
      <c r="BYB32" s="188"/>
      <c r="BYC32" s="188"/>
      <c r="BYD32" s="188"/>
      <c r="BYE32" s="188"/>
      <c r="BYF32" s="188"/>
      <c r="BYG32" s="188"/>
      <c r="BYH32" s="188"/>
      <c r="BYI32" s="188"/>
      <c r="BYJ32" s="188"/>
      <c r="BYK32" s="188"/>
      <c r="BYL32" s="188"/>
      <c r="BYM32" s="188"/>
      <c r="BYN32" s="188"/>
      <c r="BYO32" s="188"/>
      <c r="BYP32" s="188"/>
      <c r="BYQ32" s="188"/>
      <c r="BYR32" s="188"/>
      <c r="BYS32" s="188"/>
      <c r="BYT32" s="188"/>
      <c r="BYU32" s="188"/>
      <c r="BYV32" s="188"/>
      <c r="BYW32" s="188"/>
      <c r="BYX32" s="188"/>
      <c r="BYY32" s="188"/>
      <c r="BYZ32" s="188"/>
      <c r="BZA32" s="188"/>
      <c r="BZB32" s="188"/>
      <c r="BZC32" s="188"/>
      <c r="BZD32" s="188"/>
      <c r="BZE32" s="188"/>
      <c r="BZF32" s="188"/>
      <c r="BZG32" s="188"/>
      <c r="BZH32" s="188"/>
      <c r="BZI32" s="188"/>
      <c r="BZJ32" s="188"/>
      <c r="BZK32" s="188"/>
      <c r="BZL32" s="188"/>
      <c r="BZM32" s="188"/>
      <c r="BZN32" s="188"/>
      <c r="BZO32" s="188"/>
      <c r="BZP32" s="188"/>
      <c r="BZQ32" s="188"/>
      <c r="BZR32" s="188"/>
      <c r="BZS32" s="188"/>
      <c r="BZT32" s="188"/>
      <c r="BZU32" s="188"/>
      <c r="BZV32" s="188"/>
      <c r="BZW32" s="188"/>
      <c r="BZX32" s="188"/>
      <c r="BZY32" s="188"/>
      <c r="BZZ32" s="188"/>
      <c r="CAA32" s="188"/>
      <c r="CAB32" s="188"/>
      <c r="CAC32" s="188"/>
      <c r="CAD32" s="188"/>
      <c r="CAE32" s="188"/>
      <c r="CAF32" s="188"/>
      <c r="CAG32" s="188"/>
      <c r="CAH32" s="188"/>
      <c r="CAI32" s="188"/>
      <c r="CAJ32" s="188"/>
      <c r="CAK32" s="188"/>
      <c r="CAL32" s="188"/>
      <c r="CAM32" s="188"/>
      <c r="CAN32" s="188"/>
      <c r="CAO32" s="188"/>
      <c r="CAP32" s="188"/>
      <c r="CAQ32" s="188"/>
      <c r="CAR32" s="188"/>
      <c r="CAS32" s="188"/>
      <c r="CAT32" s="188"/>
      <c r="CAU32" s="188"/>
      <c r="CAV32" s="188"/>
      <c r="CAW32" s="188"/>
      <c r="CAX32" s="188"/>
      <c r="CAY32" s="188"/>
      <c r="CAZ32" s="188"/>
      <c r="CBA32" s="188"/>
      <c r="CBB32" s="188"/>
      <c r="CBC32" s="188"/>
      <c r="CBD32" s="188"/>
      <c r="CBE32" s="188"/>
      <c r="CBF32" s="188"/>
      <c r="CBG32" s="188"/>
      <c r="CBH32" s="188"/>
      <c r="CBI32" s="188"/>
      <c r="CBJ32" s="188"/>
      <c r="CBK32" s="188"/>
      <c r="CBL32" s="188"/>
      <c r="CBM32" s="188"/>
      <c r="CBN32" s="188"/>
      <c r="CBO32" s="188"/>
      <c r="CBP32" s="188"/>
      <c r="CBQ32" s="188"/>
      <c r="CBR32" s="188"/>
      <c r="CBS32" s="188"/>
      <c r="CBT32" s="188"/>
      <c r="CBU32" s="188"/>
      <c r="CBV32" s="188"/>
      <c r="CBW32" s="188"/>
      <c r="CBX32" s="188"/>
      <c r="CBY32" s="188"/>
      <c r="CBZ32" s="188"/>
      <c r="CCA32" s="188"/>
      <c r="CCB32" s="188"/>
      <c r="CCC32" s="188"/>
      <c r="CCD32" s="188"/>
      <c r="CCE32" s="188"/>
      <c r="CCF32" s="188"/>
      <c r="CCG32" s="188"/>
      <c r="CCH32" s="188"/>
      <c r="CCI32" s="188"/>
      <c r="CCJ32" s="188"/>
      <c r="CCK32" s="188"/>
      <c r="CCL32" s="188"/>
      <c r="CCM32" s="188"/>
      <c r="CCN32" s="188"/>
      <c r="CCO32" s="188"/>
      <c r="CCP32" s="188"/>
      <c r="CCQ32" s="188"/>
      <c r="CCR32" s="188"/>
      <c r="CCS32" s="188"/>
      <c r="CCT32" s="188"/>
      <c r="CCU32" s="188"/>
      <c r="CCV32" s="188"/>
      <c r="CCW32" s="188"/>
      <c r="CCX32" s="188"/>
      <c r="CCY32" s="188"/>
      <c r="CCZ32" s="188"/>
      <c r="CDA32" s="188"/>
      <c r="CDB32" s="188"/>
      <c r="CDC32" s="188"/>
      <c r="CDD32" s="188"/>
      <c r="CDE32" s="188"/>
      <c r="CDF32" s="188"/>
      <c r="CDG32" s="188"/>
      <c r="CDH32" s="188"/>
      <c r="CDI32" s="188"/>
      <c r="CDJ32" s="188"/>
      <c r="CDK32" s="188"/>
      <c r="CDL32" s="188"/>
      <c r="CDM32" s="188"/>
      <c r="CDN32" s="188"/>
      <c r="CDO32" s="188"/>
      <c r="CDP32" s="188"/>
      <c r="CDQ32" s="188"/>
      <c r="CDR32" s="188"/>
      <c r="CDS32" s="188"/>
      <c r="CDT32" s="188"/>
      <c r="CDU32" s="188"/>
      <c r="CDV32" s="188"/>
      <c r="CDW32" s="188"/>
      <c r="CDX32" s="188"/>
      <c r="CDY32" s="188"/>
      <c r="CDZ32" s="188"/>
      <c r="CEA32" s="188"/>
      <c r="CEB32" s="188"/>
      <c r="CEC32" s="188"/>
      <c r="CED32" s="188"/>
      <c r="CEE32" s="188"/>
      <c r="CEF32" s="188"/>
      <c r="CEG32" s="188"/>
      <c r="CEH32" s="188"/>
      <c r="CEI32" s="188"/>
      <c r="CEJ32" s="188"/>
      <c r="CEK32" s="188"/>
      <c r="CEL32" s="188"/>
      <c r="CEM32" s="188"/>
      <c r="CEN32" s="188"/>
      <c r="CEO32" s="188"/>
      <c r="CEP32" s="188"/>
      <c r="CEQ32" s="188"/>
      <c r="CER32" s="188"/>
      <c r="CES32" s="188"/>
      <c r="CET32" s="188"/>
      <c r="CEU32" s="188"/>
      <c r="CEV32" s="188"/>
      <c r="CEW32" s="188"/>
      <c r="CEX32" s="188"/>
      <c r="CEY32" s="188"/>
      <c r="CEZ32" s="188"/>
      <c r="CFA32" s="188"/>
      <c r="CFB32" s="188"/>
      <c r="CFC32" s="188"/>
      <c r="CFD32" s="188"/>
      <c r="CFE32" s="188"/>
      <c r="CFF32" s="188"/>
      <c r="CFG32" s="188"/>
      <c r="CFH32" s="188"/>
      <c r="CFI32" s="188"/>
      <c r="CFJ32" s="188"/>
      <c r="CFK32" s="188"/>
      <c r="CFL32" s="188"/>
      <c r="CFM32" s="188"/>
      <c r="CFN32" s="188"/>
      <c r="CFO32" s="188"/>
      <c r="CFP32" s="188"/>
      <c r="CFQ32" s="188"/>
      <c r="CFR32" s="188"/>
      <c r="CFS32" s="188"/>
      <c r="CFT32" s="188"/>
      <c r="CFU32" s="188"/>
      <c r="CFV32" s="188"/>
      <c r="CFW32" s="188"/>
      <c r="CFX32" s="188"/>
      <c r="CFY32" s="188"/>
      <c r="CFZ32" s="188"/>
      <c r="CGA32" s="188"/>
      <c r="CGB32" s="188"/>
      <c r="CGC32" s="188"/>
      <c r="CGD32" s="188"/>
      <c r="CGE32" s="188"/>
      <c r="CGF32" s="188"/>
      <c r="CGG32" s="188"/>
      <c r="CGH32" s="188"/>
      <c r="CGI32" s="188"/>
      <c r="CGJ32" s="188"/>
      <c r="CGK32" s="188"/>
      <c r="CGL32" s="188"/>
      <c r="CGM32" s="188"/>
      <c r="CGN32" s="188"/>
      <c r="CGO32" s="188"/>
      <c r="CGP32" s="188"/>
      <c r="CGQ32" s="188"/>
      <c r="CGR32" s="188"/>
      <c r="CGS32" s="188"/>
      <c r="CGT32" s="188"/>
      <c r="CGU32" s="188"/>
      <c r="CGV32" s="188"/>
      <c r="CGW32" s="188"/>
      <c r="CGX32" s="188"/>
      <c r="CGY32" s="188"/>
      <c r="CGZ32" s="188"/>
      <c r="CHA32" s="188"/>
      <c r="CHB32" s="188"/>
      <c r="CHC32" s="188"/>
      <c r="CHD32" s="188"/>
      <c r="CHE32" s="188"/>
      <c r="CHF32" s="188"/>
      <c r="CHG32" s="188"/>
      <c r="CHH32" s="188"/>
      <c r="CHI32" s="188"/>
      <c r="CHJ32" s="188"/>
      <c r="CHK32" s="188"/>
      <c r="CHL32" s="188"/>
      <c r="CHM32" s="188"/>
      <c r="CHN32" s="188"/>
      <c r="CHO32" s="188"/>
      <c r="CHP32" s="188"/>
      <c r="CHQ32" s="188"/>
      <c r="CHR32" s="188"/>
      <c r="CHS32" s="188"/>
      <c r="CHT32" s="188"/>
      <c r="CHU32" s="188"/>
      <c r="CHV32" s="188"/>
      <c r="CHW32" s="188"/>
      <c r="CHX32" s="188"/>
      <c r="CHY32" s="188"/>
      <c r="CHZ32" s="188"/>
      <c r="CIA32" s="188"/>
      <c r="CIB32" s="188"/>
      <c r="CIC32" s="188"/>
      <c r="CID32" s="188"/>
      <c r="CIE32" s="188"/>
      <c r="CIF32" s="188"/>
      <c r="CIG32" s="188"/>
      <c r="CIH32" s="188"/>
      <c r="CII32" s="188"/>
      <c r="CIJ32" s="188"/>
      <c r="CIK32" s="188"/>
      <c r="CIL32" s="188"/>
      <c r="CIM32" s="188"/>
      <c r="CIN32" s="188"/>
      <c r="CIO32" s="188"/>
      <c r="CIP32" s="188"/>
      <c r="CIQ32" s="188"/>
      <c r="CIR32" s="188"/>
      <c r="CIS32" s="188"/>
      <c r="CIT32" s="188"/>
      <c r="CIU32" s="188"/>
      <c r="CIV32" s="188"/>
      <c r="CIW32" s="188"/>
      <c r="CIX32" s="188"/>
      <c r="CIY32" s="188"/>
      <c r="CIZ32" s="188"/>
      <c r="CJA32" s="188"/>
      <c r="CJB32" s="188"/>
      <c r="CJC32" s="188"/>
      <c r="CJD32" s="188"/>
      <c r="CJE32" s="188"/>
      <c r="CJF32" s="188"/>
      <c r="CJG32" s="188"/>
      <c r="CJH32" s="188"/>
      <c r="CJI32" s="188"/>
      <c r="CJJ32" s="188"/>
      <c r="CJK32" s="188"/>
      <c r="CJL32" s="188"/>
      <c r="CJM32" s="188"/>
      <c r="CJN32" s="188"/>
      <c r="CJO32" s="188"/>
      <c r="CJP32" s="188"/>
      <c r="CJQ32" s="188"/>
      <c r="CJR32" s="188"/>
      <c r="CJS32" s="188"/>
      <c r="CJT32" s="188"/>
      <c r="CJU32" s="188"/>
      <c r="CJV32" s="188"/>
      <c r="CJW32" s="188"/>
      <c r="CJX32" s="188"/>
      <c r="CJY32" s="188"/>
      <c r="CJZ32" s="188"/>
      <c r="CKA32" s="188"/>
      <c r="CKB32" s="188"/>
      <c r="CKC32" s="188"/>
      <c r="CKD32" s="188"/>
      <c r="CKE32" s="188"/>
      <c r="CKF32" s="188"/>
      <c r="CKG32" s="188"/>
      <c r="CKH32" s="188"/>
      <c r="CKI32" s="188"/>
      <c r="CKJ32" s="188"/>
      <c r="CKK32" s="188"/>
      <c r="CKL32" s="188"/>
      <c r="CKM32" s="188"/>
      <c r="CKN32" s="188"/>
      <c r="CKO32" s="188"/>
      <c r="CKP32" s="188"/>
      <c r="CKQ32" s="188"/>
      <c r="CKR32" s="188"/>
      <c r="CKS32" s="188"/>
      <c r="CKT32" s="188"/>
      <c r="CKU32" s="188"/>
      <c r="CKV32" s="188"/>
      <c r="CKW32" s="188"/>
      <c r="CKX32" s="188"/>
      <c r="CKY32" s="188"/>
      <c r="CKZ32" s="188"/>
      <c r="CLA32" s="188"/>
      <c r="CLB32" s="188"/>
      <c r="CLC32" s="188"/>
      <c r="CLD32" s="188"/>
      <c r="CLE32" s="188"/>
      <c r="CLF32" s="188"/>
      <c r="CLG32" s="188"/>
      <c r="CLH32" s="188"/>
      <c r="CLI32" s="188"/>
      <c r="CLJ32" s="188"/>
      <c r="CLK32" s="188"/>
      <c r="CLL32" s="188"/>
      <c r="CLM32" s="188"/>
      <c r="CLN32" s="188"/>
      <c r="CLO32" s="188"/>
      <c r="CLP32" s="188"/>
      <c r="CLQ32" s="188"/>
      <c r="CLR32" s="188"/>
      <c r="CLS32" s="188"/>
      <c r="CLT32" s="188"/>
      <c r="CLU32" s="188"/>
      <c r="CLV32" s="188"/>
      <c r="CLW32" s="188"/>
      <c r="CLX32" s="188"/>
      <c r="CLY32" s="188"/>
      <c r="CLZ32" s="188"/>
      <c r="CMA32" s="188"/>
      <c r="CMB32" s="188"/>
      <c r="CMC32" s="188"/>
      <c r="CMD32" s="188"/>
      <c r="CME32" s="188"/>
      <c r="CMF32" s="188"/>
      <c r="CMG32" s="188"/>
      <c r="CMH32" s="188"/>
      <c r="CMI32" s="188"/>
      <c r="CMJ32" s="188"/>
      <c r="CMK32" s="188"/>
      <c r="CML32" s="188"/>
      <c r="CMM32" s="188"/>
      <c r="CMN32" s="188"/>
      <c r="CMO32" s="188"/>
      <c r="CMP32" s="188"/>
      <c r="CMQ32" s="188"/>
      <c r="CMR32" s="188"/>
      <c r="CMS32" s="188"/>
      <c r="CMT32" s="188"/>
      <c r="CMU32" s="188"/>
      <c r="CMV32" s="188"/>
      <c r="CMW32" s="188"/>
      <c r="CMX32" s="188"/>
      <c r="CMY32" s="188"/>
      <c r="CMZ32" s="188"/>
      <c r="CNA32" s="188"/>
      <c r="CNB32" s="188"/>
      <c r="CNC32" s="188"/>
      <c r="CND32" s="188"/>
      <c r="CNE32" s="188"/>
      <c r="CNF32" s="188"/>
      <c r="CNG32" s="188"/>
      <c r="CNH32" s="188"/>
      <c r="CNI32" s="188"/>
      <c r="CNJ32" s="188"/>
      <c r="CNK32" s="188"/>
      <c r="CNL32" s="188"/>
      <c r="CNM32" s="188"/>
      <c r="CNN32" s="188"/>
      <c r="CNO32" s="188"/>
      <c r="CNP32" s="188"/>
      <c r="CNQ32" s="188"/>
      <c r="CNR32" s="188"/>
      <c r="CNS32" s="188"/>
      <c r="CNT32" s="188"/>
      <c r="CNU32" s="188"/>
      <c r="CNV32" s="188"/>
      <c r="CNW32" s="188"/>
      <c r="CNX32" s="188"/>
      <c r="CNY32" s="188"/>
      <c r="CNZ32" s="188"/>
      <c r="COA32" s="188"/>
      <c r="COB32" s="188"/>
      <c r="COC32" s="188"/>
      <c r="COD32" s="188"/>
      <c r="COE32" s="188"/>
      <c r="COF32" s="188"/>
      <c r="COG32" s="188"/>
      <c r="COH32" s="188"/>
      <c r="COI32" s="188"/>
      <c r="COJ32" s="188"/>
      <c r="COK32" s="188"/>
      <c r="COL32" s="188"/>
      <c r="COM32" s="188"/>
      <c r="CON32" s="188"/>
      <c r="COO32" s="188"/>
      <c r="COP32" s="188"/>
      <c r="COQ32" s="188"/>
      <c r="COR32" s="188"/>
      <c r="COS32" s="188"/>
      <c r="COT32" s="188"/>
      <c r="COU32" s="188"/>
      <c r="COV32" s="188"/>
      <c r="COW32" s="188"/>
      <c r="COX32" s="188"/>
      <c r="COY32" s="188"/>
      <c r="COZ32" s="188"/>
      <c r="CPA32" s="188"/>
      <c r="CPB32" s="188"/>
      <c r="CPC32" s="188"/>
      <c r="CPD32" s="188"/>
      <c r="CPE32" s="188"/>
      <c r="CPF32" s="188"/>
      <c r="CPG32" s="188"/>
      <c r="CPH32" s="188"/>
      <c r="CPI32" s="188"/>
      <c r="CPJ32" s="188"/>
      <c r="CPK32" s="188"/>
      <c r="CPL32" s="188"/>
      <c r="CPM32" s="188"/>
      <c r="CPN32" s="188"/>
      <c r="CPO32" s="188"/>
      <c r="CPP32" s="188"/>
      <c r="CPQ32" s="188"/>
      <c r="CPR32" s="188"/>
      <c r="CPS32" s="188"/>
      <c r="CPT32" s="188"/>
      <c r="CPU32" s="188"/>
      <c r="CPV32" s="188"/>
      <c r="CPW32" s="188"/>
      <c r="CPX32" s="188"/>
      <c r="CPY32" s="188"/>
      <c r="CPZ32" s="188"/>
      <c r="CQA32" s="188"/>
      <c r="CQB32" s="188"/>
      <c r="CQC32" s="188"/>
      <c r="CQD32" s="188"/>
      <c r="CQE32" s="188"/>
      <c r="CQF32" s="188"/>
      <c r="CQG32" s="188"/>
      <c r="CQH32" s="188"/>
      <c r="CQI32" s="188"/>
      <c r="CQJ32" s="188"/>
      <c r="CQK32" s="188"/>
      <c r="CQL32" s="188"/>
      <c r="CQM32" s="188"/>
      <c r="CQN32" s="188"/>
      <c r="CQO32" s="188"/>
      <c r="CQP32" s="188"/>
      <c r="CQQ32" s="188"/>
      <c r="CQR32" s="188"/>
      <c r="CQS32" s="188"/>
      <c r="CQT32" s="188"/>
      <c r="CQU32" s="188"/>
      <c r="CQV32" s="188"/>
      <c r="CQW32" s="188"/>
      <c r="CQX32" s="188"/>
      <c r="CQY32" s="188"/>
      <c r="CQZ32" s="188"/>
      <c r="CRA32" s="188"/>
      <c r="CRB32" s="188"/>
      <c r="CRC32" s="188"/>
      <c r="CRD32" s="188"/>
      <c r="CRE32" s="188"/>
      <c r="CRF32" s="188"/>
      <c r="CRG32" s="188"/>
      <c r="CRH32" s="188"/>
      <c r="CRI32" s="188"/>
      <c r="CRJ32" s="188"/>
      <c r="CRK32" s="188"/>
      <c r="CRL32" s="188"/>
      <c r="CRM32" s="188"/>
      <c r="CRN32" s="188"/>
      <c r="CRO32" s="188"/>
      <c r="CRP32" s="188"/>
      <c r="CRQ32" s="188"/>
      <c r="CRR32" s="188"/>
      <c r="CRS32" s="188"/>
      <c r="CRT32" s="188"/>
      <c r="CRU32" s="188"/>
      <c r="CRV32" s="188"/>
      <c r="CRW32" s="188"/>
      <c r="CRX32" s="188"/>
      <c r="CRY32" s="188"/>
      <c r="CRZ32" s="188"/>
      <c r="CSA32" s="188"/>
      <c r="CSB32" s="188"/>
      <c r="CSC32" s="188"/>
      <c r="CSD32" s="188"/>
      <c r="CSE32" s="188"/>
      <c r="CSF32" s="188"/>
      <c r="CSG32" s="188"/>
      <c r="CSH32" s="188"/>
      <c r="CSI32" s="188"/>
      <c r="CSJ32" s="188"/>
      <c r="CSK32" s="188"/>
      <c r="CSL32" s="188"/>
      <c r="CSM32" s="188"/>
      <c r="CSN32" s="188"/>
      <c r="CSO32" s="188"/>
      <c r="CSP32" s="188"/>
      <c r="CSQ32" s="188"/>
      <c r="CSR32" s="188"/>
      <c r="CSS32" s="188"/>
      <c r="CST32" s="188"/>
      <c r="CSU32" s="188"/>
      <c r="CSV32" s="188"/>
      <c r="CSW32" s="188"/>
      <c r="CSX32" s="188"/>
      <c r="CSY32" s="188"/>
      <c r="CSZ32" s="188"/>
      <c r="CTA32" s="188"/>
      <c r="CTB32" s="188"/>
      <c r="CTC32" s="188"/>
      <c r="CTD32" s="188"/>
      <c r="CTE32" s="188"/>
      <c r="CTF32" s="188"/>
      <c r="CTG32" s="188"/>
      <c r="CTH32" s="188"/>
      <c r="CTI32" s="188"/>
      <c r="CTJ32" s="188"/>
      <c r="CTK32" s="188"/>
      <c r="CTL32" s="188"/>
      <c r="CTM32" s="188"/>
      <c r="CTN32" s="188"/>
      <c r="CTO32" s="188"/>
      <c r="CTP32" s="188"/>
      <c r="CTQ32" s="188"/>
      <c r="CTR32" s="188"/>
      <c r="CTS32" s="188"/>
      <c r="CTT32" s="188"/>
      <c r="CTU32" s="188"/>
      <c r="CTV32" s="188"/>
      <c r="CTW32" s="188"/>
      <c r="CTX32" s="188"/>
      <c r="CTY32" s="188"/>
      <c r="CTZ32" s="188"/>
      <c r="CUA32" s="188"/>
    </row>
    <row r="33" s="189" customFormat="1" ht="13" customHeight="1" spans="1:1024 1025:2575">
      <c r="A33" s="216" t="s">
        <v>40</v>
      </c>
      <c r="B33" s="84" t="s">
        <v>43</v>
      </c>
      <c r="C33" s="217">
        <f t="shared" si="26"/>
        <v>45461</v>
      </c>
      <c r="D33" s="218">
        <f t="shared" si="22"/>
        <v>45467</v>
      </c>
      <c r="E33" s="219">
        <v>1148</v>
      </c>
      <c r="F33" s="220">
        <f t="shared" ref="F33:F48" si="27">D33+14</f>
        <v>45481</v>
      </c>
      <c r="G33" s="219" t="s">
        <v>52</v>
      </c>
      <c r="H33" s="54">
        <f>940/E33</f>
        <v>0.818815331010453</v>
      </c>
      <c r="I33" s="218">
        <f t="shared" si="24"/>
        <v>45498</v>
      </c>
      <c r="J33" s="219">
        <v>901</v>
      </c>
      <c r="K33" s="54">
        <f t="shared" si="0"/>
        <v>0.784843205574913</v>
      </c>
      <c r="L33" s="218">
        <f t="shared" si="25"/>
        <v>45501</v>
      </c>
      <c r="M33" s="219">
        <v>886</v>
      </c>
      <c r="N33" s="219">
        <v>5816</v>
      </c>
      <c r="O33" s="54">
        <f t="shared" si="1"/>
        <v>0.771777003484321</v>
      </c>
      <c r="P33" s="54">
        <f t="shared" si="7"/>
        <v>0.0470383275261325</v>
      </c>
      <c r="Q33" s="221">
        <f t="shared" si="2"/>
        <v>6.56433408577878</v>
      </c>
      <c r="R33" s="218">
        <f t="shared" si="18"/>
        <v>45533</v>
      </c>
      <c r="S33" s="203">
        <v>5466</v>
      </c>
      <c r="T33" s="84">
        <v>777</v>
      </c>
      <c r="U33" s="54">
        <f t="shared" si="3"/>
        <v>0.939821182943604</v>
      </c>
      <c r="V33" s="218">
        <f t="shared" si="19"/>
        <v>45568</v>
      </c>
      <c r="W33" s="203">
        <v>5121</v>
      </c>
      <c r="X33" s="54">
        <f t="shared" si="4"/>
        <v>0.936882546652031</v>
      </c>
      <c r="Y33" s="84">
        <v>11172.7</v>
      </c>
      <c r="Z33" s="203">
        <v>15.1</v>
      </c>
      <c r="AA33" s="8">
        <f>Y33/W33</f>
        <v>2.18174184729545</v>
      </c>
      <c r="AB33" s="8">
        <f t="shared" si="5"/>
        <v>4.46080139372822</v>
      </c>
      <c r="AC33" s="8">
        <v>3.17</v>
      </c>
      <c r="AD33" s="8">
        <v>3.09</v>
      </c>
      <c r="AE33" s="8">
        <v>56.6</v>
      </c>
      <c r="AF33" s="208" t="s">
        <v>53</v>
      </c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88"/>
      <c r="BK33" s="188"/>
      <c r="BL33" s="188"/>
      <c r="BM33" s="188"/>
      <c r="BN33" s="188"/>
      <c r="BO33" s="188"/>
      <c r="BP33" s="188"/>
      <c r="BQ33" s="188"/>
      <c r="BR33" s="188"/>
      <c r="BS33" s="188"/>
      <c r="BT33" s="188"/>
      <c r="BU33" s="188"/>
      <c r="BV33" s="188"/>
      <c r="BW33" s="188"/>
      <c r="BX33" s="188"/>
      <c r="BY33" s="188"/>
      <c r="BZ33" s="188"/>
      <c r="CA33" s="188"/>
      <c r="CB33" s="188"/>
      <c r="CC33" s="188"/>
      <c r="CD33" s="188"/>
      <c r="CE33" s="188"/>
      <c r="CF33" s="188"/>
      <c r="CG33" s="188"/>
      <c r="CH33" s="188"/>
      <c r="CI33" s="188"/>
      <c r="CJ33" s="188"/>
      <c r="CK33" s="188"/>
      <c r="CL33" s="188"/>
      <c r="CM33" s="188"/>
      <c r="CN33" s="188"/>
      <c r="CO33" s="188"/>
      <c r="CP33" s="188"/>
      <c r="CQ33" s="188"/>
      <c r="CR33" s="188"/>
      <c r="CS33" s="188"/>
      <c r="CT33" s="188"/>
      <c r="CU33" s="188"/>
      <c r="CV33" s="188"/>
      <c r="CW33" s="188"/>
      <c r="CX33" s="188"/>
      <c r="CY33" s="188"/>
      <c r="CZ33" s="188"/>
      <c r="DA33" s="188"/>
      <c r="DB33" s="188"/>
      <c r="DC33" s="188"/>
      <c r="DD33" s="188"/>
      <c r="DE33" s="188"/>
      <c r="DF33" s="188"/>
      <c r="DG33" s="188"/>
      <c r="DH33" s="188"/>
      <c r="DI33" s="188"/>
      <c r="DJ33" s="188"/>
      <c r="DK33" s="188"/>
      <c r="DL33" s="188"/>
      <c r="DM33" s="188"/>
      <c r="DN33" s="188"/>
      <c r="DO33" s="188"/>
      <c r="DP33" s="188"/>
      <c r="DQ33" s="188"/>
      <c r="DR33" s="188"/>
      <c r="DS33" s="188"/>
      <c r="DT33" s="188"/>
      <c r="DU33" s="188"/>
      <c r="DV33" s="188"/>
      <c r="DW33" s="188"/>
      <c r="DX33" s="188"/>
      <c r="DY33" s="188"/>
      <c r="DZ33" s="188"/>
      <c r="EA33" s="188"/>
      <c r="EB33" s="188"/>
      <c r="EC33" s="188"/>
      <c r="ED33" s="188"/>
      <c r="EE33" s="188"/>
      <c r="EF33" s="188"/>
      <c r="EG33" s="188"/>
      <c r="EH33" s="188"/>
      <c r="EI33" s="188"/>
      <c r="EJ33" s="188"/>
      <c r="EK33" s="188"/>
      <c r="EL33" s="188"/>
      <c r="EM33" s="188"/>
      <c r="EN33" s="188"/>
      <c r="EO33" s="188"/>
      <c r="EP33" s="188"/>
      <c r="EQ33" s="188"/>
      <c r="ER33" s="188"/>
      <c r="ES33" s="188"/>
      <c r="ET33" s="188"/>
      <c r="EU33" s="188"/>
      <c r="EV33" s="188"/>
      <c r="EW33" s="188"/>
      <c r="EX33" s="188"/>
      <c r="EY33" s="188"/>
      <c r="EZ33" s="188"/>
      <c r="FA33" s="188"/>
      <c r="FB33" s="188"/>
      <c r="FC33" s="188"/>
      <c r="FD33" s="188"/>
      <c r="FE33" s="188"/>
      <c r="FF33" s="188"/>
      <c r="FG33" s="188"/>
      <c r="FH33" s="188"/>
      <c r="FI33" s="188"/>
      <c r="FJ33" s="188"/>
      <c r="FK33" s="188"/>
      <c r="FL33" s="188"/>
      <c r="FM33" s="188"/>
      <c r="FN33" s="188"/>
      <c r="FO33" s="188"/>
      <c r="FP33" s="188"/>
      <c r="FQ33" s="188"/>
      <c r="FR33" s="188"/>
      <c r="FS33" s="188"/>
      <c r="FT33" s="188"/>
      <c r="FU33" s="188"/>
      <c r="FV33" s="188"/>
      <c r="FW33" s="188"/>
      <c r="FX33" s="188"/>
      <c r="FY33" s="188"/>
      <c r="FZ33" s="188"/>
      <c r="GA33" s="188"/>
      <c r="GB33" s="188"/>
      <c r="GC33" s="188"/>
      <c r="GD33" s="188"/>
      <c r="GE33" s="188"/>
      <c r="GF33" s="188"/>
      <c r="GG33" s="188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8"/>
      <c r="GS33" s="188"/>
      <c r="GT33" s="188"/>
      <c r="GU33" s="188"/>
      <c r="GV33" s="188"/>
      <c r="GW33" s="188"/>
      <c r="GX33" s="188"/>
      <c r="GY33" s="188"/>
      <c r="GZ33" s="188"/>
      <c r="HA33" s="188"/>
      <c r="HB33" s="188"/>
      <c r="HC33" s="188"/>
      <c r="HD33" s="188"/>
      <c r="HE33" s="188"/>
      <c r="HF33" s="188"/>
      <c r="HG33" s="188"/>
      <c r="HH33" s="188"/>
      <c r="HI33" s="188"/>
      <c r="HJ33" s="188"/>
      <c r="HK33" s="188"/>
      <c r="HL33" s="188"/>
      <c r="HM33" s="188"/>
      <c r="HN33" s="188"/>
      <c r="HO33" s="188"/>
      <c r="HP33" s="188"/>
      <c r="HQ33" s="188"/>
      <c r="HR33" s="188"/>
      <c r="HS33" s="188"/>
      <c r="HT33" s="188"/>
      <c r="HU33" s="188"/>
      <c r="HV33" s="188"/>
      <c r="HW33" s="188"/>
      <c r="HX33" s="188"/>
      <c r="HY33" s="188"/>
      <c r="HZ33" s="188"/>
      <c r="IA33" s="188"/>
      <c r="IB33" s="188"/>
      <c r="IC33" s="188"/>
      <c r="ID33" s="188"/>
      <c r="IE33" s="188"/>
      <c r="IF33" s="188"/>
      <c r="IG33" s="188"/>
      <c r="IH33" s="188"/>
      <c r="II33" s="188"/>
      <c r="IJ33" s="188"/>
      <c r="IK33" s="188"/>
      <c r="IL33" s="188"/>
      <c r="IM33" s="188"/>
      <c r="IN33" s="188"/>
      <c r="IO33" s="188"/>
      <c r="IP33" s="188"/>
      <c r="IQ33" s="188"/>
      <c r="IR33" s="188"/>
      <c r="IS33" s="188"/>
      <c r="IT33" s="188"/>
      <c r="IU33" s="188"/>
      <c r="IV33" s="188"/>
      <c r="IW33" s="188"/>
      <c r="IX33" s="188"/>
      <c r="IY33" s="188"/>
      <c r="IZ33" s="188"/>
      <c r="JA33" s="188"/>
      <c r="JB33" s="188"/>
      <c r="JC33" s="188"/>
      <c r="JD33" s="188"/>
      <c r="JE33" s="188"/>
      <c r="JF33" s="188"/>
      <c r="JG33" s="188"/>
      <c r="JH33" s="188"/>
      <c r="JI33" s="188"/>
      <c r="JJ33" s="188"/>
      <c r="JK33" s="188"/>
      <c r="JL33" s="188"/>
      <c r="JM33" s="188"/>
      <c r="JN33" s="188"/>
      <c r="JO33" s="188"/>
      <c r="JP33" s="188"/>
      <c r="JQ33" s="188"/>
      <c r="JR33" s="188"/>
      <c r="JS33" s="188"/>
      <c r="JT33" s="188"/>
      <c r="JU33" s="188"/>
      <c r="JV33" s="188"/>
      <c r="JW33" s="188"/>
      <c r="JX33" s="188"/>
      <c r="JY33" s="188"/>
      <c r="JZ33" s="188"/>
      <c r="KA33" s="188"/>
      <c r="KB33" s="188"/>
      <c r="KC33" s="188"/>
      <c r="KD33" s="188"/>
      <c r="KE33" s="188"/>
      <c r="KF33" s="188"/>
      <c r="KG33" s="188"/>
      <c r="KH33" s="188"/>
      <c r="KI33" s="188"/>
      <c r="KJ33" s="188"/>
      <c r="KK33" s="188"/>
      <c r="KL33" s="188"/>
      <c r="KM33" s="188"/>
      <c r="KN33" s="188"/>
      <c r="KO33" s="188"/>
      <c r="KP33" s="188"/>
      <c r="KQ33" s="188"/>
      <c r="KR33" s="188"/>
      <c r="KS33" s="188"/>
      <c r="KT33" s="188"/>
      <c r="KU33" s="188"/>
      <c r="KV33" s="188"/>
      <c r="KW33" s="188"/>
      <c r="KX33" s="188"/>
      <c r="KY33" s="188"/>
      <c r="KZ33" s="188"/>
      <c r="LA33" s="188"/>
      <c r="LB33" s="188"/>
      <c r="LC33" s="188"/>
      <c r="LD33" s="188"/>
      <c r="LE33" s="188"/>
      <c r="LF33" s="188"/>
      <c r="LG33" s="188"/>
      <c r="LH33" s="188"/>
      <c r="LI33" s="188"/>
      <c r="LJ33" s="188"/>
      <c r="LK33" s="188"/>
      <c r="LL33" s="188"/>
      <c r="LM33" s="188"/>
      <c r="LN33" s="188"/>
      <c r="LO33" s="188"/>
      <c r="LP33" s="188"/>
      <c r="LQ33" s="188"/>
      <c r="LR33" s="188"/>
      <c r="LS33" s="188"/>
      <c r="LT33" s="188"/>
      <c r="LU33" s="188"/>
      <c r="LV33" s="188"/>
      <c r="LW33" s="188"/>
      <c r="LX33" s="188"/>
      <c r="LY33" s="188"/>
      <c r="LZ33" s="188"/>
      <c r="MA33" s="188"/>
      <c r="MB33" s="188"/>
      <c r="MC33" s="188"/>
      <c r="MD33" s="188"/>
      <c r="ME33" s="188"/>
      <c r="MF33" s="188"/>
      <c r="MG33" s="188"/>
      <c r="MH33" s="188"/>
      <c r="MI33" s="188"/>
      <c r="MJ33" s="188"/>
      <c r="MK33" s="188"/>
      <c r="ML33" s="188"/>
      <c r="MM33" s="188"/>
      <c r="MN33" s="188"/>
      <c r="MO33" s="188"/>
      <c r="MP33" s="188"/>
      <c r="MQ33" s="188"/>
      <c r="MR33" s="188"/>
      <c r="MS33" s="188"/>
      <c r="MT33" s="188"/>
      <c r="MU33" s="188"/>
      <c r="MV33" s="188"/>
      <c r="MW33" s="188"/>
      <c r="MX33" s="188"/>
      <c r="MY33" s="188"/>
      <c r="MZ33" s="188"/>
      <c r="NA33" s="188"/>
      <c r="NB33" s="188"/>
      <c r="NC33" s="188"/>
      <c r="ND33" s="188"/>
      <c r="NE33" s="188"/>
      <c r="NF33" s="188"/>
      <c r="NG33" s="188"/>
      <c r="NH33" s="188"/>
      <c r="NI33" s="188"/>
      <c r="NJ33" s="188"/>
      <c r="NK33" s="188"/>
      <c r="NL33" s="188"/>
      <c r="NM33" s="188"/>
      <c r="NN33" s="188"/>
      <c r="NO33" s="188"/>
      <c r="NP33" s="188"/>
      <c r="NQ33" s="188"/>
      <c r="NR33" s="188"/>
      <c r="NS33" s="188"/>
      <c r="NT33" s="188"/>
      <c r="NU33" s="188"/>
      <c r="NV33" s="188"/>
      <c r="NW33" s="188"/>
      <c r="NX33" s="188"/>
      <c r="NY33" s="188"/>
      <c r="NZ33" s="188"/>
      <c r="OA33" s="188"/>
      <c r="OB33" s="188"/>
      <c r="OC33" s="188"/>
      <c r="OD33" s="188"/>
      <c r="OE33" s="188"/>
      <c r="OF33" s="188"/>
      <c r="OG33" s="188"/>
      <c r="OH33" s="188"/>
      <c r="OI33" s="188"/>
      <c r="OJ33" s="188"/>
      <c r="OK33" s="188"/>
      <c r="OL33" s="188"/>
      <c r="OM33" s="188"/>
      <c r="ON33" s="188"/>
      <c r="OO33" s="188"/>
      <c r="OP33" s="188"/>
      <c r="OQ33" s="188"/>
      <c r="OR33" s="188"/>
      <c r="OS33" s="188"/>
      <c r="OT33" s="188"/>
      <c r="OU33" s="188"/>
      <c r="OV33" s="188"/>
      <c r="OW33" s="188"/>
      <c r="OX33" s="188"/>
      <c r="OY33" s="188"/>
      <c r="OZ33" s="188"/>
      <c r="PA33" s="188"/>
      <c r="PB33" s="188"/>
      <c r="PC33" s="188"/>
      <c r="PD33" s="188"/>
      <c r="PE33" s="188"/>
      <c r="PF33" s="188"/>
      <c r="PG33" s="188"/>
      <c r="PH33" s="188"/>
      <c r="PI33" s="188"/>
      <c r="PJ33" s="188"/>
      <c r="PK33" s="188"/>
      <c r="PL33" s="188"/>
      <c r="PM33" s="188"/>
      <c r="PN33" s="188"/>
      <c r="PO33" s="188"/>
      <c r="PP33" s="188"/>
      <c r="PQ33" s="188"/>
      <c r="PR33" s="188"/>
      <c r="PS33" s="188"/>
      <c r="PT33" s="188"/>
      <c r="PU33" s="188"/>
      <c r="PV33" s="188"/>
      <c r="PW33" s="188"/>
      <c r="PX33" s="188"/>
      <c r="PY33" s="188"/>
      <c r="PZ33" s="188"/>
      <c r="QA33" s="188"/>
      <c r="QB33" s="188"/>
      <c r="QC33" s="188"/>
      <c r="QD33" s="188"/>
      <c r="QE33" s="188"/>
      <c r="QF33" s="188"/>
      <c r="QG33" s="188"/>
      <c r="QH33" s="188"/>
      <c r="QI33" s="188"/>
      <c r="QJ33" s="188"/>
      <c r="QK33" s="188"/>
      <c r="QL33" s="188"/>
      <c r="QM33" s="188"/>
      <c r="QN33" s="188"/>
      <c r="QO33" s="188"/>
      <c r="QP33" s="188"/>
      <c r="QQ33" s="188"/>
      <c r="QR33" s="188"/>
      <c r="QS33" s="188"/>
      <c r="QT33" s="188"/>
      <c r="QU33" s="188"/>
      <c r="QV33" s="188"/>
      <c r="QW33" s="188"/>
      <c r="QX33" s="188"/>
      <c r="QY33" s="188"/>
      <c r="QZ33" s="188"/>
      <c r="RA33" s="188"/>
      <c r="RB33" s="188"/>
      <c r="RC33" s="188"/>
      <c r="RD33" s="188"/>
      <c r="RE33" s="188"/>
      <c r="RF33" s="188"/>
      <c r="RG33" s="188"/>
      <c r="RH33" s="188"/>
      <c r="RI33" s="188"/>
      <c r="RJ33" s="188"/>
      <c r="RK33" s="188"/>
      <c r="RL33" s="188"/>
      <c r="RM33" s="188"/>
      <c r="RN33" s="188"/>
      <c r="RO33" s="188"/>
      <c r="RP33" s="188"/>
      <c r="RQ33" s="188"/>
      <c r="RR33" s="188"/>
      <c r="RS33" s="188"/>
      <c r="RT33" s="188"/>
      <c r="RU33" s="188"/>
      <c r="RV33" s="188"/>
      <c r="RW33" s="188"/>
      <c r="RX33" s="188"/>
      <c r="RY33" s="188"/>
      <c r="RZ33" s="188"/>
      <c r="SA33" s="188"/>
      <c r="SB33" s="188"/>
      <c r="SC33" s="188"/>
      <c r="SD33" s="188"/>
      <c r="SE33" s="188"/>
      <c r="SF33" s="188"/>
      <c r="SG33" s="188"/>
      <c r="SH33" s="188"/>
      <c r="SI33" s="188"/>
      <c r="SJ33" s="188"/>
      <c r="SK33" s="188"/>
      <c r="SL33" s="188"/>
      <c r="SM33" s="188"/>
      <c r="SN33" s="188"/>
      <c r="SO33" s="188"/>
      <c r="SP33" s="188"/>
      <c r="SQ33" s="188"/>
      <c r="SR33" s="188"/>
      <c r="SS33" s="188"/>
      <c r="ST33" s="188"/>
      <c r="SU33" s="188"/>
      <c r="SV33" s="188"/>
      <c r="SW33" s="188"/>
      <c r="SX33" s="188"/>
      <c r="SY33" s="188"/>
      <c r="SZ33" s="188"/>
      <c r="TA33" s="188"/>
      <c r="TB33" s="188"/>
      <c r="TC33" s="188"/>
      <c r="TD33" s="188"/>
      <c r="TE33" s="188"/>
      <c r="TF33" s="188"/>
      <c r="TG33" s="188"/>
      <c r="TH33" s="188"/>
      <c r="TI33" s="188"/>
      <c r="TJ33" s="188"/>
      <c r="TK33" s="188"/>
      <c r="TL33" s="188"/>
      <c r="TM33" s="188"/>
      <c r="TN33" s="188"/>
      <c r="TO33" s="188"/>
      <c r="TP33" s="188"/>
      <c r="TQ33" s="188"/>
      <c r="TR33" s="188"/>
      <c r="TS33" s="188"/>
      <c r="TT33" s="188"/>
      <c r="TU33" s="188"/>
      <c r="TV33" s="188"/>
      <c r="TW33" s="188"/>
      <c r="TX33" s="188"/>
      <c r="TY33" s="188"/>
      <c r="TZ33" s="188"/>
      <c r="UA33" s="188"/>
      <c r="UB33" s="188"/>
      <c r="UC33" s="188"/>
      <c r="UD33" s="188"/>
      <c r="UE33" s="188"/>
      <c r="UF33" s="188"/>
      <c r="UG33" s="188"/>
      <c r="UH33" s="188"/>
      <c r="UI33" s="188"/>
      <c r="UJ33" s="188"/>
      <c r="UK33" s="188"/>
      <c r="UL33" s="188"/>
      <c r="UM33" s="188"/>
      <c r="UN33" s="188"/>
      <c r="UO33" s="188"/>
      <c r="UP33" s="188"/>
      <c r="UQ33" s="188"/>
      <c r="UR33" s="188"/>
      <c r="US33" s="188"/>
      <c r="UT33" s="188"/>
      <c r="UU33" s="188"/>
      <c r="UV33" s="188"/>
      <c r="UW33" s="188"/>
      <c r="UX33" s="188"/>
      <c r="UY33" s="188"/>
      <c r="UZ33" s="188"/>
      <c r="VA33" s="188"/>
      <c r="VB33" s="188"/>
      <c r="VC33" s="188"/>
      <c r="VD33" s="188"/>
      <c r="VE33" s="188"/>
      <c r="VF33" s="188"/>
      <c r="VG33" s="188"/>
      <c r="VH33" s="188"/>
      <c r="VI33" s="188"/>
      <c r="VJ33" s="188"/>
      <c r="VK33" s="188"/>
      <c r="VL33" s="188"/>
      <c r="VM33" s="188"/>
      <c r="VN33" s="188"/>
      <c r="VO33" s="188"/>
      <c r="VP33" s="188"/>
      <c r="VQ33" s="188"/>
      <c r="VR33" s="188"/>
      <c r="VS33" s="188"/>
      <c r="VT33" s="188"/>
      <c r="VU33" s="188"/>
      <c r="VV33" s="188"/>
      <c r="VW33" s="188"/>
      <c r="VX33" s="188"/>
      <c r="VY33" s="188"/>
      <c r="VZ33" s="188"/>
      <c r="WA33" s="188"/>
      <c r="WB33" s="188"/>
      <c r="WC33" s="188"/>
      <c r="WD33" s="188"/>
      <c r="WE33" s="188"/>
      <c r="WF33" s="188"/>
      <c r="WG33" s="188"/>
      <c r="WH33" s="188"/>
      <c r="WI33" s="188"/>
      <c r="WJ33" s="188"/>
      <c r="WK33" s="188"/>
      <c r="WL33" s="188"/>
      <c r="WM33" s="188"/>
      <c r="WN33" s="188"/>
      <c r="WO33" s="188"/>
      <c r="WP33" s="188"/>
      <c r="WQ33" s="188"/>
      <c r="WR33" s="188"/>
      <c r="WS33" s="188"/>
      <c r="WT33" s="188"/>
      <c r="WU33" s="188"/>
      <c r="WV33" s="188"/>
      <c r="WW33" s="188"/>
      <c r="WX33" s="188"/>
      <c r="WY33" s="188"/>
      <c r="WZ33" s="188"/>
      <c r="XA33" s="188"/>
      <c r="XB33" s="188"/>
      <c r="XC33" s="188"/>
      <c r="XD33" s="188"/>
      <c r="XE33" s="188"/>
      <c r="XF33" s="188"/>
      <c r="XG33" s="188"/>
      <c r="XH33" s="188"/>
      <c r="XI33" s="188"/>
      <c r="XJ33" s="188"/>
      <c r="XK33" s="188"/>
      <c r="XL33" s="188"/>
      <c r="XM33" s="188"/>
      <c r="XN33" s="188"/>
      <c r="XO33" s="188"/>
      <c r="XP33" s="188"/>
      <c r="XQ33" s="188"/>
      <c r="XR33" s="188"/>
      <c r="XS33" s="188"/>
      <c r="XT33" s="188"/>
      <c r="XU33" s="188"/>
      <c r="XV33" s="188"/>
      <c r="XW33" s="188"/>
      <c r="XX33" s="188"/>
      <c r="XY33" s="188"/>
      <c r="XZ33" s="188"/>
      <c r="YA33" s="188"/>
      <c r="YB33" s="188"/>
      <c r="YC33" s="188"/>
      <c r="YD33" s="188"/>
      <c r="YE33" s="188"/>
      <c r="YF33" s="188"/>
      <c r="YG33" s="188"/>
      <c r="YH33" s="188"/>
      <c r="YI33" s="188"/>
      <c r="YJ33" s="188"/>
      <c r="YK33" s="188"/>
      <c r="YL33" s="188"/>
      <c r="YM33" s="188"/>
      <c r="YN33" s="188"/>
      <c r="YO33" s="188"/>
      <c r="YP33" s="188"/>
      <c r="YQ33" s="188"/>
      <c r="YR33" s="188"/>
      <c r="YS33" s="188"/>
      <c r="YT33" s="188"/>
      <c r="YU33" s="188"/>
      <c r="YV33" s="188"/>
      <c r="YW33" s="188"/>
      <c r="YX33" s="188"/>
      <c r="YY33" s="188"/>
      <c r="YZ33" s="188"/>
      <c r="ZA33" s="188"/>
      <c r="ZB33" s="188"/>
      <c r="ZC33" s="188"/>
      <c r="ZD33" s="188"/>
      <c r="ZE33" s="188"/>
      <c r="ZF33" s="188"/>
      <c r="ZG33" s="188"/>
      <c r="ZH33" s="188"/>
      <c r="ZI33" s="188"/>
      <c r="ZJ33" s="188"/>
      <c r="ZK33" s="188"/>
      <c r="ZL33" s="188"/>
      <c r="ZM33" s="188"/>
      <c r="ZN33" s="188"/>
      <c r="ZO33" s="188"/>
      <c r="ZP33" s="188"/>
      <c r="ZQ33" s="188"/>
      <c r="ZR33" s="188"/>
      <c r="ZS33" s="188"/>
      <c r="ZT33" s="188"/>
      <c r="ZU33" s="188"/>
      <c r="ZV33" s="188"/>
      <c r="ZW33" s="188"/>
      <c r="ZX33" s="188"/>
      <c r="ZY33" s="188"/>
      <c r="ZZ33" s="188"/>
      <c r="AAA33" s="188"/>
      <c r="AAB33" s="188"/>
      <c r="AAC33" s="188"/>
      <c r="AAD33" s="188"/>
      <c r="AAE33" s="188"/>
      <c r="AAF33" s="188"/>
      <c r="AAG33" s="188"/>
      <c r="AAH33" s="188"/>
      <c r="AAI33" s="188"/>
      <c r="AAJ33" s="188"/>
      <c r="AAK33" s="188"/>
      <c r="AAL33" s="188"/>
      <c r="AAM33" s="188"/>
      <c r="AAN33" s="188"/>
      <c r="AAO33" s="188"/>
      <c r="AAP33" s="188"/>
      <c r="AAQ33" s="188"/>
      <c r="AAR33" s="188"/>
      <c r="AAS33" s="188"/>
      <c r="AAT33" s="188"/>
      <c r="AAU33" s="188"/>
      <c r="AAV33" s="188"/>
      <c r="AAW33" s="188"/>
      <c r="AAX33" s="188"/>
      <c r="AAY33" s="188"/>
      <c r="AAZ33" s="188"/>
      <c r="ABA33" s="188"/>
      <c r="ABB33" s="188"/>
      <c r="ABC33" s="188"/>
      <c r="ABD33" s="188"/>
      <c r="ABE33" s="188"/>
      <c r="ABF33" s="188"/>
      <c r="ABG33" s="188"/>
      <c r="ABH33" s="188"/>
      <c r="ABI33" s="188"/>
      <c r="ABJ33" s="188"/>
      <c r="ABK33" s="188"/>
      <c r="ABL33" s="188"/>
      <c r="ABM33" s="188"/>
      <c r="ABN33" s="188"/>
      <c r="ABO33" s="188"/>
      <c r="ABP33" s="188"/>
      <c r="ABQ33" s="188"/>
      <c r="ABR33" s="188"/>
      <c r="ABS33" s="188"/>
      <c r="ABT33" s="188"/>
      <c r="ABU33" s="188"/>
      <c r="ABV33" s="188"/>
      <c r="ABW33" s="188"/>
      <c r="ABX33" s="188"/>
      <c r="ABY33" s="188"/>
      <c r="ABZ33" s="188"/>
      <c r="ACA33" s="188"/>
      <c r="ACB33" s="188"/>
      <c r="ACC33" s="188"/>
      <c r="ACD33" s="188"/>
      <c r="ACE33" s="188"/>
      <c r="ACF33" s="188"/>
      <c r="ACG33" s="188"/>
      <c r="ACH33" s="188"/>
      <c r="ACI33" s="188"/>
      <c r="ACJ33" s="188"/>
      <c r="ACK33" s="188"/>
      <c r="ACL33" s="188"/>
      <c r="ACM33" s="188"/>
      <c r="ACN33" s="188"/>
      <c r="ACO33" s="188"/>
      <c r="ACP33" s="188"/>
      <c r="ACQ33" s="188"/>
      <c r="ACR33" s="188"/>
      <c r="ACS33" s="188"/>
      <c r="ACT33" s="188"/>
      <c r="ACU33" s="188"/>
      <c r="ACV33" s="188"/>
      <c r="ACW33" s="188"/>
      <c r="ACX33" s="188"/>
      <c r="ACY33" s="188"/>
      <c r="ACZ33" s="188"/>
      <c r="ADA33" s="188"/>
      <c r="ADB33" s="188"/>
      <c r="ADC33" s="188"/>
      <c r="ADD33" s="188"/>
      <c r="ADE33" s="188"/>
      <c r="ADF33" s="188"/>
      <c r="ADG33" s="188"/>
      <c r="ADH33" s="188"/>
      <c r="ADI33" s="188"/>
      <c r="ADJ33" s="188"/>
      <c r="ADK33" s="188"/>
      <c r="ADL33" s="188"/>
      <c r="ADM33" s="188"/>
      <c r="ADN33" s="188"/>
      <c r="ADO33" s="188"/>
      <c r="ADP33" s="188"/>
      <c r="ADQ33" s="188"/>
      <c r="ADR33" s="188"/>
      <c r="ADS33" s="188"/>
      <c r="ADT33" s="188"/>
      <c r="ADU33" s="188"/>
      <c r="ADV33" s="188"/>
      <c r="ADW33" s="188"/>
      <c r="ADX33" s="188"/>
      <c r="ADY33" s="188"/>
      <c r="ADZ33" s="188"/>
      <c r="AEA33" s="188"/>
      <c r="AEB33" s="188"/>
      <c r="AEC33" s="188"/>
      <c r="AED33" s="188"/>
      <c r="AEE33" s="188"/>
      <c r="AEF33" s="188"/>
      <c r="AEG33" s="188"/>
      <c r="AEH33" s="188"/>
      <c r="AEI33" s="188"/>
      <c r="AEJ33" s="188"/>
      <c r="AEK33" s="188"/>
      <c r="AEL33" s="188"/>
      <c r="AEM33" s="188"/>
      <c r="AEN33" s="188"/>
      <c r="AEO33" s="188"/>
      <c r="AEP33" s="188"/>
      <c r="AEQ33" s="188"/>
      <c r="AER33" s="188"/>
      <c r="AES33" s="188"/>
      <c r="AET33" s="188"/>
      <c r="AEU33" s="188"/>
      <c r="AEV33" s="188"/>
      <c r="AEW33" s="188"/>
      <c r="AEX33" s="188"/>
      <c r="AEY33" s="188"/>
      <c r="AEZ33" s="188"/>
      <c r="AFA33" s="188"/>
      <c r="AFB33" s="188"/>
      <c r="AFC33" s="188"/>
      <c r="AFD33" s="188"/>
      <c r="AFE33" s="188"/>
      <c r="AFF33" s="188"/>
      <c r="AFG33" s="188"/>
      <c r="AFH33" s="188"/>
      <c r="AFI33" s="188"/>
      <c r="AFJ33" s="188"/>
      <c r="AFK33" s="188"/>
      <c r="AFL33" s="188"/>
      <c r="AFM33" s="188"/>
      <c r="AFN33" s="188"/>
      <c r="AFO33" s="188"/>
      <c r="AFP33" s="188"/>
      <c r="AFQ33" s="188"/>
      <c r="AFR33" s="188"/>
      <c r="AFS33" s="188"/>
      <c r="AFT33" s="188"/>
      <c r="AFU33" s="188"/>
      <c r="AFV33" s="188"/>
      <c r="AFW33" s="188"/>
      <c r="AFX33" s="188"/>
      <c r="AFY33" s="188"/>
      <c r="AFZ33" s="188"/>
      <c r="AGA33" s="188"/>
      <c r="AGB33" s="188"/>
      <c r="AGC33" s="188"/>
      <c r="AGD33" s="188"/>
      <c r="AGE33" s="188"/>
      <c r="AGF33" s="188"/>
      <c r="AGG33" s="188"/>
      <c r="AGH33" s="188"/>
      <c r="AGI33" s="188"/>
      <c r="AGJ33" s="188"/>
      <c r="AGK33" s="188"/>
      <c r="AGL33" s="188"/>
      <c r="AGM33" s="188"/>
      <c r="AGN33" s="188"/>
      <c r="AGO33" s="188"/>
      <c r="AGP33" s="188"/>
      <c r="AGQ33" s="188"/>
      <c r="AGR33" s="188"/>
      <c r="AGS33" s="188"/>
      <c r="AGT33" s="188"/>
      <c r="AGU33" s="188"/>
      <c r="AGV33" s="188"/>
      <c r="AGW33" s="188"/>
      <c r="AGX33" s="188"/>
      <c r="AGY33" s="188"/>
      <c r="AGZ33" s="188"/>
      <c r="AHA33" s="188"/>
      <c r="AHB33" s="188"/>
      <c r="AHC33" s="188"/>
      <c r="AHD33" s="188"/>
      <c r="AHE33" s="188"/>
      <c r="AHF33" s="188"/>
      <c r="AHG33" s="188"/>
      <c r="AHH33" s="188"/>
      <c r="AHI33" s="188"/>
      <c r="AHJ33" s="188"/>
      <c r="AHK33" s="188"/>
      <c r="AHL33" s="188"/>
      <c r="AHM33" s="188"/>
      <c r="AHN33" s="188"/>
      <c r="AHO33" s="188"/>
      <c r="AHP33" s="188"/>
      <c r="AHQ33" s="188"/>
      <c r="AHR33" s="188"/>
      <c r="AHS33" s="188"/>
      <c r="AHT33" s="188"/>
      <c r="AHU33" s="188"/>
      <c r="AHV33" s="188"/>
      <c r="AHW33" s="188"/>
      <c r="AHX33" s="188"/>
      <c r="AHY33" s="188"/>
      <c r="AHZ33" s="188"/>
      <c r="AIA33" s="188"/>
      <c r="AIB33" s="188"/>
      <c r="AIC33" s="188"/>
      <c r="AID33" s="188"/>
      <c r="AIE33" s="188"/>
      <c r="AIF33" s="188"/>
      <c r="AIG33" s="188"/>
      <c r="AIH33" s="188"/>
      <c r="AII33" s="188"/>
      <c r="AIJ33" s="188"/>
      <c r="AIK33" s="188"/>
      <c r="AIL33" s="188"/>
      <c r="AIM33" s="188"/>
      <c r="AIN33" s="188"/>
      <c r="AIO33" s="188"/>
      <c r="AIP33" s="188"/>
      <c r="AIQ33" s="188"/>
      <c r="AIR33" s="188"/>
      <c r="AIS33" s="188"/>
      <c r="AIT33" s="188"/>
      <c r="AIU33" s="188"/>
      <c r="AIV33" s="188"/>
      <c r="AIW33" s="188"/>
      <c r="AIX33" s="188"/>
      <c r="AIY33" s="188"/>
      <c r="AIZ33" s="188"/>
      <c r="AJA33" s="188"/>
      <c r="AJB33" s="188"/>
      <c r="AJC33" s="188"/>
      <c r="AJD33" s="188"/>
      <c r="AJE33" s="188"/>
      <c r="AJF33" s="188"/>
      <c r="AJG33" s="188"/>
      <c r="AJH33" s="188"/>
      <c r="AJI33" s="188"/>
      <c r="AJJ33" s="188"/>
      <c r="AJK33" s="188"/>
      <c r="AJL33" s="188"/>
      <c r="AJM33" s="188"/>
      <c r="AJN33" s="188"/>
      <c r="AJO33" s="188"/>
      <c r="AJP33" s="188"/>
      <c r="AJQ33" s="188"/>
      <c r="AJR33" s="188"/>
      <c r="AJS33" s="188"/>
      <c r="AJT33" s="188"/>
      <c r="AJU33" s="188"/>
      <c r="AJV33" s="188"/>
      <c r="AJW33" s="188"/>
      <c r="AJX33" s="188"/>
      <c r="AJY33" s="188"/>
      <c r="AJZ33" s="188"/>
      <c r="AKA33" s="188"/>
      <c r="AKB33" s="188"/>
      <c r="AKC33" s="188"/>
      <c r="AKD33" s="188"/>
      <c r="AKE33" s="188"/>
      <c r="AKF33" s="188"/>
      <c r="AKG33" s="188"/>
      <c r="AKH33" s="188"/>
      <c r="AKI33" s="188"/>
      <c r="AKJ33" s="188"/>
      <c r="AKK33" s="188"/>
      <c r="AKL33" s="188"/>
      <c r="AKM33" s="188"/>
      <c r="AKN33" s="188"/>
      <c r="AKO33" s="188"/>
      <c r="AKP33" s="188"/>
      <c r="AKQ33" s="188"/>
      <c r="AKR33" s="188"/>
      <c r="AKS33" s="188"/>
      <c r="AKT33" s="188"/>
      <c r="AKU33" s="188"/>
      <c r="AKV33" s="188"/>
      <c r="AKW33" s="188"/>
      <c r="AKX33" s="188"/>
      <c r="AKY33" s="188"/>
      <c r="AKZ33" s="188"/>
      <c r="ALA33" s="188"/>
      <c r="ALB33" s="188"/>
      <c r="ALC33" s="188"/>
      <c r="ALD33" s="188"/>
      <c r="ALE33" s="188"/>
      <c r="ALF33" s="188"/>
      <c r="ALG33" s="188"/>
      <c r="ALH33" s="188"/>
      <c r="ALI33" s="188"/>
      <c r="ALJ33" s="188"/>
      <c r="ALK33" s="188"/>
      <c r="ALL33" s="188"/>
      <c r="ALM33" s="188"/>
      <c r="ALN33" s="188"/>
      <c r="ALO33" s="188"/>
      <c r="ALP33" s="188"/>
      <c r="ALQ33" s="188"/>
      <c r="ALR33" s="188"/>
      <c r="ALS33" s="188"/>
      <c r="ALT33" s="188"/>
      <c r="ALU33" s="188"/>
      <c r="ALV33" s="188"/>
      <c r="ALW33" s="188"/>
      <c r="ALX33" s="188"/>
      <c r="ALY33" s="188"/>
      <c r="ALZ33" s="188"/>
      <c r="AMA33" s="188"/>
      <c r="AMB33" s="188"/>
      <c r="AMC33" s="188"/>
      <c r="AMD33" s="188"/>
      <c r="AME33" s="188"/>
      <c r="AMF33" s="188"/>
      <c r="AMG33" s="188"/>
      <c r="AMH33" s="188"/>
      <c r="AMI33" s="188"/>
      <c r="AMJ33" s="188"/>
      <c r="AMK33" s="188"/>
      <c r="AML33" s="188"/>
      <c r="AMM33" s="188"/>
      <c r="AMN33" s="188"/>
      <c r="AMO33" s="188"/>
      <c r="AMP33" s="188"/>
      <c r="AMQ33" s="188"/>
      <c r="AMR33" s="188"/>
      <c r="AMS33" s="188"/>
      <c r="AMT33" s="188"/>
      <c r="AMU33" s="188"/>
      <c r="AMV33" s="188"/>
      <c r="AMW33" s="188"/>
      <c r="AMX33" s="188"/>
      <c r="AMY33" s="188"/>
      <c r="AMZ33" s="188"/>
      <c r="ANA33" s="188"/>
      <c r="ANB33" s="188"/>
      <c r="ANC33" s="188"/>
      <c r="AND33" s="188"/>
      <c r="ANE33" s="188"/>
      <c r="ANF33" s="188"/>
      <c r="ANG33" s="188"/>
      <c r="ANH33" s="188"/>
      <c r="ANI33" s="188"/>
      <c r="ANJ33" s="188"/>
      <c r="ANK33" s="188"/>
      <c r="ANL33" s="188"/>
      <c r="ANM33" s="188"/>
      <c r="ANN33" s="188"/>
      <c r="ANO33" s="188"/>
      <c r="ANP33" s="188"/>
      <c r="ANQ33" s="188"/>
      <c r="ANR33" s="188"/>
      <c r="ANS33" s="188"/>
      <c r="ANT33" s="188"/>
      <c r="ANU33" s="188"/>
      <c r="ANV33" s="188"/>
      <c r="ANW33" s="188"/>
      <c r="ANX33" s="188"/>
      <c r="ANY33" s="188"/>
      <c r="ANZ33" s="188"/>
      <c r="AOA33" s="188"/>
      <c r="AOB33" s="188"/>
      <c r="AOC33" s="188"/>
      <c r="AOD33" s="188"/>
      <c r="AOE33" s="188"/>
      <c r="AOF33" s="188"/>
      <c r="AOG33" s="188"/>
      <c r="AOH33" s="188"/>
      <c r="AOI33" s="188"/>
      <c r="AOJ33" s="188"/>
      <c r="AOK33" s="188"/>
      <c r="AOL33" s="188"/>
      <c r="AOM33" s="188"/>
      <c r="AON33" s="188"/>
      <c r="AOO33" s="188"/>
      <c r="AOP33" s="188"/>
      <c r="AOQ33" s="188"/>
      <c r="AOR33" s="188"/>
      <c r="AOS33" s="188"/>
      <c r="AOT33" s="188"/>
      <c r="AOU33" s="188"/>
      <c r="AOV33" s="188"/>
      <c r="AOW33" s="188"/>
      <c r="AOX33" s="188"/>
      <c r="AOY33" s="188"/>
      <c r="AOZ33" s="188"/>
      <c r="APA33" s="188"/>
      <c r="APB33" s="188"/>
      <c r="APC33" s="188"/>
      <c r="APD33" s="188"/>
      <c r="APE33" s="188"/>
      <c r="APF33" s="188"/>
      <c r="APG33" s="188"/>
      <c r="APH33" s="188"/>
      <c r="API33" s="188"/>
      <c r="APJ33" s="188"/>
      <c r="APK33" s="188"/>
      <c r="APL33" s="188"/>
      <c r="APM33" s="188"/>
      <c r="APN33" s="188"/>
      <c r="APO33" s="188"/>
      <c r="APP33" s="188"/>
      <c r="APQ33" s="188"/>
      <c r="APR33" s="188"/>
      <c r="APS33" s="188"/>
      <c r="APT33" s="188"/>
      <c r="APU33" s="188"/>
      <c r="APV33" s="188"/>
      <c r="APW33" s="188"/>
      <c r="APX33" s="188"/>
      <c r="APY33" s="188"/>
      <c r="APZ33" s="188"/>
      <c r="AQA33" s="188"/>
      <c r="AQB33" s="188"/>
      <c r="AQC33" s="188"/>
      <c r="AQD33" s="188"/>
      <c r="AQE33" s="188"/>
      <c r="AQF33" s="188"/>
      <c r="AQG33" s="188"/>
      <c r="AQH33" s="188"/>
      <c r="AQI33" s="188"/>
      <c r="AQJ33" s="188"/>
      <c r="AQK33" s="188"/>
      <c r="AQL33" s="188"/>
      <c r="AQM33" s="188"/>
      <c r="AQN33" s="188"/>
      <c r="AQO33" s="188"/>
      <c r="AQP33" s="188"/>
      <c r="AQQ33" s="188"/>
      <c r="AQR33" s="188"/>
      <c r="AQS33" s="188"/>
      <c r="AQT33" s="188"/>
      <c r="AQU33" s="188"/>
      <c r="AQV33" s="188"/>
      <c r="AQW33" s="188"/>
      <c r="AQX33" s="188"/>
      <c r="AQY33" s="188"/>
      <c r="AQZ33" s="188"/>
      <c r="ARA33" s="188"/>
      <c r="ARB33" s="188"/>
      <c r="ARC33" s="188"/>
      <c r="ARD33" s="188"/>
      <c r="ARE33" s="188"/>
      <c r="ARF33" s="188"/>
      <c r="ARG33" s="188"/>
      <c r="ARH33" s="188"/>
      <c r="ARI33" s="188"/>
      <c r="ARJ33" s="188"/>
      <c r="ARK33" s="188"/>
      <c r="ARL33" s="188"/>
      <c r="ARM33" s="188"/>
      <c r="ARN33" s="188"/>
      <c r="ARO33" s="188"/>
      <c r="ARP33" s="188"/>
      <c r="ARQ33" s="188"/>
      <c r="ARR33" s="188"/>
      <c r="ARS33" s="188"/>
      <c r="ART33" s="188"/>
      <c r="ARU33" s="188"/>
      <c r="ARV33" s="188"/>
      <c r="ARW33" s="188"/>
      <c r="ARX33" s="188"/>
      <c r="ARY33" s="188"/>
      <c r="ARZ33" s="188"/>
      <c r="ASA33" s="188"/>
      <c r="ASB33" s="188"/>
      <c r="ASC33" s="188"/>
      <c r="ASD33" s="188"/>
      <c r="ASE33" s="188"/>
      <c r="ASF33" s="188"/>
      <c r="ASG33" s="188"/>
      <c r="ASH33" s="188"/>
      <c r="ASI33" s="188"/>
      <c r="ASJ33" s="188"/>
      <c r="ASK33" s="188"/>
      <c r="ASL33" s="188"/>
      <c r="ASM33" s="188"/>
      <c r="ASN33" s="188"/>
      <c r="ASO33" s="188"/>
      <c r="ASP33" s="188"/>
      <c r="ASQ33" s="188"/>
      <c r="ASR33" s="188"/>
      <c r="ASS33" s="188"/>
      <c r="AST33" s="188"/>
      <c r="ASU33" s="188"/>
      <c r="ASV33" s="188"/>
      <c r="ASW33" s="188"/>
      <c r="ASX33" s="188"/>
      <c r="ASY33" s="188"/>
      <c r="ASZ33" s="188"/>
      <c r="ATA33" s="188"/>
      <c r="ATB33" s="188"/>
      <c r="ATC33" s="188"/>
      <c r="ATD33" s="188"/>
      <c r="ATE33" s="188"/>
      <c r="ATF33" s="188"/>
      <c r="ATG33" s="188"/>
      <c r="ATH33" s="188"/>
      <c r="ATI33" s="188"/>
      <c r="ATJ33" s="188"/>
      <c r="ATK33" s="188"/>
      <c r="ATL33" s="188"/>
      <c r="ATM33" s="188"/>
      <c r="ATN33" s="188"/>
      <c r="ATO33" s="188"/>
      <c r="ATP33" s="188"/>
      <c r="ATQ33" s="188"/>
      <c r="ATR33" s="188"/>
      <c r="ATS33" s="188"/>
      <c r="ATT33" s="188"/>
      <c r="ATU33" s="188"/>
      <c r="ATV33" s="188"/>
      <c r="ATW33" s="188"/>
      <c r="ATX33" s="188"/>
      <c r="ATY33" s="188"/>
      <c r="ATZ33" s="188"/>
      <c r="AUA33" s="188"/>
      <c r="AUB33" s="188"/>
      <c r="AUC33" s="188"/>
      <c r="AUD33" s="188"/>
      <c r="AUE33" s="188"/>
      <c r="AUF33" s="188"/>
      <c r="AUG33" s="188"/>
      <c r="AUH33" s="188"/>
      <c r="AUI33" s="188"/>
      <c r="AUJ33" s="188"/>
      <c r="AUK33" s="188"/>
      <c r="AUL33" s="188"/>
      <c r="AUM33" s="188"/>
      <c r="AUN33" s="188"/>
      <c r="AUO33" s="188"/>
      <c r="AUP33" s="188"/>
      <c r="AUQ33" s="188"/>
      <c r="AUR33" s="188"/>
      <c r="AUS33" s="188"/>
      <c r="AUT33" s="188"/>
      <c r="AUU33" s="188"/>
      <c r="AUV33" s="188"/>
      <c r="AUW33" s="188"/>
      <c r="AUX33" s="188"/>
      <c r="AUY33" s="188"/>
      <c r="AUZ33" s="188"/>
      <c r="AVA33" s="188"/>
      <c r="AVB33" s="188"/>
      <c r="AVC33" s="188"/>
      <c r="AVD33" s="188"/>
      <c r="AVE33" s="188"/>
      <c r="AVF33" s="188"/>
      <c r="AVG33" s="188"/>
      <c r="AVH33" s="188"/>
      <c r="AVI33" s="188"/>
      <c r="AVJ33" s="188"/>
      <c r="AVK33" s="188"/>
      <c r="AVL33" s="188"/>
      <c r="AVM33" s="188"/>
      <c r="AVN33" s="188"/>
      <c r="AVO33" s="188"/>
      <c r="AVP33" s="188"/>
      <c r="AVQ33" s="188"/>
      <c r="AVR33" s="188"/>
      <c r="AVS33" s="188"/>
      <c r="AVT33" s="188"/>
      <c r="AVU33" s="188"/>
      <c r="AVV33" s="188"/>
      <c r="AVW33" s="188"/>
      <c r="AVX33" s="188"/>
      <c r="AVY33" s="188"/>
      <c r="AVZ33" s="188"/>
      <c r="AWA33" s="188"/>
      <c r="AWB33" s="188"/>
      <c r="AWC33" s="188"/>
      <c r="AWD33" s="188"/>
      <c r="AWE33" s="188"/>
      <c r="AWF33" s="188"/>
      <c r="AWG33" s="188"/>
      <c r="AWH33" s="188"/>
      <c r="AWI33" s="188"/>
      <c r="AWJ33" s="188"/>
      <c r="AWK33" s="188"/>
      <c r="AWL33" s="188"/>
      <c r="AWM33" s="188"/>
      <c r="AWN33" s="188"/>
      <c r="AWO33" s="188"/>
      <c r="AWP33" s="188"/>
      <c r="AWQ33" s="188"/>
      <c r="AWR33" s="188"/>
      <c r="AWS33" s="188"/>
      <c r="AWT33" s="188"/>
      <c r="AWU33" s="188"/>
      <c r="AWV33" s="188"/>
      <c r="AWW33" s="188"/>
      <c r="AWX33" s="188"/>
      <c r="AWY33" s="188"/>
      <c r="AWZ33" s="188"/>
      <c r="AXA33" s="188"/>
      <c r="AXB33" s="188"/>
      <c r="AXC33" s="188"/>
      <c r="AXD33" s="188"/>
      <c r="AXE33" s="188"/>
      <c r="AXF33" s="188"/>
      <c r="AXG33" s="188"/>
      <c r="AXH33" s="188"/>
      <c r="AXI33" s="188"/>
      <c r="AXJ33" s="188"/>
      <c r="AXK33" s="188"/>
      <c r="AXL33" s="188"/>
      <c r="AXM33" s="188"/>
      <c r="AXN33" s="188"/>
      <c r="AXO33" s="188"/>
      <c r="AXP33" s="188"/>
      <c r="AXQ33" s="188"/>
      <c r="AXR33" s="188"/>
      <c r="AXS33" s="188"/>
      <c r="AXT33" s="188"/>
      <c r="AXU33" s="188"/>
      <c r="AXV33" s="188"/>
      <c r="AXW33" s="188"/>
      <c r="AXX33" s="188"/>
      <c r="AXY33" s="188"/>
      <c r="AXZ33" s="188"/>
      <c r="AYA33" s="188"/>
      <c r="AYB33" s="188"/>
      <c r="AYC33" s="188"/>
      <c r="AYD33" s="188"/>
      <c r="AYE33" s="188"/>
      <c r="AYF33" s="188"/>
      <c r="AYG33" s="188"/>
      <c r="AYH33" s="188"/>
      <c r="AYI33" s="188"/>
      <c r="AYJ33" s="188"/>
      <c r="AYK33" s="188"/>
      <c r="AYL33" s="188"/>
      <c r="AYM33" s="188"/>
      <c r="AYN33" s="188"/>
      <c r="AYO33" s="188"/>
      <c r="AYP33" s="188"/>
      <c r="AYQ33" s="188"/>
      <c r="AYR33" s="188"/>
      <c r="AYS33" s="188"/>
      <c r="AYT33" s="188"/>
      <c r="AYU33" s="188"/>
      <c r="AYV33" s="188"/>
      <c r="AYW33" s="188"/>
      <c r="AYX33" s="188"/>
      <c r="AYY33" s="188"/>
      <c r="AYZ33" s="188"/>
      <c r="AZA33" s="188"/>
      <c r="AZB33" s="188"/>
      <c r="AZC33" s="188"/>
      <c r="AZD33" s="188"/>
      <c r="AZE33" s="188"/>
      <c r="AZF33" s="188"/>
      <c r="AZG33" s="188"/>
      <c r="AZH33" s="188"/>
      <c r="AZI33" s="188"/>
      <c r="AZJ33" s="188"/>
      <c r="AZK33" s="188"/>
      <c r="AZL33" s="188"/>
      <c r="AZM33" s="188"/>
      <c r="AZN33" s="188"/>
      <c r="AZO33" s="188"/>
      <c r="AZP33" s="188"/>
      <c r="AZQ33" s="188"/>
      <c r="AZR33" s="188"/>
      <c r="AZS33" s="188"/>
      <c r="AZT33" s="188"/>
      <c r="AZU33" s="188"/>
      <c r="AZV33" s="188"/>
      <c r="AZW33" s="188"/>
      <c r="AZX33" s="188"/>
      <c r="AZY33" s="188"/>
      <c r="AZZ33" s="188"/>
      <c r="BAA33" s="188"/>
      <c r="BAB33" s="188"/>
      <c r="BAC33" s="188"/>
      <c r="BAD33" s="188"/>
      <c r="BAE33" s="188"/>
      <c r="BAF33" s="188"/>
      <c r="BAG33" s="188"/>
      <c r="BAH33" s="188"/>
      <c r="BAI33" s="188"/>
      <c r="BAJ33" s="188"/>
      <c r="BAK33" s="188"/>
      <c r="BAL33" s="188"/>
      <c r="BAM33" s="188"/>
      <c r="BAN33" s="188"/>
      <c r="BAO33" s="188"/>
      <c r="BAP33" s="188"/>
      <c r="BAQ33" s="188"/>
      <c r="BAR33" s="188"/>
      <c r="BAS33" s="188"/>
      <c r="BAT33" s="188"/>
      <c r="BAU33" s="188"/>
      <c r="BAV33" s="188"/>
      <c r="BAW33" s="188"/>
      <c r="BAX33" s="188"/>
      <c r="BAY33" s="188"/>
      <c r="BAZ33" s="188"/>
      <c r="BBA33" s="188"/>
      <c r="BBB33" s="188"/>
      <c r="BBC33" s="188"/>
      <c r="BBD33" s="188"/>
      <c r="BBE33" s="188"/>
      <c r="BBF33" s="188"/>
      <c r="BBG33" s="188"/>
      <c r="BBH33" s="188"/>
      <c r="BBI33" s="188"/>
      <c r="BBJ33" s="188"/>
      <c r="BBK33" s="188"/>
      <c r="BBL33" s="188"/>
      <c r="BBM33" s="188"/>
      <c r="BBN33" s="188"/>
      <c r="BBO33" s="188"/>
      <c r="BBP33" s="188"/>
      <c r="BBQ33" s="188"/>
      <c r="BBR33" s="188"/>
      <c r="BBS33" s="188"/>
      <c r="BBT33" s="188"/>
      <c r="BBU33" s="188"/>
      <c r="BBV33" s="188"/>
      <c r="BBW33" s="188"/>
      <c r="BBX33" s="188"/>
      <c r="BBY33" s="188"/>
      <c r="BBZ33" s="188"/>
      <c r="BCA33" s="188"/>
      <c r="BCB33" s="188"/>
      <c r="BCC33" s="188"/>
      <c r="BCD33" s="188"/>
      <c r="BCE33" s="188"/>
      <c r="BCF33" s="188"/>
      <c r="BCG33" s="188"/>
      <c r="BCH33" s="188"/>
      <c r="BCI33" s="188"/>
      <c r="BCJ33" s="188"/>
      <c r="BCK33" s="188"/>
      <c r="BCL33" s="188"/>
      <c r="BCM33" s="188"/>
      <c r="BCN33" s="188"/>
      <c r="BCO33" s="188"/>
      <c r="BCP33" s="188"/>
      <c r="BCQ33" s="188"/>
      <c r="BCR33" s="188"/>
      <c r="BCS33" s="188"/>
      <c r="BCT33" s="188"/>
      <c r="BCU33" s="188"/>
      <c r="BCV33" s="188"/>
      <c r="BCW33" s="188"/>
      <c r="BCX33" s="188"/>
      <c r="BCY33" s="188"/>
      <c r="BCZ33" s="188"/>
      <c r="BDA33" s="188"/>
      <c r="BDB33" s="188"/>
      <c r="BDC33" s="188"/>
      <c r="BDD33" s="188"/>
      <c r="BDE33" s="188"/>
      <c r="BDF33" s="188"/>
      <c r="BDG33" s="188"/>
      <c r="BDH33" s="188"/>
      <c r="BDI33" s="188"/>
      <c r="BDJ33" s="188"/>
      <c r="BDK33" s="188"/>
      <c r="BDL33" s="188"/>
      <c r="BDM33" s="188"/>
      <c r="BDN33" s="188"/>
      <c r="BDO33" s="188"/>
      <c r="BDP33" s="188"/>
      <c r="BDQ33" s="188"/>
      <c r="BDR33" s="188"/>
      <c r="BDS33" s="188"/>
      <c r="BDT33" s="188"/>
      <c r="BDU33" s="188"/>
      <c r="BDV33" s="188"/>
      <c r="BDW33" s="188"/>
      <c r="BDX33" s="188"/>
      <c r="BDY33" s="188"/>
      <c r="BDZ33" s="188"/>
      <c r="BEA33" s="188"/>
      <c r="BEB33" s="188"/>
      <c r="BEC33" s="188"/>
      <c r="BED33" s="188"/>
      <c r="BEE33" s="188"/>
      <c r="BEF33" s="188"/>
      <c r="BEG33" s="188"/>
      <c r="BEH33" s="188"/>
      <c r="BEI33" s="188"/>
      <c r="BEJ33" s="188"/>
      <c r="BEK33" s="188"/>
      <c r="BEL33" s="188"/>
      <c r="BEM33" s="188"/>
      <c r="BEN33" s="188"/>
      <c r="BEO33" s="188"/>
      <c r="BEP33" s="188"/>
      <c r="BEQ33" s="188"/>
      <c r="BER33" s="188"/>
      <c r="BES33" s="188"/>
      <c r="BET33" s="188"/>
      <c r="BEU33" s="188"/>
      <c r="BEV33" s="188"/>
      <c r="BEW33" s="188"/>
      <c r="BEX33" s="188"/>
      <c r="BEY33" s="188"/>
      <c r="BEZ33" s="188"/>
      <c r="BFA33" s="188"/>
      <c r="BFB33" s="188"/>
      <c r="BFC33" s="188"/>
      <c r="BFD33" s="188"/>
      <c r="BFE33" s="188"/>
      <c r="BFF33" s="188"/>
      <c r="BFG33" s="188"/>
      <c r="BFH33" s="188"/>
      <c r="BFI33" s="188"/>
      <c r="BFJ33" s="188"/>
      <c r="BFK33" s="188"/>
      <c r="BFL33" s="188"/>
      <c r="BFM33" s="188"/>
      <c r="BFN33" s="188"/>
      <c r="BFO33" s="188"/>
      <c r="BFP33" s="188"/>
      <c r="BFQ33" s="188"/>
      <c r="BFR33" s="188"/>
      <c r="BFS33" s="188"/>
      <c r="BFT33" s="188"/>
      <c r="BFU33" s="188"/>
      <c r="BFV33" s="188"/>
      <c r="BFW33" s="188"/>
      <c r="BFX33" s="188"/>
      <c r="BFY33" s="188"/>
      <c r="BFZ33" s="188"/>
      <c r="BGA33" s="188"/>
      <c r="BGB33" s="188"/>
      <c r="BGC33" s="188"/>
      <c r="BGD33" s="188"/>
      <c r="BGE33" s="188"/>
      <c r="BGF33" s="188"/>
      <c r="BGG33" s="188"/>
      <c r="BGH33" s="188"/>
      <c r="BGI33" s="188"/>
      <c r="BGJ33" s="188"/>
      <c r="BGK33" s="188"/>
      <c r="BGL33" s="188"/>
      <c r="BGM33" s="188"/>
      <c r="BGN33" s="188"/>
      <c r="BGO33" s="188"/>
      <c r="BGP33" s="188"/>
      <c r="BGQ33" s="188"/>
      <c r="BGR33" s="188"/>
      <c r="BGS33" s="188"/>
      <c r="BGT33" s="188"/>
      <c r="BGU33" s="188"/>
      <c r="BGV33" s="188"/>
      <c r="BGW33" s="188"/>
      <c r="BGX33" s="188"/>
      <c r="BGY33" s="188"/>
      <c r="BGZ33" s="188"/>
      <c r="BHA33" s="188"/>
      <c r="BHB33" s="188"/>
      <c r="BHC33" s="188"/>
      <c r="BHD33" s="188"/>
      <c r="BHE33" s="188"/>
      <c r="BHF33" s="188"/>
      <c r="BHG33" s="188"/>
      <c r="BHH33" s="188"/>
      <c r="BHI33" s="188"/>
      <c r="BHJ33" s="188"/>
      <c r="BHK33" s="188"/>
      <c r="BHL33" s="188"/>
      <c r="BHM33" s="188"/>
      <c r="BHN33" s="188"/>
      <c r="BHO33" s="188"/>
      <c r="BHP33" s="188"/>
      <c r="BHQ33" s="188"/>
      <c r="BHR33" s="188"/>
      <c r="BHS33" s="188"/>
      <c r="BHT33" s="188"/>
      <c r="BHU33" s="188"/>
      <c r="BHV33" s="188"/>
      <c r="BHW33" s="188"/>
      <c r="BHX33" s="188"/>
      <c r="BHY33" s="188"/>
      <c r="BHZ33" s="188"/>
      <c r="BIA33" s="188"/>
      <c r="BIB33" s="188"/>
      <c r="BIC33" s="188"/>
      <c r="BID33" s="188"/>
      <c r="BIE33" s="188"/>
      <c r="BIF33" s="188"/>
      <c r="BIG33" s="188"/>
      <c r="BIH33" s="188"/>
      <c r="BII33" s="188"/>
      <c r="BIJ33" s="188"/>
      <c r="BIK33" s="188"/>
      <c r="BIL33" s="188"/>
      <c r="BIM33" s="188"/>
      <c r="BIN33" s="188"/>
      <c r="BIO33" s="188"/>
      <c r="BIP33" s="188"/>
      <c r="BIQ33" s="188"/>
      <c r="BIR33" s="188"/>
      <c r="BIS33" s="188"/>
      <c r="BIT33" s="188"/>
      <c r="BIU33" s="188"/>
      <c r="BIV33" s="188"/>
      <c r="BIW33" s="188"/>
      <c r="BIX33" s="188"/>
      <c r="BIY33" s="188"/>
      <c r="BIZ33" s="188"/>
      <c r="BJA33" s="188"/>
      <c r="BJB33" s="188"/>
      <c r="BJC33" s="188"/>
      <c r="BJD33" s="188"/>
      <c r="BJE33" s="188"/>
      <c r="BJF33" s="188"/>
      <c r="BJG33" s="188"/>
      <c r="BJH33" s="188"/>
      <c r="BJI33" s="188"/>
      <c r="BJJ33" s="188"/>
      <c r="BJK33" s="188"/>
      <c r="BJL33" s="188"/>
      <c r="BJM33" s="188"/>
      <c r="BJN33" s="188"/>
      <c r="BJO33" s="188"/>
      <c r="BJP33" s="188"/>
      <c r="BJQ33" s="188"/>
      <c r="BJR33" s="188"/>
      <c r="BJS33" s="188"/>
      <c r="BJT33" s="188"/>
      <c r="BJU33" s="188"/>
      <c r="BJV33" s="188"/>
      <c r="BJW33" s="188"/>
      <c r="BJX33" s="188"/>
      <c r="BJY33" s="188"/>
      <c r="BJZ33" s="188"/>
      <c r="BKA33" s="188"/>
      <c r="BKB33" s="188"/>
      <c r="BKC33" s="188"/>
      <c r="BKD33" s="188"/>
      <c r="BKE33" s="188"/>
      <c r="BKF33" s="188"/>
      <c r="BKG33" s="188"/>
      <c r="BKH33" s="188"/>
      <c r="BKI33" s="188"/>
      <c r="BKJ33" s="188"/>
      <c r="BKK33" s="188"/>
      <c r="BKL33" s="188"/>
      <c r="BKM33" s="188"/>
      <c r="BKN33" s="188"/>
      <c r="BKO33" s="188"/>
      <c r="BKP33" s="188"/>
      <c r="BKQ33" s="188"/>
      <c r="BKR33" s="188"/>
      <c r="BKS33" s="188"/>
      <c r="BKT33" s="188"/>
      <c r="BKU33" s="188"/>
      <c r="BKV33" s="188"/>
      <c r="BKW33" s="188"/>
      <c r="BKX33" s="188"/>
      <c r="BKY33" s="188"/>
      <c r="BKZ33" s="188"/>
      <c r="BLA33" s="188"/>
      <c r="BLB33" s="188"/>
      <c r="BLC33" s="188"/>
      <c r="BLD33" s="188"/>
      <c r="BLE33" s="188"/>
      <c r="BLF33" s="188"/>
      <c r="BLG33" s="188"/>
      <c r="BLH33" s="188"/>
      <c r="BLI33" s="188"/>
      <c r="BLJ33" s="188"/>
      <c r="BLK33" s="188"/>
      <c r="BLL33" s="188"/>
      <c r="BLM33" s="188"/>
      <c r="BLN33" s="188"/>
      <c r="BLO33" s="188"/>
      <c r="BLP33" s="188"/>
      <c r="BLQ33" s="188"/>
      <c r="BLR33" s="188"/>
      <c r="BLS33" s="188"/>
      <c r="BLT33" s="188"/>
      <c r="BLU33" s="188"/>
      <c r="BLV33" s="188"/>
      <c r="BLW33" s="188"/>
      <c r="BLX33" s="188"/>
      <c r="BLY33" s="188"/>
      <c r="BLZ33" s="188"/>
      <c r="BMA33" s="188"/>
      <c r="BMB33" s="188"/>
      <c r="BMC33" s="188"/>
      <c r="BMD33" s="188"/>
      <c r="BME33" s="188"/>
      <c r="BMF33" s="188"/>
      <c r="BMG33" s="188"/>
      <c r="BMH33" s="188"/>
      <c r="BMI33" s="188"/>
      <c r="BMJ33" s="188"/>
      <c r="BMK33" s="188"/>
      <c r="BML33" s="188"/>
      <c r="BMM33" s="188"/>
      <c r="BMN33" s="188"/>
      <c r="BMO33" s="188"/>
      <c r="BMP33" s="188"/>
      <c r="BMQ33" s="188"/>
      <c r="BMR33" s="188"/>
      <c r="BMS33" s="188"/>
      <c r="BMT33" s="188"/>
      <c r="BMU33" s="188"/>
      <c r="BMV33" s="188"/>
      <c r="BMW33" s="188"/>
      <c r="BMX33" s="188"/>
      <c r="BMY33" s="188"/>
      <c r="BMZ33" s="188"/>
      <c r="BNA33" s="188"/>
      <c r="BNB33" s="188"/>
      <c r="BNC33" s="188"/>
      <c r="BND33" s="188"/>
      <c r="BNE33" s="188"/>
      <c r="BNF33" s="188"/>
      <c r="BNG33" s="188"/>
      <c r="BNH33" s="188"/>
      <c r="BNI33" s="188"/>
      <c r="BNJ33" s="188"/>
      <c r="BNK33" s="188"/>
      <c r="BNL33" s="188"/>
      <c r="BNM33" s="188"/>
      <c r="BNN33" s="188"/>
      <c r="BNO33" s="188"/>
      <c r="BNP33" s="188"/>
      <c r="BNQ33" s="188"/>
      <c r="BNR33" s="188"/>
      <c r="BNS33" s="188"/>
      <c r="BNT33" s="188"/>
      <c r="BNU33" s="188"/>
      <c r="BNV33" s="188"/>
      <c r="BNW33" s="188"/>
      <c r="BNX33" s="188"/>
      <c r="BNY33" s="188"/>
      <c r="BNZ33" s="188"/>
      <c r="BOA33" s="188"/>
      <c r="BOB33" s="188"/>
      <c r="BOC33" s="188"/>
      <c r="BOD33" s="188"/>
      <c r="BOE33" s="188"/>
      <c r="BOF33" s="188"/>
      <c r="BOG33" s="188"/>
      <c r="BOH33" s="188"/>
      <c r="BOI33" s="188"/>
      <c r="BOJ33" s="188"/>
      <c r="BOK33" s="188"/>
      <c r="BOL33" s="188"/>
      <c r="BOM33" s="188"/>
      <c r="BON33" s="188"/>
      <c r="BOO33" s="188"/>
      <c r="BOP33" s="188"/>
      <c r="BOQ33" s="188"/>
      <c r="BOR33" s="188"/>
      <c r="BOS33" s="188"/>
      <c r="BOT33" s="188"/>
      <c r="BOU33" s="188"/>
      <c r="BOV33" s="188"/>
      <c r="BOW33" s="188"/>
      <c r="BOX33" s="188"/>
      <c r="BOY33" s="188"/>
      <c r="BOZ33" s="188"/>
      <c r="BPA33" s="188"/>
      <c r="BPB33" s="188"/>
      <c r="BPC33" s="188"/>
      <c r="BPD33" s="188"/>
      <c r="BPE33" s="188"/>
      <c r="BPF33" s="188"/>
      <c r="BPG33" s="188"/>
      <c r="BPH33" s="188"/>
      <c r="BPI33" s="188"/>
      <c r="BPJ33" s="188"/>
      <c r="BPK33" s="188"/>
      <c r="BPL33" s="188"/>
      <c r="BPM33" s="188"/>
      <c r="BPN33" s="188"/>
      <c r="BPO33" s="188"/>
      <c r="BPP33" s="188"/>
      <c r="BPQ33" s="188"/>
      <c r="BPR33" s="188"/>
      <c r="BPS33" s="188"/>
      <c r="BPT33" s="188"/>
      <c r="BPU33" s="188"/>
      <c r="BPV33" s="188"/>
      <c r="BPW33" s="188"/>
      <c r="BPX33" s="188"/>
      <c r="BPY33" s="188"/>
      <c r="BPZ33" s="188"/>
      <c r="BQA33" s="188"/>
      <c r="BQB33" s="188"/>
      <c r="BQC33" s="188"/>
      <c r="BQD33" s="188"/>
      <c r="BQE33" s="188"/>
      <c r="BQF33" s="188"/>
      <c r="BQG33" s="188"/>
      <c r="BQH33" s="188"/>
      <c r="BQI33" s="188"/>
      <c r="BQJ33" s="188"/>
      <c r="BQK33" s="188"/>
      <c r="BQL33" s="188"/>
      <c r="BQM33" s="188"/>
      <c r="BQN33" s="188"/>
      <c r="BQO33" s="188"/>
      <c r="BQP33" s="188"/>
      <c r="BQQ33" s="188"/>
      <c r="BQR33" s="188"/>
      <c r="BQS33" s="188"/>
      <c r="BQT33" s="188"/>
      <c r="BQU33" s="188"/>
      <c r="BQV33" s="188"/>
      <c r="BQW33" s="188"/>
      <c r="BQX33" s="188"/>
      <c r="BQY33" s="188"/>
      <c r="BQZ33" s="188"/>
      <c r="BRA33" s="188"/>
      <c r="BRB33" s="188"/>
      <c r="BRC33" s="188"/>
      <c r="BRD33" s="188"/>
      <c r="BRE33" s="188"/>
      <c r="BRF33" s="188"/>
      <c r="BRG33" s="188"/>
      <c r="BRH33" s="188"/>
      <c r="BRI33" s="188"/>
      <c r="BRJ33" s="188"/>
      <c r="BRK33" s="188"/>
      <c r="BRL33" s="188"/>
      <c r="BRM33" s="188"/>
      <c r="BRN33" s="188"/>
      <c r="BRO33" s="188"/>
      <c r="BRP33" s="188"/>
      <c r="BRQ33" s="188"/>
      <c r="BRR33" s="188"/>
      <c r="BRS33" s="188"/>
      <c r="BRT33" s="188"/>
      <c r="BRU33" s="188"/>
      <c r="BRV33" s="188"/>
      <c r="BRW33" s="188"/>
      <c r="BRX33" s="188"/>
      <c r="BRY33" s="188"/>
      <c r="BRZ33" s="188"/>
      <c r="BSA33" s="188"/>
      <c r="BSB33" s="188"/>
      <c r="BSC33" s="188"/>
      <c r="BSD33" s="188"/>
      <c r="BSE33" s="188"/>
      <c r="BSF33" s="188"/>
      <c r="BSG33" s="188"/>
      <c r="BSH33" s="188"/>
      <c r="BSI33" s="188"/>
      <c r="BSJ33" s="188"/>
      <c r="BSK33" s="188"/>
      <c r="BSL33" s="188"/>
      <c r="BSM33" s="188"/>
      <c r="BSN33" s="188"/>
      <c r="BSO33" s="188"/>
      <c r="BSP33" s="188"/>
      <c r="BSQ33" s="188"/>
      <c r="BSR33" s="188"/>
      <c r="BSS33" s="188"/>
      <c r="BST33" s="188"/>
      <c r="BSU33" s="188"/>
      <c r="BSV33" s="188"/>
      <c r="BSW33" s="188"/>
      <c r="BSX33" s="188"/>
      <c r="BSY33" s="188"/>
      <c r="BSZ33" s="188"/>
      <c r="BTA33" s="188"/>
      <c r="BTB33" s="188"/>
      <c r="BTC33" s="188"/>
      <c r="BTD33" s="188"/>
      <c r="BTE33" s="188"/>
      <c r="BTF33" s="188"/>
      <c r="BTG33" s="188"/>
      <c r="BTH33" s="188"/>
      <c r="BTI33" s="188"/>
      <c r="BTJ33" s="188"/>
      <c r="BTK33" s="188"/>
      <c r="BTL33" s="188"/>
      <c r="BTM33" s="188"/>
      <c r="BTN33" s="188"/>
      <c r="BTO33" s="188"/>
      <c r="BTP33" s="188"/>
      <c r="BTQ33" s="188"/>
      <c r="BTR33" s="188"/>
      <c r="BTS33" s="188"/>
      <c r="BTT33" s="188"/>
      <c r="BTU33" s="188"/>
      <c r="BTV33" s="188"/>
      <c r="BTW33" s="188"/>
      <c r="BTX33" s="188"/>
      <c r="BTY33" s="188"/>
      <c r="BTZ33" s="188"/>
      <c r="BUA33" s="188"/>
      <c r="BUB33" s="188"/>
      <c r="BUC33" s="188"/>
      <c r="BUD33" s="188"/>
      <c r="BUE33" s="188"/>
      <c r="BUF33" s="188"/>
      <c r="BUG33" s="188"/>
      <c r="BUH33" s="188"/>
      <c r="BUI33" s="188"/>
      <c r="BUJ33" s="188"/>
      <c r="BUK33" s="188"/>
      <c r="BUL33" s="188"/>
      <c r="BUM33" s="188"/>
      <c r="BUN33" s="188"/>
      <c r="BUO33" s="188"/>
      <c r="BUP33" s="188"/>
      <c r="BUQ33" s="188"/>
      <c r="BUR33" s="188"/>
      <c r="BUS33" s="188"/>
      <c r="BUT33" s="188"/>
      <c r="BUU33" s="188"/>
      <c r="BUV33" s="188"/>
      <c r="BUW33" s="188"/>
      <c r="BUX33" s="188"/>
      <c r="BUY33" s="188"/>
      <c r="BUZ33" s="188"/>
      <c r="BVA33" s="188"/>
      <c r="BVB33" s="188"/>
      <c r="BVC33" s="188"/>
      <c r="BVD33" s="188"/>
      <c r="BVE33" s="188"/>
      <c r="BVF33" s="188"/>
      <c r="BVG33" s="188"/>
      <c r="BVH33" s="188"/>
      <c r="BVI33" s="188"/>
      <c r="BVJ33" s="188"/>
      <c r="BVK33" s="188"/>
      <c r="BVL33" s="188"/>
      <c r="BVM33" s="188"/>
      <c r="BVN33" s="188"/>
      <c r="BVO33" s="188"/>
      <c r="BVP33" s="188"/>
      <c r="BVQ33" s="188"/>
      <c r="BVR33" s="188"/>
      <c r="BVS33" s="188"/>
      <c r="BVT33" s="188"/>
      <c r="BVU33" s="188"/>
      <c r="BVV33" s="188"/>
      <c r="BVW33" s="188"/>
      <c r="BVX33" s="188"/>
      <c r="BVY33" s="188"/>
      <c r="BVZ33" s="188"/>
      <c r="BWA33" s="188"/>
      <c r="BWB33" s="188"/>
      <c r="BWC33" s="188"/>
      <c r="BWD33" s="188"/>
      <c r="BWE33" s="188"/>
      <c r="BWF33" s="188"/>
      <c r="BWG33" s="188"/>
      <c r="BWH33" s="188"/>
      <c r="BWI33" s="188"/>
      <c r="BWJ33" s="188"/>
      <c r="BWK33" s="188"/>
      <c r="BWL33" s="188"/>
      <c r="BWM33" s="188"/>
      <c r="BWN33" s="188"/>
      <c r="BWO33" s="188"/>
      <c r="BWP33" s="188"/>
      <c r="BWQ33" s="188"/>
      <c r="BWR33" s="188"/>
      <c r="BWS33" s="188"/>
      <c r="BWT33" s="188"/>
      <c r="BWU33" s="188"/>
      <c r="BWV33" s="188"/>
      <c r="BWW33" s="188"/>
      <c r="BWX33" s="188"/>
      <c r="BWY33" s="188"/>
      <c r="BWZ33" s="188"/>
      <c r="BXA33" s="188"/>
      <c r="BXB33" s="188"/>
      <c r="BXC33" s="188"/>
      <c r="BXD33" s="188"/>
      <c r="BXE33" s="188"/>
      <c r="BXF33" s="188"/>
      <c r="BXG33" s="188"/>
      <c r="BXH33" s="188"/>
      <c r="BXI33" s="188"/>
      <c r="BXJ33" s="188"/>
      <c r="BXK33" s="188"/>
      <c r="BXL33" s="188"/>
      <c r="BXM33" s="188"/>
      <c r="BXN33" s="188"/>
      <c r="BXO33" s="188"/>
      <c r="BXP33" s="188"/>
      <c r="BXQ33" s="188"/>
      <c r="BXR33" s="188"/>
      <c r="BXS33" s="188"/>
      <c r="BXT33" s="188"/>
      <c r="BXU33" s="188"/>
      <c r="BXV33" s="188"/>
      <c r="BXW33" s="188"/>
      <c r="BXX33" s="188"/>
      <c r="BXY33" s="188"/>
      <c r="BXZ33" s="188"/>
      <c r="BYA33" s="188"/>
      <c r="BYB33" s="188"/>
      <c r="BYC33" s="188"/>
      <c r="BYD33" s="188"/>
      <c r="BYE33" s="188"/>
      <c r="BYF33" s="188"/>
      <c r="BYG33" s="188"/>
      <c r="BYH33" s="188"/>
      <c r="BYI33" s="188"/>
      <c r="BYJ33" s="188"/>
      <c r="BYK33" s="188"/>
      <c r="BYL33" s="188"/>
      <c r="BYM33" s="188"/>
      <c r="BYN33" s="188"/>
      <c r="BYO33" s="188"/>
      <c r="BYP33" s="188"/>
      <c r="BYQ33" s="188"/>
      <c r="BYR33" s="188"/>
      <c r="BYS33" s="188"/>
      <c r="BYT33" s="188"/>
      <c r="BYU33" s="188"/>
      <c r="BYV33" s="188"/>
      <c r="BYW33" s="188"/>
      <c r="BYX33" s="188"/>
      <c r="BYY33" s="188"/>
      <c r="BYZ33" s="188"/>
      <c r="BZA33" s="188"/>
      <c r="BZB33" s="188"/>
      <c r="BZC33" s="188"/>
      <c r="BZD33" s="188"/>
      <c r="BZE33" s="188"/>
      <c r="BZF33" s="188"/>
      <c r="BZG33" s="188"/>
      <c r="BZH33" s="188"/>
      <c r="BZI33" s="188"/>
      <c r="BZJ33" s="188"/>
      <c r="BZK33" s="188"/>
      <c r="BZL33" s="188"/>
      <c r="BZM33" s="188"/>
      <c r="BZN33" s="188"/>
      <c r="BZO33" s="188"/>
      <c r="BZP33" s="188"/>
      <c r="BZQ33" s="188"/>
      <c r="BZR33" s="188"/>
      <c r="BZS33" s="188"/>
      <c r="BZT33" s="188"/>
      <c r="BZU33" s="188"/>
      <c r="BZV33" s="188"/>
      <c r="BZW33" s="188"/>
      <c r="BZX33" s="188"/>
      <c r="BZY33" s="188"/>
      <c r="BZZ33" s="188"/>
      <c r="CAA33" s="188"/>
      <c r="CAB33" s="188"/>
      <c r="CAC33" s="188"/>
      <c r="CAD33" s="188"/>
      <c r="CAE33" s="188"/>
      <c r="CAF33" s="188"/>
      <c r="CAG33" s="188"/>
      <c r="CAH33" s="188"/>
      <c r="CAI33" s="188"/>
      <c r="CAJ33" s="188"/>
      <c r="CAK33" s="188"/>
      <c r="CAL33" s="188"/>
      <c r="CAM33" s="188"/>
      <c r="CAN33" s="188"/>
      <c r="CAO33" s="188"/>
      <c r="CAP33" s="188"/>
      <c r="CAQ33" s="188"/>
      <c r="CAR33" s="188"/>
      <c r="CAS33" s="188"/>
      <c r="CAT33" s="188"/>
      <c r="CAU33" s="188"/>
      <c r="CAV33" s="188"/>
      <c r="CAW33" s="188"/>
      <c r="CAX33" s="188"/>
      <c r="CAY33" s="188"/>
      <c r="CAZ33" s="188"/>
      <c r="CBA33" s="188"/>
      <c r="CBB33" s="188"/>
      <c r="CBC33" s="188"/>
      <c r="CBD33" s="188"/>
      <c r="CBE33" s="188"/>
      <c r="CBF33" s="188"/>
      <c r="CBG33" s="188"/>
      <c r="CBH33" s="188"/>
      <c r="CBI33" s="188"/>
      <c r="CBJ33" s="188"/>
      <c r="CBK33" s="188"/>
      <c r="CBL33" s="188"/>
      <c r="CBM33" s="188"/>
      <c r="CBN33" s="188"/>
      <c r="CBO33" s="188"/>
      <c r="CBP33" s="188"/>
      <c r="CBQ33" s="188"/>
      <c r="CBR33" s="188"/>
      <c r="CBS33" s="188"/>
      <c r="CBT33" s="188"/>
      <c r="CBU33" s="188"/>
      <c r="CBV33" s="188"/>
      <c r="CBW33" s="188"/>
      <c r="CBX33" s="188"/>
      <c r="CBY33" s="188"/>
      <c r="CBZ33" s="188"/>
      <c r="CCA33" s="188"/>
      <c r="CCB33" s="188"/>
      <c r="CCC33" s="188"/>
      <c r="CCD33" s="188"/>
      <c r="CCE33" s="188"/>
      <c r="CCF33" s="188"/>
      <c r="CCG33" s="188"/>
      <c r="CCH33" s="188"/>
      <c r="CCI33" s="188"/>
      <c r="CCJ33" s="188"/>
      <c r="CCK33" s="188"/>
      <c r="CCL33" s="188"/>
      <c r="CCM33" s="188"/>
      <c r="CCN33" s="188"/>
      <c r="CCO33" s="188"/>
      <c r="CCP33" s="188"/>
      <c r="CCQ33" s="188"/>
      <c r="CCR33" s="188"/>
      <c r="CCS33" s="188"/>
      <c r="CCT33" s="188"/>
      <c r="CCU33" s="188"/>
      <c r="CCV33" s="188"/>
      <c r="CCW33" s="188"/>
      <c r="CCX33" s="188"/>
      <c r="CCY33" s="188"/>
      <c r="CCZ33" s="188"/>
      <c r="CDA33" s="188"/>
      <c r="CDB33" s="188"/>
      <c r="CDC33" s="188"/>
      <c r="CDD33" s="188"/>
      <c r="CDE33" s="188"/>
      <c r="CDF33" s="188"/>
      <c r="CDG33" s="188"/>
      <c r="CDH33" s="188"/>
      <c r="CDI33" s="188"/>
      <c r="CDJ33" s="188"/>
      <c r="CDK33" s="188"/>
      <c r="CDL33" s="188"/>
      <c r="CDM33" s="188"/>
      <c r="CDN33" s="188"/>
      <c r="CDO33" s="188"/>
      <c r="CDP33" s="188"/>
      <c r="CDQ33" s="188"/>
      <c r="CDR33" s="188"/>
      <c r="CDS33" s="188"/>
      <c r="CDT33" s="188"/>
      <c r="CDU33" s="188"/>
      <c r="CDV33" s="188"/>
      <c r="CDW33" s="188"/>
      <c r="CDX33" s="188"/>
      <c r="CDY33" s="188"/>
      <c r="CDZ33" s="188"/>
      <c r="CEA33" s="188"/>
      <c r="CEB33" s="188"/>
      <c r="CEC33" s="188"/>
      <c r="CED33" s="188"/>
      <c r="CEE33" s="188"/>
      <c r="CEF33" s="188"/>
      <c r="CEG33" s="188"/>
      <c r="CEH33" s="188"/>
      <c r="CEI33" s="188"/>
      <c r="CEJ33" s="188"/>
      <c r="CEK33" s="188"/>
      <c r="CEL33" s="188"/>
      <c r="CEM33" s="188"/>
      <c r="CEN33" s="188"/>
      <c r="CEO33" s="188"/>
      <c r="CEP33" s="188"/>
      <c r="CEQ33" s="188"/>
      <c r="CER33" s="188"/>
      <c r="CES33" s="188"/>
      <c r="CET33" s="188"/>
      <c r="CEU33" s="188"/>
      <c r="CEV33" s="188"/>
      <c r="CEW33" s="188"/>
      <c r="CEX33" s="188"/>
      <c r="CEY33" s="188"/>
      <c r="CEZ33" s="188"/>
      <c r="CFA33" s="188"/>
      <c r="CFB33" s="188"/>
      <c r="CFC33" s="188"/>
      <c r="CFD33" s="188"/>
      <c r="CFE33" s="188"/>
      <c r="CFF33" s="188"/>
      <c r="CFG33" s="188"/>
      <c r="CFH33" s="188"/>
      <c r="CFI33" s="188"/>
      <c r="CFJ33" s="188"/>
      <c r="CFK33" s="188"/>
      <c r="CFL33" s="188"/>
      <c r="CFM33" s="188"/>
      <c r="CFN33" s="188"/>
      <c r="CFO33" s="188"/>
      <c r="CFP33" s="188"/>
      <c r="CFQ33" s="188"/>
      <c r="CFR33" s="188"/>
      <c r="CFS33" s="188"/>
      <c r="CFT33" s="188"/>
      <c r="CFU33" s="188"/>
      <c r="CFV33" s="188"/>
      <c r="CFW33" s="188"/>
      <c r="CFX33" s="188"/>
      <c r="CFY33" s="188"/>
      <c r="CFZ33" s="188"/>
      <c r="CGA33" s="188"/>
      <c r="CGB33" s="188"/>
      <c r="CGC33" s="188"/>
      <c r="CGD33" s="188"/>
      <c r="CGE33" s="188"/>
      <c r="CGF33" s="188"/>
      <c r="CGG33" s="188"/>
      <c r="CGH33" s="188"/>
      <c r="CGI33" s="188"/>
      <c r="CGJ33" s="188"/>
      <c r="CGK33" s="188"/>
      <c r="CGL33" s="188"/>
      <c r="CGM33" s="188"/>
      <c r="CGN33" s="188"/>
      <c r="CGO33" s="188"/>
      <c r="CGP33" s="188"/>
      <c r="CGQ33" s="188"/>
      <c r="CGR33" s="188"/>
      <c r="CGS33" s="188"/>
      <c r="CGT33" s="188"/>
      <c r="CGU33" s="188"/>
      <c r="CGV33" s="188"/>
      <c r="CGW33" s="188"/>
      <c r="CGX33" s="188"/>
      <c r="CGY33" s="188"/>
      <c r="CGZ33" s="188"/>
      <c r="CHA33" s="188"/>
      <c r="CHB33" s="188"/>
      <c r="CHC33" s="188"/>
      <c r="CHD33" s="188"/>
      <c r="CHE33" s="188"/>
      <c r="CHF33" s="188"/>
      <c r="CHG33" s="188"/>
      <c r="CHH33" s="188"/>
      <c r="CHI33" s="188"/>
      <c r="CHJ33" s="188"/>
      <c r="CHK33" s="188"/>
      <c r="CHL33" s="188"/>
      <c r="CHM33" s="188"/>
      <c r="CHN33" s="188"/>
      <c r="CHO33" s="188"/>
      <c r="CHP33" s="188"/>
      <c r="CHQ33" s="188"/>
      <c r="CHR33" s="188"/>
      <c r="CHS33" s="188"/>
      <c r="CHT33" s="188"/>
      <c r="CHU33" s="188"/>
      <c r="CHV33" s="188"/>
      <c r="CHW33" s="188"/>
      <c r="CHX33" s="188"/>
      <c r="CHY33" s="188"/>
      <c r="CHZ33" s="188"/>
      <c r="CIA33" s="188"/>
      <c r="CIB33" s="188"/>
      <c r="CIC33" s="188"/>
      <c r="CID33" s="188"/>
      <c r="CIE33" s="188"/>
      <c r="CIF33" s="188"/>
      <c r="CIG33" s="188"/>
      <c r="CIH33" s="188"/>
      <c r="CII33" s="188"/>
      <c r="CIJ33" s="188"/>
      <c r="CIK33" s="188"/>
      <c r="CIL33" s="188"/>
      <c r="CIM33" s="188"/>
      <c r="CIN33" s="188"/>
      <c r="CIO33" s="188"/>
      <c r="CIP33" s="188"/>
      <c r="CIQ33" s="188"/>
      <c r="CIR33" s="188"/>
      <c r="CIS33" s="188"/>
      <c r="CIT33" s="188"/>
      <c r="CIU33" s="188"/>
      <c r="CIV33" s="188"/>
      <c r="CIW33" s="188"/>
      <c r="CIX33" s="188"/>
      <c r="CIY33" s="188"/>
      <c r="CIZ33" s="188"/>
      <c r="CJA33" s="188"/>
      <c r="CJB33" s="188"/>
      <c r="CJC33" s="188"/>
      <c r="CJD33" s="188"/>
      <c r="CJE33" s="188"/>
      <c r="CJF33" s="188"/>
      <c r="CJG33" s="188"/>
      <c r="CJH33" s="188"/>
      <c r="CJI33" s="188"/>
      <c r="CJJ33" s="188"/>
      <c r="CJK33" s="188"/>
      <c r="CJL33" s="188"/>
      <c r="CJM33" s="188"/>
      <c r="CJN33" s="188"/>
      <c r="CJO33" s="188"/>
      <c r="CJP33" s="188"/>
      <c r="CJQ33" s="188"/>
      <c r="CJR33" s="188"/>
      <c r="CJS33" s="188"/>
      <c r="CJT33" s="188"/>
      <c r="CJU33" s="188"/>
      <c r="CJV33" s="188"/>
      <c r="CJW33" s="188"/>
      <c r="CJX33" s="188"/>
      <c r="CJY33" s="188"/>
      <c r="CJZ33" s="188"/>
      <c r="CKA33" s="188"/>
      <c r="CKB33" s="188"/>
      <c r="CKC33" s="188"/>
      <c r="CKD33" s="188"/>
      <c r="CKE33" s="188"/>
      <c r="CKF33" s="188"/>
      <c r="CKG33" s="188"/>
      <c r="CKH33" s="188"/>
      <c r="CKI33" s="188"/>
      <c r="CKJ33" s="188"/>
      <c r="CKK33" s="188"/>
      <c r="CKL33" s="188"/>
      <c r="CKM33" s="188"/>
      <c r="CKN33" s="188"/>
      <c r="CKO33" s="188"/>
      <c r="CKP33" s="188"/>
      <c r="CKQ33" s="188"/>
      <c r="CKR33" s="188"/>
      <c r="CKS33" s="188"/>
      <c r="CKT33" s="188"/>
      <c r="CKU33" s="188"/>
      <c r="CKV33" s="188"/>
      <c r="CKW33" s="188"/>
      <c r="CKX33" s="188"/>
      <c r="CKY33" s="188"/>
      <c r="CKZ33" s="188"/>
      <c r="CLA33" s="188"/>
      <c r="CLB33" s="188"/>
      <c r="CLC33" s="188"/>
      <c r="CLD33" s="188"/>
      <c r="CLE33" s="188"/>
      <c r="CLF33" s="188"/>
      <c r="CLG33" s="188"/>
      <c r="CLH33" s="188"/>
      <c r="CLI33" s="188"/>
      <c r="CLJ33" s="188"/>
      <c r="CLK33" s="188"/>
      <c r="CLL33" s="188"/>
      <c r="CLM33" s="188"/>
      <c r="CLN33" s="188"/>
      <c r="CLO33" s="188"/>
      <c r="CLP33" s="188"/>
      <c r="CLQ33" s="188"/>
      <c r="CLR33" s="188"/>
      <c r="CLS33" s="188"/>
      <c r="CLT33" s="188"/>
      <c r="CLU33" s="188"/>
      <c r="CLV33" s="188"/>
      <c r="CLW33" s="188"/>
      <c r="CLX33" s="188"/>
      <c r="CLY33" s="188"/>
      <c r="CLZ33" s="188"/>
      <c r="CMA33" s="188"/>
      <c r="CMB33" s="188"/>
      <c r="CMC33" s="188"/>
      <c r="CMD33" s="188"/>
      <c r="CME33" s="188"/>
      <c r="CMF33" s="188"/>
      <c r="CMG33" s="188"/>
      <c r="CMH33" s="188"/>
      <c r="CMI33" s="188"/>
      <c r="CMJ33" s="188"/>
      <c r="CMK33" s="188"/>
      <c r="CML33" s="188"/>
      <c r="CMM33" s="188"/>
      <c r="CMN33" s="188"/>
      <c r="CMO33" s="188"/>
      <c r="CMP33" s="188"/>
      <c r="CMQ33" s="188"/>
      <c r="CMR33" s="188"/>
      <c r="CMS33" s="188"/>
      <c r="CMT33" s="188"/>
      <c r="CMU33" s="188"/>
      <c r="CMV33" s="188"/>
      <c r="CMW33" s="188"/>
      <c r="CMX33" s="188"/>
      <c r="CMY33" s="188"/>
      <c r="CMZ33" s="188"/>
      <c r="CNA33" s="188"/>
      <c r="CNB33" s="188"/>
      <c r="CNC33" s="188"/>
      <c r="CND33" s="188"/>
      <c r="CNE33" s="188"/>
      <c r="CNF33" s="188"/>
      <c r="CNG33" s="188"/>
      <c r="CNH33" s="188"/>
      <c r="CNI33" s="188"/>
      <c r="CNJ33" s="188"/>
      <c r="CNK33" s="188"/>
      <c r="CNL33" s="188"/>
      <c r="CNM33" s="188"/>
      <c r="CNN33" s="188"/>
      <c r="CNO33" s="188"/>
      <c r="CNP33" s="188"/>
      <c r="CNQ33" s="188"/>
      <c r="CNR33" s="188"/>
      <c r="CNS33" s="188"/>
      <c r="CNT33" s="188"/>
      <c r="CNU33" s="188"/>
      <c r="CNV33" s="188"/>
      <c r="CNW33" s="188"/>
      <c r="CNX33" s="188"/>
      <c r="CNY33" s="188"/>
      <c r="CNZ33" s="188"/>
      <c r="COA33" s="188"/>
      <c r="COB33" s="188"/>
      <c r="COC33" s="188"/>
      <c r="COD33" s="188"/>
      <c r="COE33" s="188"/>
      <c r="COF33" s="188"/>
      <c r="COG33" s="188"/>
      <c r="COH33" s="188"/>
      <c r="COI33" s="188"/>
      <c r="COJ33" s="188"/>
      <c r="COK33" s="188"/>
      <c r="COL33" s="188"/>
      <c r="COM33" s="188"/>
      <c r="CON33" s="188"/>
      <c r="COO33" s="188"/>
      <c r="COP33" s="188"/>
      <c r="COQ33" s="188"/>
      <c r="COR33" s="188"/>
      <c r="COS33" s="188"/>
      <c r="COT33" s="188"/>
      <c r="COU33" s="188"/>
      <c r="COV33" s="188"/>
      <c r="COW33" s="188"/>
      <c r="COX33" s="188"/>
      <c r="COY33" s="188"/>
      <c r="COZ33" s="188"/>
      <c r="CPA33" s="188"/>
      <c r="CPB33" s="188"/>
      <c r="CPC33" s="188"/>
      <c r="CPD33" s="188"/>
      <c r="CPE33" s="188"/>
      <c r="CPF33" s="188"/>
      <c r="CPG33" s="188"/>
      <c r="CPH33" s="188"/>
      <c r="CPI33" s="188"/>
      <c r="CPJ33" s="188"/>
      <c r="CPK33" s="188"/>
      <c r="CPL33" s="188"/>
      <c r="CPM33" s="188"/>
      <c r="CPN33" s="188"/>
      <c r="CPO33" s="188"/>
      <c r="CPP33" s="188"/>
      <c r="CPQ33" s="188"/>
      <c r="CPR33" s="188"/>
      <c r="CPS33" s="188"/>
      <c r="CPT33" s="188"/>
      <c r="CPU33" s="188"/>
      <c r="CPV33" s="188"/>
      <c r="CPW33" s="188"/>
      <c r="CPX33" s="188"/>
      <c r="CPY33" s="188"/>
      <c r="CPZ33" s="188"/>
      <c r="CQA33" s="188"/>
      <c r="CQB33" s="188"/>
      <c r="CQC33" s="188"/>
      <c r="CQD33" s="188"/>
      <c r="CQE33" s="188"/>
      <c r="CQF33" s="188"/>
      <c r="CQG33" s="188"/>
      <c r="CQH33" s="188"/>
      <c r="CQI33" s="188"/>
      <c r="CQJ33" s="188"/>
      <c r="CQK33" s="188"/>
      <c r="CQL33" s="188"/>
      <c r="CQM33" s="188"/>
      <c r="CQN33" s="188"/>
      <c r="CQO33" s="188"/>
      <c r="CQP33" s="188"/>
      <c r="CQQ33" s="188"/>
      <c r="CQR33" s="188"/>
      <c r="CQS33" s="188"/>
      <c r="CQT33" s="188"/>
      <c r="CQU33" s="188"/>
      <c r="CQV33" s="188"/>
      <c r="CQW33" s="188"/>
      <c r="CQX33" s="188"/>
      <c r="CQY33" s="188"/>
      <c r="CQZ33" s="188"/>
      <c r="CRA33" s="188"/>
      <c r="CRB33" s="188"/>
      <c r="CRC33" s="188"/>
      <c r="CRD33" s="188"/>
      <c r="CRE33" s="188"/>
      <c r="CRF33" s="188"/>
      <c r="CRG33" s="188"/>
      <c r="CRH33" s="188"/>
      <c r="CRI33" s="188"/>
      <c r="CRJ33" s="188"/>
      <c r="CRK33" s="188"/>
      <c r="CRL33" s="188"/>
      <c r="CRM33" s="188"/>
      <c r="CRN33" s="188"/>
      <c r="CRO33" s="188"/>
      <c r="CRP33" s="188"/>
      <c r="CRQ33" s="188"/>
      <c r="CRR33" s="188"/>
      <c r="CRS33" s="188"/>
      <c r="CRT33" s="188"/>
      <c r="CRU33" s="188"/>
      <c r="CRV33" s="188"/>
      <c r="CRW33" s="188"/>
      <c r="CRX33" s="188"/>
      <c r="CRY33" s="188"/>
      <c r="CRZ33" s="188"/>
      <c r="CSA33" s="188"/>
      <c r="CSB33" s="188"/>
      <c r="CSC33" s="188"/>
      <c r="CSD33" s="188"/>
      <c r="CSE33" s="188"/>
      <c r="CSF33" s="188"/>
      <c r="CSG33" s="188"/>
      <c r="CSH33" s="188"/>
      <c r="CSI33" s="188"/>
      <c r="CSJ33" s="188"/>
      <c r="CSK33" s="188"/>
      <c r="CSL33" s="188"/>
      <c r="CSM33" s="188"/>
      <c r="CSN33" s="188"/>
      <c r="CSO33" s="188"/>
      <c r="CSP33" s="188"/>
      <c r="CSQ33" s="188"/>
      <c r="CSR33" s="188"/>
      <c r="CSS33" s="188"/>
      <c r="CST33" s="188"/>
      <c r="CSU33" s="188"/>
      <c r="CSV33" s="188"/>
      <c r="CSW33" s="188"/>
      <c r="CSX33" s="188"/>
      <c r="CSY33" s="188"/>
      <c r="CSZ33" s="188"/>
      <c r="CTA33" s="188"/>
      <c r="CTB33" s="188"/>
      <c r="CTC33" s="188"/>
      <c r="CTD33" s="188"/>
      <c r="CTE33" s="188"/>
      <c r="CTF33" s="188"/>
      <c r="CTG33" s="188"/>
      <c r="CTH33" s="188"/>
      <c r="CTI33" s="188"/>
      <c r="CTJ33" s="188"/>
      <c r="CTK33" s="188"/>
      <c r="CTL33" s="188"/>
      <c r="CTM33" s="188"/>
      <c r="CTN33" s="188"/>
      <c r="CTO33" s="188"/>
      <c r="CTP33" s="188"/>
      <c r="CTQ33" s="188"/>
      <c r="CTR33" s="188"/>
      <c r="CTS33" s="188"/>
      <c r="CTT33" s="188"/>
      <c r="CTU33" s="188"/>
      <c r="CTV33" s="188"/>
      <c r="CTW33" s="188"/>
      <c r="CTX33" s="188"/>
      <c r="CTY33" s="188"/>
      <c r="CTZ33" s="188"/>
      <c r="CUA33" s="188"/>
    </row>
    <row r="34" s="190" customFormat="1" spans="1:1024 1025:2575">
      <c r="A34" s="216" t="s">
        <v>32</v>
      </c>
      <c r="B34" s="84" t="s">
        <v>50</v>
      </c>
      <c r="C34" s="217">
        <f t="shared" si="26"/>
        <v>45475</v>
      </c>
      <c r="D34" s="218">
        <f t="shared" si="22"/>
        <v>45481</v>
      </c>
      <c r="E34" s="219">
        <v>1288</v>
      </c>
      <c r="F34" s="220">
        <f t="shared" si="27"/>
        <v>45495</v>
      </c>
      <c r="G34" s="219">
        <v>1100</v>
      </c>
      <c r="H34" s="54">
        <f t="shared" si="10"/>
        <v>0.854037267080745</v>
      </c>
      <c r="I34" s="218">
        <f t="shared" si="24"/>
        <v>45512</v>
      </c>
      <c r="J34" s="219">
        <v>1015</v>
      </c>
      <c r="K34" s="54">
        <f t="shared" si="0"/>
        <v>0.78804347826087</v>
      </c>
      <c r="L34" s="218">
        <f t="shared" si="25"/>
        <v>45515</v>
      </c>
      <c r="M34" s="219">
        <v>950</v>
      </c>
      <c r="N34" s="219">
        <v>6200</v>
      </c>
      <c r="O34" s="54">
        <f t="shared" si="1"/>
        <v>0.737577639751553</v>
      </c>
      <c r="P34" s="54">
        <f t="shared" si="7"/>
        <v>0.116459627329193</v>
      </c>
      <c r="Q34" s="221">
        <f t="shared" si="2"/>
        <v>6.52631578947368</v>
      </c>
      <c r="R34" s="218">
        <f t="shared" si="18"/>
        <v>45547</v>
      </c>
      <c r="S34" s="203">
        <v>5840</v>
      </c>
      <c r="T34" s="84">
        <v>800</v>
      </c>
      <c r="U34" s="54">
        <f t="shared" si="3"/>
        <v>0.941935483870968</v>
      </c>
      <c r="V34" s="218">
        <f t="shared" si="19"/>
        <v>45582</v>
      </c>
      <c r="W34" s="203">
        <v>5308</v>
      </c>
      <c r="X34" s="54">
        <f t="shared" si="4"/>
        <v>0.908904109589041</v>
      </c>
      <c r="Y34" s="84">
        <v>10902</v>
      </c>
      <c r="Z34" s="203">
        <v>16.4</v>
      </c>
      <c r="AA34" s="8">
        <f>Y34/W34</f>
        <v>2.05388093443858</v>
      </c>
      <c r="AB34" s="8">
        <f t="shared" si="5"/>
        <v>4.12111801242236</v>
      </c>
      <c r="AC34" s="8">
        <v>3.47</v>
      </c>
      <c r="AD34" s="8">
        <v>3.42</v>
      </c>
      <c r="AE34" s="8">
        <v>56</v>
      </c>
      <c r="AF34" s="203"/>
      <c r="AG34" s="194"/>
      <c r="AH34" s="224"/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225"/>
      <c r="CB34" s="225"/>
      <c r="CC34" s="225"/>
      <c r="CD34" s="225"/>
      <c r="CE34" s="225"/>
      <c r="CF34" s="225"/>
      <c r="CG34" s="225"/>
      <c r="CH34" s="225"/>
      <c r="CI34" s="225"/>
      <c r="CJ34" s="225"/>
      <c r="CK34" s="225"/>
      <c r="CL34" s="225"/>
      <c r="CM34" s="225"/>
      <c r="CN34" s="225"/>
      <c r="CO34" s="225"/>
      <c r="CP34" s="225"/>
      <c r="CQ34" s="225"/>
      <c r="CR34" s="225"/>
      <c r="CS34" s="225"/>
      <c r="CT34" s="225"/>
      <c r="CU34" s="225"/>
      <c r="CV34" s="225"/>
      <c r="CW34" s="225"/>
      <c r="CX34" s="225"/>
      <c r="CY34" s="225"/>
      <c r="CZ34" s="225"/>
      <c r="DA34" s="225"/>
      <c r="DB34" s="225"/>
      <c r="DC34" s="225"/>
      <c r="DD34" s="225"/>
      <c r="DE34" s="225"/>
      <c r="DF34" s="225"/>
      <c r="DG34" s="225"/>
      <c r="DH34" s="225"/>
      <c r="DI34" s="225"/>
      <c r="DJ34" s="225"/>
      <c r="DK34" s="225"/>
      <c r="DL34" s="225"/>
      <c r="DM34" s="225"/>
      <c r="DN34" s="225"/>
      <c r="DO34" s="225"/>
      <c r="DP34" s="225"/>
      <c r="DQ34" s="225"/>
      <c r="DR34" s="225"/>
      <c r="DS34" s="225"/>
      <c r="DT34" s="225"/>
      <c r="DU34" s="225"/>
      <c r="DV34" s="225"/>
      <c r="DW34" s="225"/>
      <c r="DX34" s="225"/>
      <c r="DY34" s="225"/>
      <c r="DZ34" s="225"/>
      <c r="EA34" s="225"/>
      <c r="EB34" s="225"/>
      <c r="EC34" s="225"/>
      <c r="ED34" s="225"/>
      <c r="EE34" s="225"/>
      <c r="EF34" s="225"/>
      <c r="EG34" s="225"/>
      <c r="EH34" s="225"/>
      <c r="EI34" s="225"/>
      <c r="EJ34" s="225"/>
      <c r="EK34" s="225"/>
      <c r="EL34" s="225"/>
      <c r="EM34" s="225"/>
      <c r="EN34" s="225"/>
      <c r="EO34" s="225"/>
      <c r="EP34" s="225"/>
      <c r="EQ34" s="225"/>
      <c r="ER34" s="225"/>
      <c r="ES34" s="225"/>
      <c r="ET34" s="225"/>
      <c r="EU34" s="225"/>
      <c r="EV34" s="225"/>
      <c r="EW34" s="225"/>
      <c r="EX34" s="225"/>
      <c r="EY34" s="225"/>
      <c r="EZ34" s="225"/>
      <c r="FA34" s="225"/>
      <c r="FB34" s="225"/>
      <c r="FC34" s="225"/>
      <c r="FD34" s="225"/>
      <c r="FE34" s="225"/>
      <c r="FF34" s="225"/>
      <c r="FG34" s="225"/>
      <c r="FH34" s="225"/>
      <c r="FI34" s="225"/>
      <c r="FJ34" s="225"/>
      <c r="FK34" s="225"/>
      <c r="FL34" s="225"/>
      <c r="FM34" s="225"/>
      <c r="FN34" s="225"/>
      <c r="FO34" s="225"/>
      <c r="FP34" s="225"/>
      <c r="FQ34" s="225"/>
      <c r="FR34" s="225"/>
      <c r="FS34" s="225"/>
      <c r="FT34" s="225"/>
      <c r="FU34" s="225"/>
      <c r="FV34" s="225"/>
      <c r="FW34" s="225"/>
      <c r="FX34" s="225"/>
      <c r="FY34" s="225"/>
      <c r="FZ34" s="225"/>
      <c r="GA34" s="225"/>
      <c r="GB34" s="225"/>
      <c r="GC34" s="225"/>
      <c r="GD34" s="225"/>
      <c r="GE34" s="225"/>
      <c r="GF34" s="225"/>
      <c r="GG34" s="225"/>
      <c r="GH34" s="225"/>
      <c r="GI34" s="225"/>
      <c r="GJ34" s="225"/>
      <c r="GK34" s="225"/>
      <c r="GL34" s="225"/>
      <c r="GM34" s="225"/>
      <c r="GN34" s="225"/>
      <c r="GO34" s="225"/>
      <c r="GP34" s="225"/>
      <c r="GQ34" s="225"/>
      <c r="GR34" s="225"/>
      <c r="GS34" s="225"/>
      <c r="GT34" s="225"/>
      <c r="GU34" s="225"/>
      <c r="GV34" s="225"/>
      <c r="GW34" s="225"/>
      <c r="GX34" s="225"/>
      <c r="GY34" s="225"/>
      <c r="GZ34" s="225"/>
      <c r="HA34" s="225"/>
      <c r="HB34" s="225"/>
      <c r="HC34" s="225"/>
      <c r="HD34" s="225"/>
      <c r="HE34" s="225"/>
      <c r="HF34" s="225"/>
      <c r="HG34" s="225"/>
      <c r="HH34" s="225"/>
      <c r="HI34" s="225"/>
      <c r="HJ34" s="225"/>
      <c r="HK34" s="225"/>
      <c r="HL34" s="225"/>
      <c r="HM34" s="225"/>
      <c r="HN34" s="225"/>
      <c r="HO34" s="225"/>
      <c r="HP34" s="225"/>
      <c r="HQ34" s="225"/>
      <c r="HR34" s="225"/>
      <c r="HS34" s="225"/>
      <c r="HT34" s="225"/>
      <c r="HU34" s="225"/>
      <c r="HV34" s="225"/>
      <c r="HW34" s="225"/>
      <c r="HX34" s="225"/>
      <c r="HY34" s="225"/>
      <c r="HZ34" s="225"/>
      <c r="IA34" s="225"/>
      <c r="IB34" s="225"/>
      <c r="IC34" s="225"/>
      <c r="ID34" s="225"/>
      <c r="IE34" s="225"/>
      <c r="IF34" s="225"/>
      <c r="IG34" s="225"/>
      <c r="IH34" s="225"/>
      <c r="II34" s="225"/>
      <c r="IJ34" s="225"/>
      <c r="IK34" s="225"/>
      <c r="IL34" s="225"/>
      <c r="IM34" s="225"/>
      <c r="IN34" s="225"/>
      <c r="IO34" s="225"/>
      <c r="IP34" s="225"/>
      <c r="IQ34" s="225"/>
      <c r="IR34" s="225"/>
      <c r="IS34" s="225"/>
      <c r="IT34" s="225"/>
      <c r="IU34" s="225"/>
      <c r="IV34" s="225"/>
      <c r="IW34" s="225"/>
      <c r="IX34" s="225"/>
      <c r="IY34" s="225"/>
      <c r="IZ34" s="225"/>
      <c r="JA34" s="225"/>
      <c r="JB34" s="225"/>
      <c r="JC34" s="225"/>
      <c r="JD34" s="225"/>
      <c r="JE34" s="225"/>
      <c r="JF34" s="225"/>
      <c r="JG34" s="225"/>
      <c r="JH34" s="225"/>
      <c r="JI34" s="225"/>
      <c r="JJ34" s="225"/>
      <c r="JK34" s="225"/>
      <c r="JL34" s="225"/>
      <c r="JM34" s="225"/>
      <c r="JN34" s="225"/>
      <c r="JO34" s="225"/>
      <c r="JP34" s="225"/>
      <c r="JQ34" s="225"/>
      <c r="JR34" s="225"/>
      <c r="JS34" s="225"/>
      <c r="JT34" s="225"/>
      <c r="JU34" s="225"/>
      <c r="JV34" s="225"/>
      <c r="JW34" s="225"/>
      <c r="JX34" s="225"/>
      <c r="JY34" s="225"/>
      <c r="JZ34" s="225"/>
      <c r="KA34" s="225"/>
      <c r="KB34" s="225"/>
      <c r="KC34" s="225"/>
      <c r="KD34" s="225"/>
      <c r="KE34" s="225"/>
      <c r="KF34" s="225"/>
      <c r="KG34" s="225"/>
      <c r="KH34" s="225"/>
      <c r="KI34" s="225"/>
      <c r="KJ34" s="225"/>
      <c r="KK34" s="225"/>
      <c r="KL34" s="225"/>
      <c r="KM34" s="225"/>
      <c r="KN34" s="225"/>
      <c r="KO34" s="225"/>
      <c r="KP34" s="225"/>
      <c r="KQ34" s="225"/>
      <c r="KR34" s="225"/>
      <c r="KS34" s="225"/>
      <c r="KT34" s="225"/>
      <c r="KU34" s="225"/>
      <c r="KV34" s="225"/>
      <c r="KW34" s="225"/>
      <c r="KX34" s="225"/>
      <c r="KY34" s="225"/>
      <c r="KZ34" s="225"/>
      <c r="LA34" s="225"/>
      <c r="LB34" s="225"/>
      <c r="LC34" s="225"/>
      <c r="LD34" s="225"/>
      <c r="LE34" s="225"/>
      <c r="LF34" s="225"/>
      <c r="LG34" s="225"/>
      <c r="LH34" s="225"/>
      <c r="LI34" s="225"/>
      <c r="LJ34" s="225"/>
      <c r="LK34" s="225"/>
      <c r="LL34" s="225"/>
      <c r="LM34" s="225"/>
      <c r="LN34" s="225"/>
      <c r="LO34" s="225"/>
      <c r="LP34" s="225"/>
      <c r="LQ34" s="225"/>
      <c r="LR34" s="225"/>
      <c r="LS34" s="225"/>
      <c r="LT34" s="225"/>
      <c r="LU34" s="225"/>
      <c r="LV34" s="225"/>
      <c r="LW34" s="225"/>
      <c r="LX34" s="225"/>
      <c r="LY34" s="225"/>
      <c r="LZ34" s="225"/>
      <c r="MA34" s="225"/>
      <c r="MB34" s="225"/>
      <c r="MC34" s="225"/>
      <c r="MD34" s="225"/>
      <c r="ME34" s="225"/>
      <c r="MF34" s="225"/>
      <c r="MG34" s="225"/>
      <c r="MH34" s="225"/>
      <c r="MI34" s="225"/>
      <c r="MJ34" s="225"/>
      <c r="MK34" s="225"/>
      <c r="ML34" s="225"/>
      <c r="MM34" s="225"/>
      <c r="MN34" s="225"/>
      <c r="MO34" s="225"/>
      <c r="MP34" s="225"/>
      <c r="MQ34" s="225"/>
      <c r="MR34" s="225"/>
      <c r="MS34" s="225"/>
      <c r="MT34" s="225"/>
      <c r="MU34" s="225"/>
      <c r="MV34" s="225"/>
      <c r="MW34" s="225"/>
      <c r="MX34" s="225"/>
      <c r="MY34" s="225"/>
      <c r="MZ34" s="225"/>
      <c r="NA34" s="225"/>
      <c r="NB34" s="225"/>
      <c r="NC34" s="225"/>
      <c r="ND34" s="225"/>
      <c r="NE34" s="225"/>
      <c r="NF34" s="225"/>
      <c r="NG34" s="225"/>
      <c r="NH34" s="225"/>
      <c r="NI34" s="225"/>
      <c r="NJ34" s="225"/>
      <c r="NK34" s="225"/>
      <c r="NL34" s="225"/>
      <c r="NM34" s="225"/>
      <c r="NN34" s="225"/>
      <c r="NO34" s="225"/>
      <c r="NP34" s="225"/>
      <c r="NQ34" s="225"/>
      <c r="NR34" s="225"/>
      <c r="NS34" s="225"/>
      <c r="NT34" s="225"/>
      <c r="NU34" s="225"/>
      <c r="NV34" s="225"/>
      <c r="NW34" s="225"/>
      <c r="NX34" s="225"/>
      <c r="NY34" s="225"/>
      <c r="NZ34" s="225"/>
      <c r="OA34" s="225"/>
      <c r="OB34" s="225"/>
      <c r="OC34" s="225"/>
      <c r="OD34" s="225"/>
      <c r="OE34" s="225"/>
      <c r="OF34" s="225"/>
      <c r="OG34" s="225"/>
      <c r="OH34" s="225"/>
      <c r="OI34" s="225"/>
      <c r="OJ34" s="225"/>
      <c r="OK34" s="225"/>
      <c r="OL34" s="225"/>
      <c r="OM34" s="225"/>
      <c r="ON34" s="225"/>
      <c r="OO34" s="225"/>
      <c r="OP34" s="225"/>
      <c r="OQ34" s="225"/>
      <c r="OR34" s="225"/>
      <c r="OS34" s="225"/>
      <c r="OT34" s="225"/>
      <c r="OU34" s="225"/>
      <c r="OV34" s="225"/>
      <c r="OW34" s="225"/>
      <c r="OX34" s="225"/>
      <c r="OY34" s="225"/>
      <c r="OZ34" s="225"/>
      <c r="PA34" s="225"/>
      <c r="PB34" s="225"/>
      <c r="PC34" s="225"/>
      <c r="PD34" s="225"/>
      <c r="PE34" s="225"/>
      <c r="PF34" s="225"/>
      <c r="PG34" s="225"/>
      <c r="PH34" s="225"/>
      <c r="PI34" s="225"/>
      <c r="PJ34" s="225"/>
      <c r="PK34" s="225"/>
      <c r="PL34" s="225"/>
      <c r="PM34" s="225"/>
      <c r="PN34" s="225"/>
      <c r="PO34" s="225"/>
      <c r="PP34" s="225"/>
      <c r="PQ34" s="225"/>
      <c r="PR34" s="225"/>
      <c r="PS34" s="225"/>
      <c r="PT34" s="225"/>
      <c r="PU34" s="225"/>
      <c r="PV34" s="225"/>
      <c r="PW34" s="225"/>
      <c r="PX34" s="225"/>
      <c r="PY34" s="225"/>
      <c r="PZ34" s="225"/>
      <c r="QA34" s="225"/>
      <c r="QB34" s="225"/>
      <c r="QC34" s="225"/>
      <c r="QD34" s="225"/>
      <c r="QE34" s="225"/>
      <c r="QF34" s="225"/>
      <c r="QG34" s="225"/>
      <c r="QH34" s="225"/>
      <c r="QI34" s="225"/>
      <c r="QJ34" s="225"/>
      <c r="QK34" s="225"/>
      <c r="QL34" s="225"/>
      <c r="QM34" s="225"/>
      <c r="QN34" s="225"/>
      <c r="QO34" s="225"/>
      <c r="QP34" s="225"/>
      <c r="QQ34" s="225"/>
      <c r="QR34" s="225"/>
      <c r="QS34" s="225"/>
      <c r="QT34" s="225"/>
      <c r="QU34" s="225"/>
      <c r="QV34" s="225"/>
      <c r="QW34" s="225"/>
      <c r="QX34" s="225"/>
      <c r="QY34" s="225"/>
      <c r="QZ34" s="225"/>
      <c r="RA34" s="225"/>
      <c r="RB34" s="225"/>
      <c r="RC34" s="225"/>
      <c r="RD34" s="225"/>
      <c r="RE34" s="225"/>
      <c r="RF34" s="225"/>
      <c r="RG34" s="225"/>
      <c r="RH34" s="225"/>
      <c r="RI34" s="225"/>
      <c r="RJ34" s="225"/>
      <c r="RK34" s="225"/>
      <c r="RL34" s="225"/>
      <c r="RM34" s="225"/>
      <c r="RN34" s="225"/>
      <c r="RO34" s="225"/>
      <c r="RP34" s="225"/>
      <c r="RQ34" s="225"/>
      <c r="RR34" s="225"/>
      <c r="RS34" s="225"/>
      <c r="RT34" s="225"/>
      <c r="RU34" s="225"/>
      <c r="RV34" s="225"/>
      <c r="RW34" s="225"/>
      <c r="RX34" s="225"/>
      <c r="RY34" s="225"/>
      <c r="RZ34" s="225"/>
      <c r="SA34" s="225"/>
      <c r="SB34" s="225"/>
      <c r="SC34" s="225"/>
      <c r="SD34" s="225"/>
      <c r="SE34" s="225"/>
      <c r="SF34" s="225"/>
      <c r="SG34" s="225"/>
      <c r="SH34" s="225"/>
      <c r="SI34" s="225"/>
      <c r="SJ34" s="225"/>
      <c r="SK34" s="225"/>
      <c r="SL34" s="225"/>
      <c r="SM34" s="225"/>
      <c r="SN34" s="225"/>
      <c r="SO34" s="225"/>
      <c r="SP34" s="225"/>
      <c r="SQ34" s="225"/>
      <c r="SR34" s="225"/>
      <c r="SS34" s="225"/>
      <c r="ST34" s="225"/>
      <c r="SU34" s="225"/>
      <c r="SV34" s="225"/>
      <c r="SW34" s="225"/>
      <c r="SX34" s="225"/>
      <c r="SY34" s="225"/>
      <c r="SZ34" s="225"/>
      <c r="TA34" s="225"/>
      <c r="TB34" s="225"/>
      <c r="TC34" s="225"/>
      <c r="TD34" s="225"/>
      <c r="TE34" s="225"/>
      <c r="TF34" s="225"/>
      <c r="TG34" s="225"/>
      <c r="TH34" s="225"/>
      <c r="TI34" s="225"/>
      <c r="TJ34" s="225"/>
      <c r="TK34" s="225"/>
      <c r="TL34" s="225"/>
      <c r="TM34" s="225"/>
      <c r="TN34" s="225"/>
      <c r="TO34" s="225"/>
      <c r="TP34" s="225"/>
      <c r="TQ34" s="225"/>
      <c r="TR34" s="225"/>
      <c r="TS34" s="225"/>
      <c r="TT34" s="225"/>
      <c r="TU34" s="225"/>
      <c r="TV34" s="225"/>
      <c r="TW34" s="225"/>
      <c r="TX34" s="225"/>
      <c r="TY34" s="225"/>
      <c r="TZ34" s="225"/>
      <c r="UA34" s="225"/>
      <c r="UB34" s="225"/>
      <c r="UC34" s="225"/>
      <c r="UD34" s="225"/>
      <c r="UE34" s="225"/>
      <c r="UF34" s="225"/>
      <c r="UG34" s="225"/>
      <c r="UH34" s="225"/>
      <c r="UI34" s="225"/>
      <c r="UJ34" s="225"/>
      <c r="UK34" s="225"/>
      <c r="UL34" s="225"/>
      <c r="UM34" s="225"/>
      <c r="UN34" s="225"/>
      <c r="UO34" s="225"/>
      <c r="UP34" s="225"/>
      <c r="UQ34" s="225"/>
      <c r="UR34" s="225"/>
      <c r="US34" s="225"/>
      <c r="UT34" s="225"/>
      <c r="UU34" s="225"/>
      <c r="UV34" s="225"/>
      <c r="UW34" s="225"/>
      <c r="UX34" s="225"/>
      <c r="UY34" s="225"/>
      <c r="UZ34" s="225"/>
      <c r="VA34" s="225"/>
      <c r="VB34" s="225"/>
      <c r="VC34" s="225"/>
      <c r="VD34" s="225"/>
      <c r="VE34" s="225"/>
      <c r="VF34" s="225"/>
      <c r="VG34" s="225"/>
      <c r="VH34" s="225"/>
      <c r="VI34" s="225"/>
      <c r="VJ34" s="225"/>
      <c r="VK34" s="225"/>
      <c r="VL34" s="225"/>
      <c r="VM34" s="225"/>
      <c r="VN34" s="225"/>
      <c r="VO34" s="225"/>
      <c r="VP34" s="225"/>
      <c r="VQ34" s="225"/>
      <c r="VR34" s="225"/>
      <c r="VS34" s="225"/>
      <c r="VT34" s="225"/>
      <c r="VU34" s="225"/>
      <c r="VV34" s="225"/>
      <c r="VW34" s="225"/>
      <c r="VX34" s="225"/>
      <c r="VY34" s="225"/>
      <c r="VZ34" s="225"/>
      <c r="WA34" s="225"/>
      <c r="WB34" s="225"/>
      <c r="WC34" s="225"/>
      <c r="WD34" s="225"/>
      <c r="WE34" s="225"/>
      <c r="WF34" s="225"/>
      <c r="WG34" s="225"/>
      <c r="WH34" s="225"/>
      <c r="WI34" s="225"/>
      <c r="WJ34" s="225"/>
      <c r="WK34" s="225"/>
      <c r="WL34" s="225"/>
      <c r="WM34" s="225"/>
      <c r="WN34" s="225"/>
      <c r="WO34" s="225"/>
      <c r="WP34" s="225"/>
      <c r="WQ34" s="225"/>
      <c r="WR34" s="225"/>
      <c r="WS34" s="225"/>
      <c r="WT34" s="225"/>
      <c r="WU34" s="225"/>
      <c r="WV34" s="225"/>
      <c r="WW34" s="225"/>
      <c r="WX34" s="225"/>
      <c r="WY34" s="225"/>
      <c r="WZ34" s="225"/>
      <c r="XA34" s="225"/>
      <c r="XB34" s="225"/>
      <c r="XC34" s="225"/>
      <c r="XD34" s="225"/>
      <c r="XE34" s="225"/>
      <c r="XF34" s="225"/>
      <c r="XG34" s="225"/>
      <c r="XH34" s="225"/>
      <c r="XI34" s="225"/>
      <c r="XJ34" s="225"/>
      <c r="XK34" s="225"/>
      <c r="XL34" s="225"/>
      <c r="XM34" s="225"/>
      <c r="XN34" s="225"/>
      <c r="XO34" s="225"/>
      <c r="XP34" s="225"/>
      <c r="XQ34" s="225"/>
      <c r="XR34" s="225"/>
      <c r="XS34" s="225"/>
      <c r="XT34" s="225"/>
      <c r="XU34" s="225"/>
      <c r="XV34" s="225"/>
      <c r="XW34" s="225"/>
      <c r="XX34" s="225"/>
      <c r="XY34" s="225"/>
      <c r="XZ34" s="225"/>
      <c r="YA34" s="225"/>
      <c r="YB34" s="225"/>
      <c r="YC34" s="225"/>
      <c r="YD34" s="225"/>
      <c r="YE34" s="225"/>
      <c r="YF34" s="225"/>
      <c r="YG34" s="225"/>
      <c r="YH34" s="225"/>
      <c r="YI34" s="225"/>
      <c r="YJ34" s="225"/>
      <c r="YK34" s="225"/>
      <c r="YL34" s="225"/>
      <c r="YM34" s="225"/>
      <c r="YN34" s="225"/>
      <c r="YO34" s="225"/>
      <c r="YP34" s="225"/>
      <c r="YQ34" s="225"/>
      <c r="YR34" s="225"/>
      <c r="YS34" s="225"/>
      <c r="YT34" s="225"/>
      <c r="YU34" s="225"/>
      <c r="YV34" s="225"/>
      <c r="YW34" s="225"/>
      <c r="YX34" s="225"/>
      <c r="YY34" s="225"/>
      <c r="YZ34" s="225"/>
      <c r="ZA34" s="225"/>
      <c r="ZB34" s="225"/>
      <c r="ZC34" s="225"/>
      <c r="ZD34" s="225"/>
      <c r="ZE34" s="225"/>
      <c r="ZF34" s="225"/>
      <c r="ZG34" s="225"/>
      <c r="ZH34" s="225"/>
      <c r="ZI34" s="225"/>
      <c r="ZJ34" s="225"/>
      <c r="ZK34" s="225"/>
      <c r="ZL34" s="225"/>
      <c r="ZM34" s="225"/>
      <c r="ZN34" s="225"/>
      <c r="ZO34" s="225"/>
      <c r="ZP34" s="225"/>
      <c r="ZQ34" s="225"/>
      <c r="ZR34" s="225"/>
      <c r="ZS34" s="225"/>
      <c r="ZT34" s="225"/>
      <c r="ZU34" s="225"/>
      <c r="ZV34" s="225"/>
      <c r="ZW34" s="225"/>
      <c r="ZX34" s="225"/>
      <c r="ZY34" s="225"/>
      <c r="ZZ34" s="225"/>
      <c r="AAA34" s="225"/>
      <c r="AAB34" s="225"/>
      <c r="AAC34" s="225"/>
      <c r="AAD34" s="225"/>
      <c r="AAE34" s="225"/>
      <c r="AAF34" s="225"/>
      <c r="AAG34" s="225"/>
      <c r="AAH34" s="225"/>
      <c r="AAI34" s="225"/>
      <c r="AAJ34" s="225"/>
      <c r="AAK34" s="225"/>
      <c r="AAL34" s="225"/>
      <c r="AAM34" s="225"/>
      <c r="AAN34" s="225"/>
      <c r="AAO34" s="225"/>
      <c r="AAP34" s="225"/>
      <c r="AAQ34" s="225"/>
      <c r="AAR34" s="225"/>
      <c r="AAS34" s="225"/>
      <c r="AAT34" s="225"/>
      <c r="AAU34" s="225"/>
      <c r="AAV34" s="225"/>
      <c r="AAW34" s="225"/>
      <c r="AAX34" s="225"/>
      <c r="AAY34" s="225"/>
      <c r="AAZ34" s="225"/>
      <c r="ABA34" s="225"/>
      <c r="ABB34" s="225"/>
      <c r="ABC34" s="225"/>
      <c r="ABD34" s="225"/>
      <c r="ABE34" s="225"/>
      <c r="ABF34" s="225"/>
      <c r="ABG34" s="225"/>
      <c r="ABH34" s="225"/>
      <c r="ABI34" s="225"/>
      <c r="ABJ34" s="225"/>
      <c r="ABK34" s="225"/>
      <c r="ABL34" s="225"/>
      <c r="ABM34" s="225"/>
      <c r="ABN34" s="225"/>
      <c r="ABO34" s="225"/>
      <c r="ABP34" s="225"/>
      <c r="ABQ34" s="225"/>
      <c r="ABR34" s="225"/>
      <c r="ABS34" s="225"/>
      <c r="ABT34" s="225"/>
      <c r="ABU34" s="225"/>
      <c r="ABV34" s="225"/>
      <c r="ABW34" s="225"/>
      <c r="ABX34" s="225"/>
      <c r="ABY34" s="225"/>
      <c r="ABZ34" s="225"/>
      <c r="ACA34" s="225"/>
      <c r="ACB34" s="225"/>
      <c r="ACC34" s="225"/>
      <c r="ACD34" s="225"/>
      <c r="ACE34" s="225"/>
      <c r="ACF34" s="225"/>
      <c r="ACG34" s="225"/>
      <c r="ACH34" s="225"/>
      <c r="ACI34" s="225"/>
      <c r="ACJ34" s="225"/>
      <c r="ACK34" s="225"/>
      <c r="ACL34" s="225"/>
      <c r="ACM34" s="225"/>
      <c r="ACN34" s="225"/>
      <c r="ACO34" s="225"/>
      <c r="ACP34" s="225"/>
      <c r="ACQ34" s="225"/>
      <c r="ACR34" s="225"/>
      <c r="ACS34" s="225"/>
      <c r="ACT34" s="225"/>
      <c r="ACU34" s="225"/>
      <c r="ACV34" s="225"/>
      <c r="ACW34" s="225"/>
      <c r="ACX34" s="225"/>
      <c r="ACY34" s="225"/>
      <c r="ACZ34" s="225"/>
      <c r="ADA34" s="225"/>
      <c r="ADB34" s="225"/>
      <c r="ADC34" s="225"/>
      <c r="ADD34" s="225"/>
      <c r="ADE34" s="225"/>
      <c r="ADF34" s="225"/>
      <c r="ADG34" s="225"/>
      <c r="ADH34" s="225"/>
      <c r="ADI34" s="225"/>
      <c r="ADJ34" s="225"/>
      <c r="ADK34" s="225"/>
      <c r="ADL34" s="225"/>
      <c r="ADM34" s="225"/>
      <c r="ADN34" s="225"/>
      <c r="ADO34" s="225"/>
      <c r="ADP34" s="225"/>
      <c r="ADQ34" s="225"/>
      <c r="ADR34" s="225"/>
      <c r="ADS34" s="225"/>
      <c r="ADT34" s="225"/>
      <c r="ADU34" s="225"/>
      <c r="ADV34" s="225"/>
      <c r="ADW34" s="225"/>
      <c r="ADX34" s="225"/>
      <c r="ADY34" s="225"/>
      <c r="ADZ34" s="225"/>
      <c r="AEA34" s="225"/>
      <c r="AEB34" s="225"/>
      <c r="AEC34" s="225"/>
      <c r="AED34" s="225"/>
      <c r="AEE34" s="225"/>
      <c r="AEF34" s="225"/>
      <c r="AEG34" s="225"/>
      <c r="AEH34" s="225"/>
      <c r="AEI34" s="225"/>
      <c r="AEJ34" s="225"/>
      <c r="AEK34" s="225"/>
      <c r="AEL34" s="225"/>
      <c r="AEM34" s="225"/>
      <c r="AEN34" s="225"/>
      <c r="AEO34" s="225"/>
      <c r="AEP34" s="225"/>
      <c r="AEQ34" s="225"/>
      <c r="AER34" s="225"/>
      <c r="AES34" s="225"/>
      <c r="AET34" s="225"/>
      <c r="AEU34" s="225"/>
      <c r="AEV34" s="225"/>
      <c r="AEW34" s="225"/>
      <c r="AEX34" s="225"/>
      <c r="AEY34" s="225"/>
      <c r="AEZ34" s="225"/>
      <c r="AFA34" s="225"/>
      <c r="AFB34" s="225"/>
      <c r="AFC34" s="225"/>
      <c r="AFD34" s="225"/>
      <c r="AFE34" s="225"/>
      <c r="AFF34" s="225"/>
      <c r="AFG34" s="225"/>
      <c r="AFH34" s="225"/>
      <c r="AFI34" s="225"/>
      <c r="AFJ34" s="225"/>
      <c r="AFK34" s="225"/>
      <c r="AFL34" s="225"/>
      <c r="AFM34" s="225"/>
      <c r="AFN34" s="225"/>
      <c r="AFO34" s="225"/>
      <c r="AFP34" s="225"/>
      <c r="AFQ34" s="225"/>
      <c r="AFR34" s="225"/>
      <c r="AFS34" s="225"/>
      <c r="AFT34" s="225"/>
      <c r="AFU34" s="225"/>
      <c r="AFV34" s="225"/>
      <c r="AFW34" s="225"/>
      <c r="AFX34" s="225"/>
      <c r="AFY34" s="225"/>
      <c r="AFZ34" s="225"/>
      <c r="AGA34" s="225"/>
      <c r="AGB34" s="225"/>
      <c r="AGC34" s="225"/>
      <c r="AGD34" s="225"/>
      <c r="AGE34" s="225"/>
      <c r="AGF34" s="225"/>
      <c r="AGG34" s="225"/>
      <c r="AGH34" s="225"/>
      <c r="AGI34" s="225"/>
      <c r="AGJ34" s="225"/>
      <c r="AGK34" s="225"/>
      <c r="AGL34" s="225"/>
      <c r="AGM34" s="225"/>
      <c r="AGN34" s="225"/>
      <c r="AGO34" s="225"/>
      <c r="AGP34" s="225"/>
      <c r="AGQ34" s="225"/>
      <c r="AGR34" s="225"/>
      <c r="AGS34" s="225"/>
      <c r="AGT34" s="225"/>
      <c r="AGU34" s="225"/>
      <c r="AGV34" s="225"/>
      <c r="AGW34" s="225"/>
      <c r="AGX34" s="225"/>
      <c r="AGY34" s="225"/>
      <c r="AGZ34" s="225"/>
      <c r="AHA34" s="225"/>
      <c r="AHB34" s="225"/>
      <c r="AHC34" s="225"/>
      <c r="AHD34" s="225"/>
      <c r="AHE34" s="225"/>
      <c r="AHF34" s="225"/>
      <c r="AHG34" s="225"/>
      <c r="AHH34" s="225"/>
      <c r="AHI34" s="225"/>
      <c r="AHJ34" s="225"/>
      <c r="AHK34" s="225"/>
      <c r="AHL34" s="225"/>
      <c r="AHM34" s="225"/>
      <c r="AHN34" s="225"/>
      <c r="AHO34" s="225"/>
      <c r="AHP34" s="225"/>
      <c r="AHQ34" s="225"/>
      <c r="AHR34" s="225"/>
      <c r="AHS34" s="225"/>
      <c r="AHT34" s="225"/>
      <c r="AHU34" s="225"/>
      <c r="AHV34" s="225"/>
      <c r="AHW34" s="225"/>
      <c r="AHX34" s="225"/>
      <c r="AHY34" s="225"/>
      <c r="AHZ34" s="225"/>
      <c r="AIA34" s="225"/>
      <c r="AIB34" s="225"/>
      <c r="AIC34" s="225"/>
      <c r="AID34" s="225"/>
      <c r="AIE34" s="225"/>
      <c r="AIF34" s="225"/>
      <c r="AIG34" s="225"/>
      <c r="AIH34" s="225"/>
      <c r="AII34" s="225"/>
      <c r="AIJ34" s="225"/>
      <c r="AIK34" s="225"/>
      <c r="AIL34" s="225"/>
      <c r="AIM34" s="225"/>
      <c r="AIN34" s="225"/>
      <c r="AIO34" s="225"/>
      <c r="AIP34" s="225"/>
      <c r="AIQ34" s="225"/>
      <c r="AIR34" s="225"/>
      <c r="AIS34" s="225"/>
      <c r="AIT34" s="225"/>
      <c r="AIU34" s="225"/>
      <c r="AIV34" s="225"/>
      <c r="AIW34" s="225"/>
      <c r="AIX34" s="225"/>
      <c r="AIY34" s="225"/>
      <c r="AIZ34" s="225"/>
      <c r="AJA34" s="225"/>
      <c r="AJB34" s="225"/>
      <c r="AJC34" s="225"/>
      <c r="AJD34" s="225"/>
      <c r="AJE34" s="225"/>
      <c r="AJF34" s="225"/>
      <c r="AJG34" s="225"/>
      <c r="AJH34" s="225"/>
      <c r="AJI34" s="225"/>
      <c r="AJJ34" s="225"/>
      <c r="AJK34" s="225"/>
      <c r="AJL34" s="225"/>
      <c r="AJM34" s="225"/>
      <c r="AJN34" s="225"/>
      <c r="AJO34" s="225"/>
      <c r="AJP34" s="225"/>
      <c r="AJQ34" s="225"/>
      <c r="AJR34" s="225"/>
      <c r="AJS34" s="225"/>
      <c r="AJT34" s="225"/>
      <c r="AJU34" s="225"/>
      <c r="AJV34" s="225"/>
      <c r="AJW34" s="225"/>
      <c r="AJX34" s="225"/>
      <c r="AJY34" s="225"/>
      <c r="AJZ34" s="225"/>
      <c r="AKA34" s="225"/>
      <c r="AKB34" s="225"/>
      <c r="AKC34" s="225"/>
      <c r="AKD34" s="225"/>
      <c r="AKE34" s="225"/>
      <c r="AKF34" s="225"/>
      <c r="AKG34" s="225"/>
      <c r="AKH34" s="225"/>
      <c r="AKI34" s="225"/>
      <c r="AKJ34" s="225"/>
      <c r="AKK34" s="225"/>
      <c r="AKL34" s="225"/>
      <c r="AKM34" s="225"/>
      <c r="AKN34" s="225"/>
      <c r="AKO34" s="225"/>
      <c r="AKP34" s="225"/>
      <c r="AKQ34" s="225"/>
      <c r="AKR34" s="225"/>
      <c r="AKS34" s="225"/>
      <c r="AKT34" s="225"/>
      <c r="AKU34" s="225"/>
      <c r="AKV34" s="225"/>
      <c r="AKW34" s="225"/>
      <c r="AKX34" s="225"/>
      <c r="AKY34" s="225"/>
      <c r="AKZ34" s="225"/>
      <c r="ALA34" s="225"/>
      <c r="ALB34" s="225"/>
      <c r="ALC34" s="225"/>
      <c r="ALD34" s="225"/>
      <c r="ALE34" s="225"/>
      <c r="ALF34" s="225"/>
      <c r="ALG34" s="225"/>
      <c r="ALH34" s="225"/>
      <c r="ALI34" s="225"/>
      <c r="ALJ34" s="225"/>
      <c r="ALK34" s="225"/>
      <c r="ALL34" s="225"/>
      <c r="ALM34" s="225"/>
      <c r="ALN34" s="225"/>
      <c r="ALO34" s="225"/>
      <c r="ALP34" s="225"/>
      <c r="ALQ34" s="225"/>
      <c r="ALR34" s="225"/>
      <c r="ALS34" s="225"/>
      <c r="ALT34" s="225"/>
      <c r="ALU34" s="225"/>
      <c r="ALV34" s="225"/>
      <c r="ALW34" s="225"/>
      <c r="ALX34" s="225"/>
      <c r="ALY34" s="225"/>
      <c r="ALZ34" s="225"/>
      <c r="AMA34" s="225"/>
      <c r="AMB34" s="225"/>
      <c r="AMC34" s="225"/>
      <c r="AMD34" s="225"/>
      <c r="AME34" s="225"/>
      <c r="AMF34" s="225"/>
      <c r="AMG34" s="225"/>
      <c r="AMH34" s="225"/>
      <c r="AMI34" s="225"/>
      <c r="AMJ34" s="225"/>
      <c r="AMK34" s="225"/>
      <c r="AML34" s="225"/>
      <c r="AMM34" s="225"/>
      <c r="AMN34" s="225"/>
      <c r="AMO34" s="225"/>
      <c r="AMP34" s="225"/>
      <c r="AMQ34" s="225"/>
      <c r="AMR34" s="225"/>
      <c r="AMS34" s="225"/>
      <c r="AMT34" s="225"/>
      <c r="AMU34" s="225"/>
      <c r="AMV34" s="225"/>
      <c r="AMW34" s="225"/>
      <c r="AMX34" s="225"/>
      <c r="AMY34" s="225"/>
      <c r="AMZ34" s="225"/>
      <c r="ANA34" s="225"/>
      <c r="ANB34" s="225"/>
      <c r="ANC34" s="225"/>
      <c r="AND34" s="225"/>
      <c r="ANE34" s="225"/>
      <c r="ANF34" s="225"/>
      <c r="ANG34" s="225"/>
      <c r="ANH34" s="225"/>
      <c r="ANI34" s="225"/>
      <c r="ANJ34" s="225"/>
      <c r="ANK34" s="225"/>
      <c r="ANL34" s="225"/>
      <c r="ANM34" s="225"/>
      <c r="ANN34" s="225"/>
      <c r="ANO34" s="225"/>
      <c r="ANP34" s="225"/>
      <c r="ANQ34" s="225"/>
      <c r="ANR34" s="225"/>
      <c r="ANS34" s="225"/>
      <c r="ANT34" s="225"/>
      <c r="ANU34" s="225"/>
      <c r="ANV34" s="225"/>
      <c r="ANW34" s="225"/>
      <c r="ANX34" s="225"/>
      <c r="ANY34" s="225"/>
      <c r="ANZ34" s="225"/>
      <c r="AOA34" s="225"/>
      <c r="AOB34" s="225"/>
      <c r="AOC34" s="225"/>
      <c r="AOD34" s="225"/>
      <c r="AOE34" s="225"/>
      <c r="AOF34" s="225"/>
      <c r="AOG34" s="225"/>
      <c r="AOH34" s="225"/>
      <c r="AOI34" s="225"/>
      <c r="AOJ34" s="225"/>
      <c r="AOK34" s="225"/>
      <c r="AOL34" s="225"/>
      <c r="AOM34" s="225"/>
      <c r="AON34" s="225"/>
      <c r="AOO34" s="225"/>
      <c r="AOP34" s="225"/>
      <c r="AOQ34" s="225"/>
      <c r="AOR34" s="225"/>
      <c r="AOS34" s="225"/>
      <c r="AOT34" s="225"/>
      <c r="AOU34" s="225"/>
      <c r="AOV34" s="225"/>
      <c r="AOW34" s="225"/>
      <c r="AOX34" s="225"/>
      <c r="AOY34" s="225"/>
      <c r="AOZ34" s="225"/>
      <c r="APA34" s="225"/>
      <c r="APB34" s="225"/>
      <c r="APC34" s="225"/>
      <c r="APD34" s="225"/>
      <c r="APE34" s="225"/>
      <c r="APF34" s="225"/>
      <c r="APG34" s="225"/>
      <c r="APH34" s="225"/>
      <c r="API34" s="225"/>
      <c r="APJ34" s="225"/>
      <c r="APK34" s="225"/>
      <c r="APL34" s="225"/>
      <c r="APM34" s="225"/>
      <c r="APN34" s="225"/>
      <c r="APO34" s="225"/>
      <c r="APP34" s="225"/>
      <c r="APQ34" s="225"/>
      <c r="APR34" s="225"/>
      <c r="APS34" s="225"/>
      <c r="APT34" s="225"/>
      <c r="APU34" s="225"/>
      <c r="APV34" s="225"/>
      <c r="APW34" s="225"/>
      <c r="APX34" s="225"/>
      <c r="APY34" s="225"/>
      <c r="APZ34" s="225"/>
      <c r="AQA34" s="225"/>
      <c r="AQB34" s="225"/>
      <c r="AQC34" s="225"/>
      <c r="AQD34" s="225"/>
      <c r="AQE34" s="225"/>
      <c r="AQF34" s="225"/>
      <c r="AQG34" s="225"/>
      <c r="AQH34" s="225"/>
      <c r="AQI34" s="225"/>
      <c r="AQJ34" s="225"/>
      <c r="AQK34" s="225"/>
      <c r="AQL34" s="225"/>
      <c r="AQM34" s="225"/>
      <c r="AQN34" s="225"/>
      <c r="AQO34" s="225"/>
      <c r="AQP34" s="225"/>
      <c r="AQQ34" s="225"/>
      <c r="AQR34" s="225"/>
      <c r="AQS34" s="225"/>
      <c r="AQT34" s="225"/>
      <c r="AQU34" s="225"/>
      <c r="AQV34" s="225"/>
      <c r="AQW34" s="225"/>
      <c r="AQX34" s="225"/>
      <c r="AQY34" s="225"/>
      <c r="AQZ34" s="225"/>
      <c r="ARA34" s="225"/>
      <c r="ARB34" s="225"/>
      <c r="ARC34" s="225"/>
      <c r="ARD34" s="225"/>
      <c r="ARE34" s="225"/>
      <c r="ARF34" s="225"/>
      <c r="ARG34" s="225"/>
      <c r="ARH34" s="225"/>
      <c r="ARI34" s="225"/>
      <c r="ARJ34" s="225"/>
      <c r="ARK34" s="225"/>
      <c r="ARL34" s="225"/>
      <c r="ARM34" s="225"/>
      <c r="ARN34" s="225"/>
      <c r="ARO34" s="225"/>
      <c r="ARP34" s="225"/>
      <c r="ARQ34" s="225"/>
      <c r="ARR34" s="225"/>
      <c r="ARS34" s="225"/>
      <c r="ART34" s="225"/>
      <c r="ARU34" s="225"/>
      <c r="ARV34" s="225"/>
      <c r="ARW34" s="225"/>
      <c r="ARX34" s="225"/>
      <c r="ARY34" s="225"/>
      <c r="ARZ34" s="225"/>
      <c r="ASA34" s="225"/>
      <c r="ASB34" s="225"/>
      <c r="ASC34" s="225"/>
      <c r="ASD34" s="225"/>
      <c r="ASE34" s="225"/>
      <c r="ASF34" s="225"/>
      <c r="ASG34" s="225"/>
      <c r="ASH34" s="225"/>
      <c r="ASI34" s="225"/>
      <c r="ASJ34" s="225"/>
      <c r="ASK34" s="225"/>
      <c r="ASL34" s="225"/>
      <c r="ASM34" s="225"/>
      <c r="ASN34" s="225"/>
      <c r="ASO34" s="225"/>
      <c r="ASP34" s="225"/>
      <c r="ASQ34" s="225"/>
      <c r="ASR34" s="225"/>
      <c r="ASS34" s="225"/>
      <c r="AST34" s="225"/>
      <c r="ASU34" s="225"/>
      <c r="ASV34" s="225"/>
      <c r="ASW34" s="225"/>
      <c r="ASX34" s="225"/>
      <c r="ASY34" s="225"/>
      <c r="ASZ34" s="225"/>
      <c r="ATA34" s="225"/>
      <c r="ATB34" s="225"/>
      <c r="ATC34" s="225"/>
      <c r="ATD34" s="225"/>
      <c r="ATE34" s="225"/>
      <c r="ATF34" s="225"/>
      <c r="ATG34" s="225"/>
      <c r="ATH34" s="225"/>
      <c r="ATI34" s="225"/>
      <c r="ATJ34" s="225"/>
      <c r="ATK34" s="225"/>
      <c r="ATL34" s="225"/>
      <c r="ATM34" s="225"/>
      <c r="ATN34" s="225"/>
      <c r="ATO34" s="225"/>
      <c r="ATP34" s="225"/>
      <c r="ATQ34" s="225"/>
      <c r="ATR34" s="225"/>
      <c r="ATS34" s="225"/>
      <c r="ATT34" s="225"/>
      <c r="ATU34" s="225"/>
      <c r="ATV34" s="225"/>
      <c r="ATW34" s="225"/>
      <c r="ATX34" s="225"/>
      <c r="ATY34" s="225"/>
      <c r="ATZ34" s="225"/>
      <c r="AUA34" s="225"/>
      <c r="AUB34" s="225"/>
      <c r="AUC34" s="225"/>
      <c r="AUD34" s="225"/>
      <c r="AUE34" s="225"/>
      <c r="AUF34" s="225"/>
      <c r="AUG34" s="225"/>
      <c r="AUH34" s="225"/>
      <c r="AUI34" s="225"/>
      <c r="AUJ34" s="225"/>
      <c r="AUK34" s="225"/>
      <c r="AUL34" s="225"/>
      <c r="AUM34" s="225"/>
      <c r="AUN34" s="225"/>
      <c r="AUO34" s="225"/>
      <c r="AUP34" s="225"/>
      <c r="AUQ34" s="225"/>
      <c r="AUR34" s="225"/>
      <c r="AUS34" s="225"/>
      <c r="AUT34" s="225"/>
      <c r="AUU34" s="225"/>
      <c r="AUV34" s="225"/>
      <c r="AUW34" s="225"/>
      <c r="AUX34" s="225"/>
      <c r="AUY34" s="225"/>
      <c r="AUZ34" s="225"/>
      <c r="AVA34" s="225"/>
      <c r="AVB34" s="225"/>
      <c r="AVC34" s="225"/>
      <c r="AVD34" s="225"/>
      <c r="AVE34" s="225"/>
      <c r="AVF34" s="225"/>
      <c r="AVG34" s="225"/>
      <c r="AVH34" s="225"/>
      <c r="AVI34" s="225"/>
      <c r="AVJ34" s="225"/>
      <c r="AVK34" s="225"/>
      <c r="AVL34" s="225"/>
      <c r="AVM34" s="225"/>
      <c r="AVN34" s="225"/>
      <c r="AVO34" s="225"/>
      <c r="AVP34" s="225"/>
      <c r="AVQ34" s="225"/>
      <c r="AVR34" s="225"/>
      <c r="AVS34" s="225"/>
      <c r="AVT34" s="225"/>
      <c r="AVU34" s="225"/>
      <c r="AVV34" s="225"/>
      <c r="AVW34" s="225"/>
      <c r="AVX34" s="225"/>
      <c r="AVY34" s="225"/>
      <c r="AVZ34" s="225"/>
      <c r="AWA34" s="225"/>
      <c r="AWB34" s="225"/>
      <c r="AWC34" s="225"/>
      <c r="AWD34" s="225"/>
      <c r="AWE34" s="225"/>
      <c r="AWF34" s="225"/>
      <c r="AWG34" s="225"/>
      <c r="AWH34" s="225"/>
      <c r="AWI34" s="225"/>
      <c r="AWJ34" s="225"/>
      <c r="AWK34" s="225"/>
      <c r="AWL34" s="225"/>
      <c r="AWM34" s="225"/>
      <c r="AWN34" s="225"/>
      <c r="AWO34" s="225"/>
      <c r="AWP34" s="225"/>
      <c r="AWQ34" s="225"/>
      <c r="AWR34" s="225"/>
      <c r="AWS34" s="225"/>
      <c r="AWT34" s="225"/>
      <c r="AWU34" s="225"/>
      <c r="AWV34" s="225"/>
      <c r="AWW34" s="225"/>
      <c r="AWX34" s="225"/>
      <c r="AWY34" s="225"/>
      <c r="AWZ34" s="225"/>
      <c r="AXA34" s="225"/>
      <c r="AXB34" s="225"/>
      <c r="AXC34" s="225"/>
      <c r="AXD34" s="225"/>
      <c r="AXE34" s="225"/>
      <c r="AXF34" s="225"/>
      <c r="AXG34" s="225"/>
      <c r="AXH34" s="225"/>
      <c r="AXI34" s="225"/>
      <c r="AXJ34" s="225"/>
      <c r="AXK34" s="225"/>
      <c r="AXL34" s="225"/>
      <c r="AXM34" s="225"/>
      <c r="AXN34" s="225"/>
      <c r="AXO34" s="225"/>
      <c r="AXP34" s="225"/>
      <c r="AXQ34" s="225"/>
      <c r="AXR34" s="225"/>
      <c r="AXS34" s="225"/>
      <c r="AXT34" s="225"/>
      <c r="AXU34" s="225"/>
      <c r="AXV34" s="225"/>
      <c r="AXW34" s="225"/>
      <c r="AXX34" s="225"/>
      <c r="AXY34" s="225"/>
      <c r="AXZ34" s="225"/>
      <c r="AYA34" s="225"/>
      <c r="AYB34" s="225"/>
      <c r="AYC34" s="225"/>
      <c r="AYD34" s="225"/>
      <c r="AYE34" s="225"/>
      <c r="AYF34" s="225"/>
      <c r="AYG34" s="225"/>
      <c r="AYH34" s="225"/>
      <c r="AYI34" s="225"/>
      <c r="AYJ34" s="225"/>
      <c r="AYK34" s="225"/>
      <c r="AYL34" s="225"/>
      <c r="AYM34" s="225"/>
      <c r="AYN34" s="225"/>
      <c r="AYO34" s="225"/>
      <c r="AYP34" s="225"/>
      <c r="AYQ34" s="225"/>
      <c r="AYR34" s="225"/>
      <c r="AYS34" s="225"/>
      <c r="AYT34" s="225"/>
      <c r="AYU34" s="225"/>
      <c r="AYV34" s="225"/>
      <c r="AYW34" s="225"/>
      <c r="AYX34" s="225"/>
      <c r="AYY34" s="225"/>
      <c r="AYZ34" s="225"/>
      <c r="AZA34" s="225"/>
      <c r="AZB34" s="225"/>
      <c r="AZC34" s="225"/>
      <c r="AZD34" s="225"/>
      <c r="AZE34" s="225"/>
      <c r="AZF34" s="225"/>
      <c r="AZG34" s="225"/>
      <c r="AZH34" s="225"/>
      <c r="AZI34" s="225"/>
      <c r="AZJ34" s="225"/>
      <c r="AZK34" s="225"/>
      <c r="AZL34" s="225"/>
      <c r="AZM34" s="225"/>
      <c r="AZN34" s="225"/>
      <c r="AZO34" s="225"/>
      <c r="AZP34" s="225"/>
      <c r="AZQ34" s="225"/>
      <c r="AZR34" s="225"/>
      <c r="AZS34" s="225"/>
      <c r="AZT34" s="225"/>
      <c r="AZU34" s="225"/>
      <c r="AZV34" s="225"/>
      <c r="AZW34" s="225"/>
      <c r="AZX34" s="225"/>
      <c r="AZY34" s="225"/>
      <c r="AZZ34" s="225"/>
      <c r="BAA34" s="225"/>
      <c r="BAB34" s="225"/>
      <c r="BAC34" s="225"/>
      <c r="BAD34" s="225"/>
      <c r="BAE34" s="225"/>
      <c r="BAF34" s="225"/>
      <c r="BAG34" s="225"/>
      <c r="BAH34" s="225"/>
      <c r="BAI34" s="225"/>
      <c r="BAJ34" s="225"/>
      <c r="BAK34" s="225"/>
      <c r="BAL34" s="225"/>
      <c r="BAM34" s="225"/>
      <c r="BAN34" s="225"/>
      <c r="BAO34" s="225"/>
      <c r="BAP34" s="225"/>
      <c r="BAQ34" s="225"/>
      <c r="BAR34" s="225"/>
      <c r="BAS34" s="225"/>
      <c r="BAT34" s="225"/>
      <c r="BAU34" s="225"/>
      <c r="BAV34" s="225"/>
      <c r="BAW34" s="225"/>
      <c r="BAX34" s="225"/>
      <c r="BAY34" s="225"/>
      <c r="BAZ34" s="225"/>
      <c r="BBA34" s="225"/>
      <c r="BBB34" s="225"/>
      <c r="BBC34" s="225"/>
      <c r="BBD34" s="225"/>
      <c r="BBE34" s="225"/>
      <c r="BBF34" s="225"/>
      <c r="BBG34" s="225"/>
      <c r="BBH34" s="225"/>
      <c r="BBI34" s="225"/>
      <c r="BBJ34" s="225"/>
      <c r="BBK34" s="225"/>
      <c r="BBL34" s="225"/>
      <c r="BBM34" s="225"/>
      <c r="BBN34" s="225"/>
      <c r="BBO34" s="225"/>
      <c r="BBP34" s="225"/>
      <c r="BBQ34" s="225"/>
      <c r="BBR34" s="225"/>
      <c r="BBS34" s="225"/>
      <c r="BBT34" s="225"/>
      <c r="BBU34" s="225"/>
      <c r="BBV34" s="225"/>
      <c r="BBW34" s="225"/>
      <c r="BBX34" s="225"/>
      <c r="BBY34" s="225"/>
      <c r="BBZ34" s="225"/>
      <c r="BCA34" s="225"/>
      <c r="BCB34" s="225"/>
      <c r="BCC34" s="225"/>
      <c r="BCD34" s="225"/>
      <c r="BCE34" s="225"/>
      <c r="BCF34" s="225"/>
      <c r="BCG34" s="225"/>
      <c r="BCH34" s="225"/>
      <c r="BCI34" s="225"/>
      <c r="BCJ34" s="225"/>
      <c r="BCK34" s="225"/>
      <c r="BCL34" s="225"/>
      <c r="BCM34" s="225"/>
      <c r="BCN34" s="225"/>
      <c r="BCO34" s="225"/>
      <c r="BCP34" s="225"/>
      <c r="BCQ34" s="225"/>
      <c r="BCR34" s="225"/>
      <c r="BCS34" s="225"/>
      <c r="BCT34" s="225"/>
      <c r="BCU34" s="225"/>
      <c r="BCV34" s="225"/>
      <c r="BCW34" s="225"/>
      <c r="BCX34" s="225"/>
      <c r="BCY34" s="225"/>
      <c r="BCZ34" s="225"/>
      <c r="BDA34" s="225"/>
      <c r="BDB34" s="225"/>
      <c r="BDC34" s="225"/>
      <c r="BDD34" s="225"/>
      <c r="BDE34" s="225"/>
      <c r="BDF34" s="225"/>
      <c r="BDG34" s="225"/>
      <c r="BDH34" s="225"/>
      <c r="BDI34" s="225"/>
      <c r="BDJ34" s="225"/>
      <c r="BDK34" s="225"/>
      <c r="BDL34" s="225"/>
      <c r="BDM34" s="225"/>
      <c r="BDN34" s="225"/>
      <c r="BDO34" s="225"/>
      <c r="BDP34" s="225"/>
      <c r="BDQ34" s="225"/>
      <c r="BDR34" s="225"/>
      <c r="BDS34" s="225"/>
      <c r="BDT34" s="225"/>
      <c r="BDU34" s="225"/>
      <c r="BDV34" s="225"/>
      <c r="BDW34" s="225"/>
      <c r="BDX34" s="225"/>
      <c r="BDY34" s="225"/>
      <c r="BDZ34" s="225"/>
      <c r="BEA34" s="225"/>
      <c r="BEB34" s="225"/>
      <c r="BEC34" s="225"/>
      <c r="BED34" s="225"/>
      <c r="BEE34" s="225"/>
      <c r="BEF34" s="225"/>
      <c r="BEG34" s="225"/>
      <c r="BEH34" s="225"/>
      <c r="BEI34" s="225"/>
      <c r="BEJ34" s="225"/>
      <c r="BEK34" s="225"/>
      <c r="BEL34" s="225"/>
      <c r="BEM34" s="225"/>
      <c r="BEN34" s="225"/>
      <c r="BEO34" s="225"/>
      <c r="BEP34" s="225"/>
      <c r="BEQ34" s="225"/>
      <c r="BER34" s="225"/>
      <c r="BES34" s="225"/>
      <c r="BET34" s="225"/>
      <c r="BEU34" s="225"/>
      <c r="BEV34" s="225"/>
      <c r="BEW34" s="225"/>
      <c r="BEX34" s="225"/>
      <c r="BEY34" s="225"/>
      <c r="BEZ34" s="225"/>
      <c r="BFA34" s="225"/>
      <c r="BFB34" s="225"/>
      <c r="BFC34" s="225"/>
      <c r="BFD34" s="225"/>
      <c r="BFE34" s="225"/>
      <c r="BFF34" s="225"/>
      <c r="BFG34" s="225"/>
      <c r="BFH34" s="225"/>
      <c r="BFI34" s="225"/>
      <c r="BFJ34" s="225"/>
      <c r="BFK34" s="225"/>
      <c r="BFL34" s="225"/>
      <c r="BFM34" s="225"/>
      <c r="BFN34" s="225"/>
      <c r="BFO34" s="225"/>
      <c r="BFP34" s="225"/>
      <c r="BFQ34" s="225"/>
      <c r="BFR34" s="225"/>
      <c r="BFS34" s="225"/>
      <c r="BFT34" s="225"/>
      <c r="BFU34" s="225"/>
      <c r="BFV34" s="225"/>
      <c r="BFW34" s="225"/>
      <c r="BFX34" s="225"/>
      <c r="BFY34" s="225"/>
      <c r="BFZ34" s="225"/>
      <c r="BGA34" s="225"/>
      <c r="BGB34" s="225"/>
      <c r="BGC34" s="225"/>
      <c r="BGD34" s="225"/>
      <c r="BGE34" s="225"/>
      <c r="BGF34" s="225"/>
      <c r="BGG34" s="225"/>
      <c r="BGH34" s="225"/>
      <c r="BGI34" s="225"/>
      <c r="BGJ34" s="225"/>
      <c r="BGK34" s="225"/>
      <c r="BGL34" s="225"/>
      <c r="BGM34" s="225"/>
      <c r="BGN34" s="225"/>
      <c r="BGO34" s="225"/>
      <c r="BGP34" s="225"/>
      <c r="BGQ34" s="225"/>
      <c r="BGR34" s="225"/>
      <c r="BGS34" s="225"/>
      <c r="BGT34" s="225"/>
      <c r="BGU34" s="225"/>
      <c r="BGV34" s="225"/>
      <c r="BGW34" s="225"/>
      <c r="BGX34" s="225"/>
      <c r="BGY34" s="225"/>
      <c r="BGZ34" s="225"/>
      <c r="BHA34" s="225"/>
      <c r="BHB34" s="225"/>
      <c r="BHC34" s="225"/>
      <c r="BHD34" s="225"/>
      <c r="BHE34" s="225"/>
      <c r="BHF34" s="225"/>
      <c r="BHG34" s="225"/>
      <c r="BHH34" s="225"/>
      <c r="BHI34" s="225"/>
      <c r="BHJ34" s="225"/>
      <c r="BHK34" s="225"/>
      <c r="BHL34" s="225"/>
      <c r="BHM34" s="225"/>
      <c r="BHN34" s="225"/>
      <c r="BHO34" s="225"/>
      <c r="BHP34" s="225"/>
      <c r="BHQ34" s="225"/>
      <c r="BHR34" s="225"/>
      <c r="BHS34" s="225"/>
      <c r="BHT34" s="225"/>
      <c r="BHU34" s="225"/>
      <c r="BHV34" s="225"/>
      <c r="BHW34" s="225"/>
      <c r="BHX34" s="225"/>
      <c r="BHY34" s="225"/>
      <c r="BHZ34" s="225"/>
      <c r="BIA34" s="225"/>
      <c r="BIB34" s="225"/>
      <c r="BIC34" s="225"/>
      <c r="BID34" s="225"/>
      <c r="BIE34" s="225"/>
      <c r="BIF34" s="225"/>
      <c r="BIG34" s="225"/>
      <c r="BIH34" s="225"/>
      <c r="BII34" s="225"/>
      <c r="BIJ34" s="225"/>
      <c r="BIK34" s="225"/>
      <c r="BIL34" s="225"/>
      <c r="BIM34" s="225"/>
      <c r="BIN34" s="225"/>
      <c r="BIO34" s="225"/>
      <c r="BIP34" s="225"/>
      <c r="BIQ34" s="225"/>
      <c r="BIR34" s="225"/>
      <c r="BIS34" s="225"/>
      <c r="BIT34" s="225"/>
      <c r="BIU34" s="225"/>
      <c r="BIV34" s="225"/>
      <c r="BIW34" s="225"/>
      <c r="BIX34" s="225"/>
      <c r="BIY34" s="225"/>
      <c r="BIZ34" s="225"/>
      <c r="BJA34" s="225"/>
      <c r="BJB34" s="225"/>
      <c r="BJC34" s="225"/>
      <c r="BJD34" s="225"/>
      <c r="BJE34" s="225"/>
      <c r="BJF34" s="225"/>
      <c r="BJG34" s="225"/>
      <c r="BJH34" s="225"/>
      <c r="BJI34" s="225"/>
      <c r="BJJ34" s="225"/>
      <c r="BJK34" s="225"/>
      <c r="BJL34" s="225"/>
      <c r="BJM34" s="225"/>
      <c r="BJN34" s="225"/>
      <c r="BJO34" s="225"/>
      <c r="BJP34" s="225"/>
      <c r="BJQ34" s="225"/>
      <c r="BJR34" s="225"/>
      <c r="BJS34" s="225"/>
      <c r="BJT34" s="225"/>
      <c r="BJU34" s="225"/>
      <c r="BJV34" s="225"/>
      <c r="BJW34" s="225"/>
      <c r="BJX34" s="225"/>
      <c r="BJY34" s="225"/>
      <c r="BJZ34" s="225"/>
      <c r="BKA34" s="225"/>
      <c r="BKB34" s="225"/>
      <c r="BKC34" s="225"/>
      <c r="BKD34" s="225"/>
      <c r="BKE34" s="225"/>
      <c r="BKF34" s="225"/>
      <c r="BKG34" s="225"/>
      <c r="BKH34" s="225"/>
      <c r="BKI34" s="225"/>
      <c r="BKJ34" s="225"/>
      <c r="BKK34" s="225"/>
      <c r="BKL34" s="225"/>
      <c r="BKM34" s="225"/>
      <c r="BKN34" s="225"/>
      <c r="BKO34" s="225"/>
      <c r="BKP34" s="225"/>
      <c r="BKQ34" s="225"/>
      <c r="BKR34" s="225"/>
      <c r="BKS34" s="225"/>
      <c r="BKT34" s="225"/>
      <c r="BKU34" s="225"/>
      <c r="BKV34" s="225"/>
      <c r="BKW34" s="225"/>
      <c r="BKX34" s="225"/>
      <c r="BKY34" s="225"/>
      <c r="BKZ34" s="225"/>
      <c r="BLA34" s="225"/>
      <c r="BLB34" s="225"/>
      <c r="BLC34" s="225"/>
      <c r="BLD34" s="225"/>
      <c r="BLE34" s="225"/>
      <c r="BLF34" s="225"/>
      <c r="BLG34" s="225"/>
      <c r="BLH34" s="225"/>
      <c r="BLI34" s="225"/>
      <c r="BLJ34" s="225"/>
      <c r="BLK34" s="225"/>
      <c r="BLL34" s="225"/>
      <c r="BLM34" s="225"/>
      <c r="BLN34" s="225"/>
      <c r="BLO34" s="225"/>
      <c r="BLP34" s="225"/>
      <c r="BLQ34" s="225"/>
      <c r="BLR34" s="225"/>
      <c r="BLS34" s="225"/>
      <c r="BLT34" s="225"/>
      <c r="BLU34" s="225"/>
      <c r="BLV34" s="225"/>
      <c r="BLW34" s="225"/>
      <c r="BLX34" s="225"/>
      <c r="BLY34" s="225"/>
      <c r="BLZ34" s="225"/>
      <c r="BMA34" s="225"/>
      <c r="BMB34" s="225"/>
      <c r="BMC34" s="225"/>
      <c r="BMD34" s="225"/>
      <c r="BME34" s="225"/>
      <c r="BMF34" s="225"/>
      <c r="BMG34" s="225"/>
      <c r="BMH34" s="225"/>
      <c r="BMI34" s="225"/>
      <c r="BMJ34" s="225"/>
      <c r="BMK34" s="225"/>
      <c r="BML34" s="225"/>
      <c r="BMM34" s="225"/>
      <c r="BMN34" s="225"/>
      <c r="BMO34" s="225"/>
      <c r="BMP34" s="225"/>
      <c r="BMQ34" s="225"/>
      <c r="BMR34" s="225"/>
      <c r="BMS34" s="225"/>
      <c r="BMT34" s="225"/>
      <c r="BMU34" s="225"/>
      <c r="BMV34" s="225"/>
      <c r="BMW34" s="225"/>
      <c r="BMX34" s="225"/>
      <c r="BMY34" s="225"/>
      <c r="BMZ34" s="225"/>
      <c r="BNA34" s="225"/>
      <c r="BNB34" s="225"/>
      <c r="BNC34" s="225"/>
      <c r="BND34" s="225"/>
      <c r="BNE34" s="225"/>
      <c r="BNF34" s="225"/>
      <c r="BNG34" s="225"/>
      <c r="BNH34" s="225"/>
      <c r="BNI34" s="225"/>
      <c r="BNJ34" s="225"/>
      <c r="BNK34" s="225"/>
      <c r="BNL34" s="225"/>
      <c r="BNM34" s="225"/>
      <c r="BNN34" s="225"/>
      <c r="BNO34" s="225"/>
      <c r="BNP34" s="225"/>
      <c r="BNQ34" s="225"/>
      <c r="BNR34" s="225"/>
      <c r="BNS34" s="225"/>
      <c r="BNT34" s="225"/>
      <c r="BNU34" s="225"/>
      <c r="BNV34" s="225"/>
      <c r="BNW34" s="225"/>
      <c r="BNX34" s="225"/>
      <c r="BNY34" s="225"/>
      <c r="BNZ34" s="225"/>
      <c r="BOA34" s="225"/>
      <c r="BOB34" s="225"/>
      <c r="BOC34" s="225"/>
      <c r="BOD34" s="225"/>
      <c r="BOE34" s="225"/>
      <c r="BOF34" s="225"/>
      <c r="BOG34" s="225"/>
      <c r="BOH34" s="225"/>
      <c r="BOI34" s="225"/>
      <c r="BOJ34" s="225"/>
      <c r="BOK34" s="225"/>
      <c r="BOL34" s="225"/>
      <c r="BOM34" s="225"/>
      <c r="BON34" s="225"/>
      <c r="BOO34" s="225"/>
      <c r="BOP34" s="225"/>
      <c r="BOQ34" s="225"/>
      <c r="BOR34" s="225"/>
      <c r="BOS34" s="225"/>
      <c r="BOT34" s="225"/>
      <c r="BOU34" s="225"/>
      <c r="BOV34" s="225"/>
      <c r="BOW34" s="225"/>
      <c r="BOX34" s="225"/>
      <c r="BOY34" s="225"/>
      <c r="BOZ34" s="225"/>
      <c r="BPA34" s="225"/>
      <c r="BPB34" s="225"/>
      <c r="BPC34" s="225"/>
      <c r="BPD34" s="225"/>
      <c r="BPE34" s="225"/>
      <c r="BPF34" s="225"/>
      <c r="BPG34" s="225"/>
      <c r="BPH34" s="225"/>
      <c r="BPI34" s="225"/>
      <c r="BPJ34" s="225"/>
      <c r="BPK34" s="225"/>
      <c r="BPL34" s="225"/>
      <c r="BPM34" s="225"/>
      <c r="BPN34" s="225"/>
      <c r="BPO34" s="225"/>
      <c r="BPP34" s="225"/>
      <c r="BPQ34" s="225"/>
      <c r="BPR34" s="225"/>
      <c r="BPS34" s="225"/>
      <c r="BPT34" s="225"/>
      <c r="BPU34" s="225"/>
      <c r="BPV34" s="225"/>
      <c r="BPW34" s="225"/>
      <c r="BPX34" s="225"/>
      <c r="BPY34" s="225"/>
      <c r="BPZ34" s="225"/>
      <c r="BQA34" s="225"/>
      <c r="BQB34" s="225"/>
      <c r="BQC34" s="225"/>
      <c r="BQD34" s="225"/>
      <c r="BQE34" s="225"/>
      <c r="BQF34" s="225"/>
      <c r="BQG34" s="225"/>
      <c r="BQH34" s="225"/>
      <c r="BQI34" s="225"/>
      <c r="BQJ34" s="225"/>
      <c r="BQK34" s="225"/>
      <c r="BQL34" s="225"/>
      <c r="BQM34" s="225"/>
      <c r="BQN34" s="225"/>
      <c r="BQO34" s="225"/>
      <c r="BQP34" s="225"/>
      <c r="BQQ34" s="225"/>
      <c r="BQR34" s="225"/>
      <c r="BQS34" s="225"/>
      <c r="BQT34" s="225"/>
      <c r="BQU34" s="225"/>
      <c r="BQV34" s="225"/>
      <c r="BQW34" s="225"/>
      <c r="BQX34" s="225"/>
      <c r="BQY34" s="225"/>
      <c r="BQZ34" s="225"/>
      <c r="BRA34" s="225"/>
      <c r="BRB34" s="225"/>
      <c r="BRC34" s="225"/>
      <c r="BRD34" s="225"/>
      <c r="BRE34" s="225"/>
      <c r="BRF34" s="225"/>
      <c r="BRG34" s="225"/>
      <c r="BRH34" s="225"/>
      <c r="BRI34" s="225"/>
      <c r="BRJ34" s="225"/>
      <c r="BRK34" s="225"/>
      <c r="BRL34" s="225"/>
      <c r="BRM34" s="225"/>
      <c r="BRN34" s="225"/>
      <c r="BRO34" s="225"/>
      <c r="BRP34" s="225"/>
      <c r="BRQ34" s="225"/>
      <c r="BRR34" s="225"/>
      <c r="BRS34" s="225"/>
      <c r="BRT34" s="225"/>
      <c r="BRU34" s="225"/>
      <c r="BRV34" s="225"/>
      <c r="BRW34" s="225"/>
      <c r="BRX34" s="225"/>
      <c r="BRY34" s="225"/>
      <c r="BRZ34" s="225"/>
      <c r="BSA34" s="225"/>
      <c r="BSB34" s="225"/>
      <c r="BSC34" s="225"/>
      <c r="BSD34" s="225"/>
      <c r="BSE34" s="225"/>
      <c r="BSF34" s="225"/>
      <c r="BSG34" s="225"/>
      <c r="BSH34" s="225"/>
      <c r="BSI34" s="225"/>
      <c r="BSJ34" s="225"/>
      <c r="BSK34" s="225"/>
      <c r="BSL34" s="225"/>
      <c r="BSM34" s="225"/>
      <c r="BSN34" s="225"/>
      <c r="BSO34" s="225"/>
      <c r="BSP34" s="225"/>
      <c r="BSQ34" s="225"/>
      <c r="BSR34" s="225"/>
      <c r="BSS34" s="225"/>
      <c r="BST34" s="225"/>
      <c r="BSU34" s="225"/>
      <c r="BSV34" s="225"/>
      <c r="BSW34" s="225"/>
      <c r="BSX34" s="225"/>
      <c r="BSY34" s="225"/>
      <c r="BSZ34" s="225"/>
      <c r="BTA34" s="225"/>
      <c r="BTB34" s="225"/>
      <c r="BTC34" s="225"/>
      <c r="BTD34" s="225"/>
      <c r="BTE34" s="225"/>
      <c r="BTF34" s="225"/>
      <c r="BTG34" s="225"/>
      <c r="BTH34" s="225"/>
      <c r="BTI34" s="225"/>
      <c r="BTJ34" s="225"/>
      <c r="BTK34" s="225"/>
      <c r="BTL34" s="225"/>
      <c r="BTM34" s="225"/>
      <c r="BTN34" s="225"/>
      <c r="BTO34" s="225"/>
      <c r="BTP34" s="225"/>
      <c r="BTQ34" s="225"/>
      <c r="BTR34" s="225"/>
      <c r="BTS34" s="225"/>
      <c r="BTT34" s="225"/>
      <c r="BTU34" s="225"/>
      <c r="BTV34" s="225"/>
      <c r="BTW34" s="225"/>
      <c r="BTX34" s="225"/>
      <c r="BTY34" s="225"/>
      <c r="BTZ34" s="225"/>
      <c r="BUA34" s="225"/>
      <c r="BUB34" s="225"/>
      <c r="BUC34" s="225"/>
      <c r="BUD34" s="225"/>
      <c r="BUE34" s="225"/>
      <c r="BUF34" s="225"/>
      <c r="BUG34" s="225"/>
      <c r="BUH34" s="225"/>
      <c r="BUI34" s="225"/>
      <c r="BUJ34" s="225"/>
      <c r="BUK34" s="225"/>
      <c r="BUL34" s="225"/>
      <c r="BUM34" s="225"/>
      <c r="BUN34" s="225"/>
      <c r="BUO34" s="225"/>
      <c r="BUP34" s="225"/>
      <c r="BUQ34" s="225"/>
      <c r="BUR34" s="225"/>
      <c r="BUS34" s="225"/>
      <c r="BUT34" s="225"/>
      <c r="BUU34" s="225"/>
      <c r="BUV34" s="225"/>
      <c r="BUW34" s="225"/>
      <c r="BUX34" s="225"/>
      <c r="BUY34" s="225"/>
      <c r="BUZ34" s="225"/>
      <c r="BVA34" s="225"/>
      <c r="BVB34" s="225"/>
      <c r="BVC34" s="225"/>
      <c r="BVD34" s="225"/>
      <c r="BVE34" s="225"/>
      <c r="BVF34" s="225"/>
      <c r="BVG34" s="225"/>
      <c r="BVH34" s="225"/>
      <c r="BVI34" s="225"/>
      <c r="BVJ34" s="225"/>
      <c r="BVK34" s="225"/>
      <c r="BVL34" s="225"/>
      <c r="BVM34" s="225"/>
      <c r="BVN34" s="225"/>
      <c r="BVO34" s="225"/>
      <c r="BVP34" s="225"/>
      <c r="BVQ34" s="225"/>
      <c r="BVR34" s="225"/>
      <c r="BVS34" s="225"/>
      <c r="BVT34" s="225"/>
      <c r="BVU34" s="225"/>
      <c r="BVV34" s="225"/>
      <c r="BVW34" s="225"/>
      <c r="BVX34" s="225"/>
      <c r="BVY34" s="225"/>
      <c r="BVZ34" s="225"/>
      <c r="BWA34" s="225"/>
      <c r="BWB34" s="225"/>
      <c r="BWC34" s="225"/>
      <c r="BWD34" s="225"/>
      <c r="BWE34" s="225"/>
      <c r="BWF34" s="225"/>
      <c r="BWG34" s="225"/>
      <c r="BWH34" s="225"/>
      <c r="BWI34" s="225"/>
      <c r="BWJ34" s="225"/>
      <c r="BWK34" s="225"/>
      <c r="BWL34" s="225"/>
      <c r="BWM34" s="225"/>
      <c r="BWN34" s="225"/>
      <c r="BWO34" s="225"/>
      <c r="BWP34" s="225"/>
      <c r="BWQ34" s="225"/>
      <c r="BWR34" s="225"/>
      <c r="BWS34" s="225"/>
      <c r="BWT34" s="225"/>
      <c r="BWU34" s="225"/>
      <c r="BWV34" s="225"/>
      <c r="BWW34" s="225"/>
      <c r="BWX34" s="225"/>
      <c r="BWY34" s="225"/>
      <c r="BWZ34" s="225"/>
      <c r="BXA34" s="225"/>
      <c r="BXB34" s="225"/>
      <c r="BXC34" s="225"/>
      <c r="BXD34" s="225"/>
      <c r="BXE34" s="225"/>
      <c r="BXF34" s="225"/>
      <c r="BXG34" s="225"/>
      <c r="BXH34" s="225"/>
      <c r="BXI34" s="225"/>
      <c r="BXJ34" s="225"/>
      <c r="BXK34" s="225"/>
      <c r="BXL34" s="225"/>
      <c r="BXM34" s="225"/>
      <c r="BXN34" s="225"/>
      <c r="BXO34" s="225"/>
      <c r="BXP34" s="225"/>
      <c r="BXQ34" s="225"/>
      <c r="BXR34" s="225"/>
      <c r="BXS34" s="225"/>
      <c r="BXT34" s="225"/>
      <c r="BXU34" s="225"/>
      <c r="BXV34" s="225"/>
      <c r="BXW34" s="225"/>
      <c r="BXX34" s="225"/>
      <c r="BXY34" s="225"/>
      <c r="BXZ34" s="225"/>
      <c r="BYA34" s="225"/>
      <c r="BYB34" s="225"/>
      <c r="BYC34" s="225"/>
      <c r="BYD34" s="225"/>
      <c r="BYE34" s="225"/>
      <c r="BYF34" s="225"/>
      <c r="BYG34" s="225"/>
      <c r="BYH34" s="225"/>
      <c r="BYI34" s="225"/>
      <c r="BYJ34" s="225"/>
      <c r="BYK34" s="225"/>
      <c r="BYL34" s="225"/>
      <c r="BYM34" s="225"/>
      <c r="BYN34" s="225"/>
      <c r="BYO34" s="225"/>
      <c r="BYP34" s="225"/>
      <c r="BYQ34" s="225"/>
      <c r="BYR34" s="225"/>
      <c r="BYS34" s="225"/>
      <c r="BYT34" s="225"/>
      <c r="BYU34" s="225"/>
      <c r="BYV34" s="225"/>
      <c r="BYW34" s="225"/>
      <c r="BYX34" s="225"/>
      <c r="BYY34" s="225"/>
      <c r="BYZ34" s="225"/>
      <c r="BZA34" s="225"/>
      <c r="BZB34" s="225"/>
      <c r="BZC34" s="225"/>
      <c r="BZD34" s="225"/>
      <c r="BZE34" s="225"/>
      <c r="BZF34" s="225"/>
      <c r="BZG34" s="225"/>
      <c r="BZH34" s="225"/>
      <c r="BZI34" s="225"/>
      <c r="BZJ34" s="225"/>
      <c r="BZK34" s="225"/>
      <c r="BZL34" s="225"/>
      <c r="BZM34" s="225"/>
      <c r="BZN34" s="225"/>
      <c r="BZO34" s="225"/>
      <c r="BZP34" s="225"/>
      <c r="BZQ34" s="225"/>
      <c r="BZR34" s="225"/>
      <c r="BZS34" s="225"/>
      <c r="BZT34" s="225"/>
      <c r="BZU34" s="225"/>
      <c r="BZV34" s="225"/>
      <c r="BZW34" s="225"/>
      <c r="BZX34" s="225"/>
      <c r="BZY34" s="225"/>
      <c r="BZZ34" s="225"/>
      <c r="CAA34" s="225"/>
      <c r="CAB34" s="225"/>
      <c r="CAC34" s="225"/>
      <c r="CAD34" s="225"/>
      <c r="CAE34" s="225"/>
      <c r="CAF34" s="225"/>
      <c r="CAG34" s="225"/>
      <c r="CAH34" s="225"/>
      <c r="CAI34" s="225"/>
      <c r="CAJ34" s="225"/>
      <c r="CAK34" s="225"/>
      <c r="CAL34" s="225"/>
      <c r="CAM34" s="225"/>
      <c r="CAN34" s="225"/>
      <c r="CAO34" s="225"/>
      <c r="CAP34" s="225"/>
      <c r="CAQ34" s="225"/>
      <c r="CAR34" s="225"/>
      <c r="CAS34" s="225"/>
      <c r="CAT34" s="225"/>
      <c r="CAU34" s="225"/>
      <c r="CAV34" s="225"/>
      <c r="CAW34" s="225"/>
      <c r="CAX34" s="225"/>
      <c r="CAY34" s="225"/>
      <c r="CAZ34" s="225"/>
      <c r="CBA34" s="225"/>
      <c r="CBB34" s="225"/>
      <c r="CBC34" s="225"/>
      <c r="CBD34" s="225"/>
      <c r="CBE34" s="225"/>
      <c r="CBF34" s="225"/>
      <c r="CBG34" s="225"/>
      <c r="CBH34" s="225"/>
      <c r="CBI34" s="225"/>
      <c r="CBJ34" s="225"/>
      <c r="CBK34" s="225"/>
      <c r="CBL34" s="225"/>
      <c r="CBM34" s="225"/>
      <c r="CBN34" s="225"/>
      <c r="CBO34" s="225"/>
      <c r="CBP34" s="225"/>
      <c r="CBQ34" s="225"/>
      <c r="CBR34" s="225"/>
      <c r="CBS34" s="225"/>
      <c r="CBT34" s="225"/>
      <c r="CBU34" s="225"/>
      <c r="CBV34" s="225"/>
      <c r="CBW34" s="225"/>
      <c r="CBX34" s="225"/>
      <c r="CBY34" s="225"/>
      <c r="CBZ34" s="225"/>
      <c r="CCA34" s="225"/>
      <c r="CCB34" s="225"/>
      <c r="CCC34" s="225"/>
      <c r="CCD34" s="225"/>
      <c r="CCE34" s="225"/>
      <c r="CCF34" s="225"/>
      <c r="CCG34" s="225"/>
      <c r="CCH34" s="225"/>
      <c r="CCI34" s="225"/>
      <c r="CCJ34" s="225"/>
      <c r="CCK34" s="225"/>
      <c r="CCL34" s="225"/>
      <c r="CCM34" s="225"/>
      <c r="CCN34" s="225"/>
      <c r="CCO34" s="225"/>
      <c r="CCP34" s="225"/>
      <c r="CCQ34" s="225"/>
      <c r="CCR34" s="225"/>
      <c r="CCS34" s="225"/>
      <c r="CCT34" s="225"/>
      <c r="CCU34" s="225"/>
      <c r="CCV34" s="225"/>
      <c r="CCW34" s="225"/>
      <c r="CCX34" s="225"/>
      <c r="CCY34" s="225"/>
      <c r="CCZ34" s="225"/>
      <c r="CDA34" s="225"/>
      <c r="CDB34" s="225"/>
      <c r="CDC34" s="225"/>
      <c r="CDD34" s="225"/>
      <c r="CDE34" s="225"/>
      <c r="CDF34" s="225"/>
      <c r="CDG34" s="225"/>
      <c r="CDH34" s="225"/>
      <c r="CDI34" s="225"/>
      <c r="CDJ34" s="225"/>
      <c r="CDK34" s="225"/>
      <c r="CDL34" s="225"/>
      <c r="CDM34" s="225"/>
      <c r="CDN34" s="225"/>
      <c r="CDO34" s="225"/>
      <c r="CDP34" s="225"/>
      <c r="CDQ34" s="225"/>
      <c r="CDR34" s="225"/>
      <c r="CDS34" s="225"/>
      <c r="CDT34" s="225"/>
      <c r="CDU34" s="225"/>
      <c r="CDV34" s="225"/>
      <c r="CDW34" s="225"/>
      <c r="CDX34" s="225"/>
      <c r="CDY34" s="225"/>
      <c r="CDZ34" s="225"/>
      <c r="CEA34" s="225"/>
      <c r="CEB34" s="225"/>
      <c r="CEC34" s="225"/>
      <c r="CED34" s="225"/>
      <c r="CEE34" s="225"/>
      <c r="CEF34" s="225"/>
      <c r="CEG34" s="225"/>
      <c r="CEH34" s="225"/>
      <c r="CEI34" s="225"/>
      <c r="CEJ34" s="225"/>
      <c r="CEK34" s="225"/>
      <c r="CEL34" s="225"/>
      <c r="CEM34" s="225"/>
      <c r="CEN34" s="225"/>
      <c r="CEO34" s="225"/>
      <c r="CEP34" s="225"/>
      <c r="CEQ34" s="225"/>
      <c r="CER34" s="225"/>
      <c r="CES34" s="225"/>
      <c r="CET34" s="225"/>
      <c r="CEU34" s="225"/>
      <c r="CEV34" s="225"/>
      <c r="CEW34" s="225"/>
      <c r="CEX34" s="225"/>
      <c r="CEY34" s="225"/>
      <c r="CEZ34" s="225"/>
      <c r="CFA34" s="225"/>
      <c r="CFB34" s="225"/>
      <c r="CFC34" s="225"/>
      <c r="CFD34" s="225"/>
      <c r="CFE34" s="225"/>
      <c r="CFF34" s="225"/>
      <c r="CFG34" s="225"/>
      <c r="CFH34" s="225"/>
      <c r="CFI34" s="225"/>
      <c r="CFJ34" s="225"/>
      <c r="CFK34" s="225"/>
      <c r="CFL34" s="225"/>
      <c r="CFM34" s="225"/>
      <c r="CFN34" s="225"/>
      <c r="CFO34" s="225"/>
      <c r="CFP34" s="225"/>
      <c r="CFQ34" s="225"/>
      <c r="CFR34" s="225"/>
      <c r="CFS34" s="225"/>
      <c r="CFT34" s="225"/>
      <c r="CFU34" s="225"/>
      <c r="CFV34" s="225"/>
      <c r="CFW34" s="225"/>
      <c r="CFX34" s="225"/>
      <c r="CFY34" s="225"/>
      <c r="CFZ34" s="225"/>
      <c r="CGA34" s="225"/>
      <c r="CGB34" s="225"/>
      <c r="CGC34" s="225"/>
      <c r="CGD34" s="225"/>
      <c r="CGE34" s="225"/>
      <c r="CGF34" s="225"/>
      <c r="CGG34" s="225"/>
      <c r="CGH34" s="225"/>
      <c r="CGI34" s="225"/>
      <c r="CGJ34" s="225"/>
      <c r="CGK34" s="225"/>
      <c r="CGL34" s="225"/>
      <c r="CGM34" s="225"/>
      <c r="CGN34" s="225"/>
      <c r="CGO34" s="225"/>
      <c r="CGP34" s="225"/>
      <c r="CGQ34" s="225"/>
      <c r="CGR34" s="225"/>
      <c r="CGS34" s="225"/>
      <c r="CGT34" s="225"/>
      <c r="CGU34" s="225"/>
      <c r="CGV34" s="225"/>
      <c r="CGW34" s="225"/>
      <c r="CGX34" s="225"/>
      <c r="CGY34" s="225"/>
      <c r="CGZ34" s="225"/>
      <c r="CHA34" s="225"/>
      <c r="CHB34" s="225"/>
      <c r="CHC34" s="225"/>
      <c r="CHD34" s="225"/>
      <c r="CHE34" s="225"/>
      <c r="CHF34" s="225"/>
      <c r="CHG34" s="225"/>
      <c r="CHH34" s="225"/>
      <c r="CHI34" s="225"/>
      <c r="CHJ34" s="225"/>
      <c r="CHK34" s="225"/>
      <c r="CHL34" s="225"/>
      <c r="CHM34" s="225"/>
      <c r="CHN34" s="225"/>
      <c r="CHO34" s="225"/>
      <c r="CHP34" s="225"/>
      <c r="CHQ34" s="225"/>
      <c r="CHR34" s="225"/>
      <c r="CHS34" s="225"/>
      <c r="CHT34" s="225"/>
      <c r="CHU34" s="225"/>
      <c r="CHV34" s="225"/>
      <c r="CHW34" s="225"/>
      <c r="CHX34" s="225"/>
      <c r="CHY34" s="225"/>
      <c r="CHZ34" s="225"/>
      <c r="CIA34" s="225"/>
      <c r="CIB34" s="225"/>
      <c r="CIC34" s="225"/>
      <c r="CID34" s="225"/>
      <c r="CIE34" s="225"/>
      <c r="CIF34" s="225"/>
      <c r="CIG34" s="225"/>
      <c r="CIH34" s="225"/>
      <c r="CII34" s="225"/>
      <c r="CIJ34" s="225"/>
      <c r="CIK34" s="225"/>
      <c r="CIL34" s="225"/>
      <c r="CIM34" s="225"/>
      <c r="CIN34" s="225"/>
      <c r="CIO34" s="225"/>
      <c r="CIP34" s="225"/>
      <c r="CIQ34" s="225"/>
      <c r="CIR34" s="225"/>
      <c r="CIS34" s="225"/>
      <c r="CIT34" s="225"/>
      <c r="CIU34" s="225"/>
      <c r="CIV34" s="225"/>
      <c r="CIW34" s="225"/>
      <c r="CIX34" s="225"/>
      <c r="CIY34" s="225"/>
      <c r="CIZ34" s="225"/>
      <c r="CJA34" s="225"/>
      <c r="CJB34" s="225"/>
      <c r="CJC34" s="225"/>
      <c r="CJD34" s="225"/>
      <c r="CJE34" s="225"/>
      <c r="CJF34" s="225"/>
      <c r="CJG34" s="225"/>
      <c r="CJH34" s="225"/>
      <c r="CJI34" s="225"/>
      <c r="CJJ34" s="225"/>
      <c r="CJK34" s="225"/>
      <c r="CJL34" s="225"/>
      <c r="CJM34" s="225"/>
      <c r="CJN34" s="225"/>
      <c r="CJO34" s="225"/>
      <c r="CJP34" s="225"/>
      <c r="CJQ34" s="225"/>
      <c r="CJR34" s="225"/>
      <c r="CJS34" s="225"/>
      <c r="CJT34" s="225"/>
      <c r="CJU34" s="225"/>
      <c r="CJV34" s="225"/>
      <c r="CJW34" s="225"/>
      <c r="CJX34" s="225"/>
      <c r="CJY34" s="225"/>
      <c r="CJZ34" s="225"/>
      <c r="CKA34" s="225"/>
      <c r="CKB34" s="225"/>
      <c r="CKC34" s="225"/>
      <c r="CKD34" s="225"/>
      <c r="CKE34" s="225"/>
      <c r="CKF34" s="225"/>
      <c r="CKG34" s="225"/>
      <c r="CKH34" s="225"/>
      <c r="CKI34" s="225"/>
      <c r="CKJ34" s="225"/>
      <c r="CKK34" s="225"/>
      <c r="CKL34" s="225"/>
      <c r="CKM34" s="225"/>
      <c r="CKN34" s="225"/>
      <c r="CKO34" s="225"/>
      <c r="CKP34" s="225"/>
      <c r="CKQ34" s="225"/>
      <c r="CKR34" s="225"/>
      <c r="CKS34" s="225"/>
      <c r="CKT34" s="225"/>
      <c r="CKU34" s="225"/>
      <c r="CKV34" s="225"/>
      <c r="CKW34" s="225"/>
      <c r="CKX34" s="225"/>
      <c r="CKY34" s="225"/>
      <c r="CKZ34" s="225"/>
      <c r="CLA34" s="225"/>
      <c r="CLB34" s="225"/>
      <c r="CLC34" s="225"/>
      <c r="CLD34" s="225"/>
      <c r="CLE34" s="225"/>
      <c r="CLF34" s="225"/>
      <c r="CLG34" s="225"/>
      <c r="CLH34" s="225"/>
      <c r="CLI34" s="225"/>
      <c r="CLJ34" s="225"/>
      <c r="CLK34" s="225"/>
      <c r="CLL34" s="225"/>
      <c r="CLM34" s="225"/>
      <c r="CLN34" s="225"/>
      <c r="CLO34" s="225"/>
      <c r="CLP34" s="225"/>
      <c r="CLQ34" s="225"/>
      <c r="CLR34" s="225"/>
      <c r="CLS34" s="225"/>
      <c r="CLT34" s="225"/>
      <c r="CLU34" s="225"/>
      <c r="CLV34" s="225"/>
      <c r="CLW34" s="225"/>
      <c r="CLX34" s="225"/>
      <c r="CLY34" s="225"/>
      <c r="CLZ34" s="225"/>
      <c r="CMA34" s="225"/>
      <c r="CMB34" s="225"/>
      <c r="CMC34" s="225"/>
      <c r="CMD34" s="225"/>
      <c r="CME34" s="225"/>
      <c r="CMF34" s="225"/>
      <c r="CMG34" s="225"/>
      <c r="CMH34" s="225"/>
      <c r="CMI34" s="225"/>
      <c r="CMJ34" s="225"/>
      <c r="CMK34" s="225"/>
      <c r="CML34" s="225"/>
      <c r="CMM34" s="225"/>
      <c r="CMN34" s="225"/>
      <c r="CMO34" s="225"/>
      <c r="CMP34" s="225"/>
      <c r="CMQ34" s="225"/>
      <c r="CMR34" s="225"/>
      <c r="CMS34" s="225"/>
      <c r="CMT34" s="225"/>
      <c r="CMU34" s="225"/>
      <c r="CMV34" s="225"/>
      <c r="CMW34" s="225"/>
      <c r="CMX34" s="225"/>
      <c r="CMY34" s="225"/>
      <c r="CMZ34" s="225"/>
      <c r="CNA34" s="225"/>
      <c r="CNB34" s="225"/>
      <c r="CNC34" s="225"/>
      <c r="CND34" s="225"/>
      <c r="CNE34" s="225"/>
      <c r="CNF34" s="225"/>
      <c r="CNG34" s="225"/>
      <c r="CNH34" s="225"/>
      <c r="CNI34" s="225"/>
      <c r="CNJ34" s="225"/>
      <c r="CNK34" s="225"/>
      <c r="CNL34" s="225"/>
      <c r="CNM34" s="225"/>
      <c r="CNN34" s="225"/>
      <c r="CNO34" s="225"/>
      <c r="CNP34" s="225"/>
      <c r="CNQ34" s="225"/>
      <c r="CNR34" s="225"/>
      <c r="CNS34" s="225"/>
      <c r="CNT34" s="225"/>
      <c r="CNU34" s="225"/>
      <c r="CNV34" s="225"/>
      <c r="CNW34" s="225"/>
      <c r="CNX34" s="225"/>
      <c r="CNY34" s="225"/>
      <c r="CNZ34" s="225"/>
      <c r="COA34" s="225"/>
      <c r="COB34" s="225"/>
      <c r="COC34" s="225"/>
      <c r="COD34" s="225"/>
      <c r="COE34" s="225"/>
      <c r="COF34" s="225"/>
      <c r="COG34" s="225"/>
      <c r="COH34" s="225"/>
      <c r="COI34" s="225"/>
      <c r="COJ34" s="225"/>
      <c r="COK34" s="225"/>
      <c r="COL34" s="225"/>
      <c r="COM34" s="225"/>
      <c r="CON34" s="225"/>
      <c r="COO34" s="225"/>
      <c r="COP34" s="225"/>
      <c r="COQ34" s="225"/>
      <c r="COR34" s="225"/>
      <c r="COS34" s="225"/>
      <c r="COT34" s="225"/>
      <c r="COU34" s="225"/>
      <c r="COV34" s="225"/>
      <c r="COW34" s="225"/>
      <c r="COX34" s="225"/>
      <c r="COY34" s="225"/>
      <c r="COZ34" s="225"/>
      <c r="CPA34" s="225"/>
      <c r="CPB34" s="225"/>
      <c r="CPC34" s="225"/>
      <c r="CPD34" s="225"/>
      <c r="CPE34" s="225"/>
      <c r="CPF34" s="225"/>
      <c r="CPG34" s="225"/>
      <c r="CPH34" s="225"/>
      <c r="CPI34" s="225"/>
      <c r="CPJ34" s="225"/>
      <c r="CPK34" s="225"/>
      <c r="CPL34" s="225"/>
      <c r="CPM34" s="225"/>
      <c r="CPN34" s="225"/>
      <c r="CPO34" s="225"/>
      <c r="CPP34" s="225"/>
      <c r="CPQ34" s="225"/>
      <c r="CPR34" s="225"/>
      <c r="CPS34" s="225"/>
      <c r="CPT34" s="225"/>
      <c r="CPU34" s="225"/>
      <c r="CPV34" s="225"/>
      <c r="CPW34" s="225"/>
      <c r="CPX34" s="225"/>
      <c r="CPY34" s="225"/>
      <c r="CPZ34" s="225"/>
      <c r="CQA34" s="225"/>
      <c r="CQB34" s="225"/>
      <c r="CQC34" s="225"/>
      <c r="CQD34" s="225"/>
      <c r="CQE34" s="225"/>
      <c r="CQF34" s="225"/>
      <c r="CQG34" s="225"/>
      <c r="CQH34" s="225"/>
      <c r="CQI34" s="225"/>
      <c r="CQJ34" s="225"/>
      <c r="CQK34" s="225"/>
      <c r="CQL34" s="225"/>
      <c r="CQM34" s="225"/>
      <c r="CQN34" s="225"/>
      <c r="CQO34" s="225"/>
      <c r="CQP34" s="225"/>
      <c r="CQQ34" s="225"/>
      <c r="CQR34" s="225"/>
      <c r="CQS34" s="225"/>
      <c r="CQT34" s="225"/>
      <c r="CQU34" s="225"/>
      <c r="CQV34" s="225"/>
      <c r="CQW34" s="225"/>
      <c r="CQX34" s="225"/>
      <c r="CQY34" s="225"/>
      <c r="CQZ34" s="225"/>
      <c r="CRA34" s="225"/>
      <c r="CRB34" s="225"/>
      <c r="CRC34" s="225"/>
      <c r="CRD34" s="225"/>
      <c r="CRE34" s="225"/>
      <c r="CRF34" s="225"/>
      <c r="CRG34" s="225"/>
      <c r="CRH34" s="225"/>
      <c r="CRI34" s="225"/>
      <c r="CRJ34" s="225"/>
      <c r="CRK34" s="225"/>
      <c r="CRL34" s="225"/>
      <c r="CRM34" s="225"/>
      <c r="CRN34" s="225"/>
      <c r="CRO34" s="225"/>
      <c r="CRP34" s="225"/>
      <c r="CRQ34" s="225"/>
      <c r="CRR34" s="225"/>
      <c r="CRS34" s="225"/>
      <c r="CRT34" s="225"/>
      <c r="CRU34" s="225"/>
      <c r="CRV34" s="225"/>
      <c r="CRW34" s="225"/>
      <c r="CRX34" s="225"/>
      <c r="CRY34" s="225"/>
      <c r="CRZ34" s="225"/>
      <c r="CSA34" s="225"/>
      <c r="CSB34" s="225"/>
      <c r="CSC34" s="225"/>
      <c r="CSD34" s="225"/>
      <c r="CSE34" s="225"/>
      <c r="CSF34" s="225"/>
      <c r="CSG34" s="225"/>
      <c r="CSH34" s="225"/>
      <c r="CSI34" s="225"/>
      <c r="CSJ34" s="225"/>
      <c r="CSK34" s="225"/>
      <c r="CSL34" s="225"/>
      <c r="CSM34" s="225"/>
      <c r="CSN34" s="225"/>
      <c r="CSO34" s="225"/>
      <c r="CSP34" s="225"/>
      <c r="CSQ34" s="225"/>
      <c r="CSR34" s="225"/>
      <c r="CSS34" s="225"/>
      <c r="CST34" s="225"/>
      <c r="CSU34" s="225"/>
      <c r="CSV34" s="225"/>
      <c r="CSW34" s="225"/>
      <c r="CSX34" s="225"/>
      <c r="CSY34" s="225"/>
      <c r="CSZ34" s="225"/>
      <c r="CTA34" s="225"/>
      <c r="CTB34" s="225"/>
      <c r="CTC34" s="225"/>
      <c r="CTD34" s="225"/>
      <c r="CTE34" s="225"/>
      <c r="CTF34" s="225"/>
      <c r="CTG34" s="225"/>
      <c r="CTH34" s="225"/>
      <c r="CTI34" s="225"/>
      <c r="CTJ34" s="225"/>
      <c r="CTK34" s="225"/>
      <c r="CTL34" s="225"/>
      <c r="CTM34" s="225"/>
      <c r="CTN34" s="225"/>
      <c r="CTO34" s="225"/>
      <c r="CTP34" s="225"/>
      <c r="CTQ34" s="225"/>
      <c r="CTR34" s="225"/>
      <c r="CTS34" s="225"/>
      <c r="CTT34" s="225"/>
      <c r="CTU34" s="225"/>
      <c r="CTV34" s="225"/>
      <c r="CTW34" s="225"/>
      <c r="CTX34" s="225"/>
      <c r="CTY34" s="225"/>
      <c r="CTZ34" s="225"/>
      <c r="CUA34" s="225"/>
    </row>
    <row r="35" s="189" customFormat="1" spans="1:1024 1025:2575">
      <c r="A35" s="216" t="s">
        <v>30</v>
      </c>
      <c r="B35" s="84" t="s">
        <v>54</v>
      </c>
      <c r="C35" s="217">
        <f t="shared" si="26"/>
        <v>45482</v>
      </c>
      <c r="D35" s="218">
        <f t="shared" si="22"/>
        <v>45488</v>
      </c>
      <c r="E35" s="219">
        <v>1207</v>
      </c>
      <c r="F35" s="220">
        <f t="shared" si="27"/>
        <v>45502</v>
      </c>
      <c r="G35" s="219">
        <v>984</v>
      </c>
      <c r="H35" s="54">
        <f t="shared" si="10"/>
        <v>0.815244407622204</v>
      </c>
      <c r="I35" s="218">
        <f t="shared" ref="I35:I48" si="28">D35+31</f>
        <v>45519</v>
      </c>
      <c r="J35" s="219">
        <v>928</v>
      </c>
      <c r="K35" s="54">
        <f t="shared" si="0"/>
        <v>0.768848384424192</v>
      </c>
      <c r="L35" s="218">
        <f t="shared" ref="L35:L48" si="29">I35+3</f>
        <v>45522</v>
      </c>
      <c r="M35" s="219">
        <v>879</v>
      </c>
      <c r="N35" s="219">
        <v>6730</v>
      </c>
      <c r="O35" s="54">
        <f t="shared" si="1"/>
        <v>0.728251864125932</v>
      </c>
      <c r="P35" s="54">
        <f t="shared" si="7"/>
        <v>0.0869925434962718</v>
      </c>
      <c r="Q35" s="221">
        <f t="shared" si="2"/>
        <v>7.65642775881684</v>
      </c>
      <c r="R35" s="218">
        <f t="shared" ref="R35:R48" si="30">I35+35</f>
        <v>45554</v>
      </c>
      <c r="S35" s="203">
        <v>6355</v>
      </c>
      <c r="T35" s="84">
        <v>786</v>
      </c>
      <c r="U35" s="54">
        <f t="shared" si="3"/>
        <v>0.944279346210996</v>
      </c>
      <c r="V35" s="218">
        <f t="shared" si="19"/>
        <v>45589</v>
      </c>
      <c r="W35" s="203">
        <v>5854</v>
      </c>
      <c r="X35" s="54">
        <f t="shared" si="4"/>
        <v>0.921164437450826</v>
      </c>
      <c r="Y35" s="84">
        <v>13534</v>
      </c>
      <c r="Z35" s="203">
        <v>16.2</v>
      </c>
      <c r="AA35" s="8">
        <f>Y35/W35</f>
        <v>2.31192347113085</v>
      </c>
      <c r="AB35" s="8">
        <f t="shared" si="5"/>
        <v>4.85004142502071</v>
      </c>
      <c r="AC35" s="8">
        <v>3.45</v>
      </c>
      <c r="AD35" s="8">
        <v>3.2</v>
      </c>
      <c r="AE35" s="8">
        <v>57</v>
      </c>
      <c r="AF35" s="203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8"/>
      <c r="BM35" s="188"/>
      <c r="BN35" s="188"/>
      <c r="BO35" s="188"/>
      <c r="BP35" s="188"/>
      <c r="BQ35" s="188"/>
      <c r="BR35" s="188"/>
      <c r="BS35" s="188"/>
      <c r="BT35" s="188"/>
      <c r="BU35" s="188"/>
      <c r="BV35" s="188"/>
      <c r="BW35" s="188"/>
      <c r="BX35" s="188"/>
      <c r="BY35" s="188"/>
      <c r="BZ35" s="188"/>
      <c r="CA35" s="188"/>
      <c r="CB35" s="188"/>
      <c r="CC35" s="188"/>
      <c r="CD35" s="188"/>
      <c r="CE35" s="188"/>
      <c r="CF35" s="188"/>
      <c r="CG35" s="188"/>
      <c r="CH35" s="188"/>
      <c r="CI35" s="188"/>
      <c r="CJ35" s="188"/>
      <c r="CK35" s="188"/>
      <c r="CL35" s="188"/>
      <c r="CM35" s="188"/>
      <c r="CN35" s="188"/>
      <c r="CO35" s="188"/>
      <c r="CP35" s="188"/>
      <c r="CQ35" s="188"/>
      <c r="CR35" s="188"/>
      <c r="CS35" s="188"/>
      <c r="CT35" s="188"/>
      <c r="CU35" s="188"/>
      <c r="CV35" s="188"/>
      <c r="CW35" s="188"/>
      <c r="CX35" s="188"/>
      <c r="CY35" s="188"/>
      <c r="CZ35" s="188"/>
      <c r="DA35" s="188"/>
      <c r="DB35" s="188"/>
      <c r="DC35" s="188"/>
      <c r="DD35" s="188"/>
      <c r="DE35" s="188"/>
      <c r="DF35" s="188"/>
      <c r="DG35" s="188"/>
      <c r="DH35" s="188"/>
      <c r="DI35" s="188"/>
      <c r="DJ35" s="188"/>
      <c r="DK35" s="188"/>
      <c r="DL35" s="188"/>
      <c r="DM35" s="188"/>
      <c r="DN35" s="188"/>
      <c r="DO35" s="188"/>
      <c r="DP35" s="188"/>
      <c r="DQ35" s="188"/>
      <c r="DR35" s="188"/>
      <c r="DS35" s="188"/>
      <c r="DT35" s="188"/>
      <c r="DU35" s="188"/>
      <c r="DV35" s="188"/>
      <c r="DW35" s="188"/>
      <c r="DX35" s="188"/>
      <c r="DY35" s="188"/>
      <c r="DZ35" s="188"/>
      <c r="EA35" s="188"/>
      <c r="EB35" s="188"/>
      <c r="EC35" s="188"/>
      <c r="ED35" s="188"/>
      <c r="EE35" s="188"/>
      <c r="EF35" s="188"/>
      <c r="EG35" s="188"/>
      <c r="EH35" s="188"/>
      <c r="EI35" s="188"/>
      <c r="EJ35" s="188"/>
      <c r="EK35" s="188"/>
      <c r="EL35" s="188"/>
      <c r="EM35" s="188"/>
      <c r="EN35" s="188"/>
      <c r="EO35" s="188"/>
      <c r="EP35" s="188"/>
      <c r="EQ35" s="188"/>
      <c r="ER35" s="188"/>
      <c r="ES35" s="188"/>
      <c r="ET35" s="188"/>
      <c r="EU35" s="188"/>
      <c r="EV35" s="188"/>
      <c r="EW35" s="188"/>
      <c r="EX35" s="188"/>
      <c r="EY35" s="188"/>
      <c r="EZ35" s="188"/>
      <c r="FA35" s="188"/>
      <c r="FB35" s="188"/>
      <c r="FC35" s="188"/>
      <c r="FD35" s="188"/>
      <c r="FE35" s="188"/>
      <c r="FF35" s="188"/>
      <c r="FG35" s="188"/>
      <c r="FH35" s="188"/>
      <c r="FI35" s="188"/>
      <c r="FJ35" s="188"/>
      <c r="FK35" s="188"/>
      <c r="FL35" s="188"/>
      <c r="FM35" s="188"/>
      <c r="FN35" s="188"/>
      <c r="FO35" s="188"/>
      <c r="FP35" s="188"/>
      <c r="FQ35" s="188"/>
      <c r="FR35" s="188"/>
      <c r="FS35" s="188"/>
      <c r="FT35" s="188"/>
      <c r="FU35" s="188"/>
      <c r="FV35" s="188"/>
      <c r="FW35" s="188"/>
      <c r="FX35" s="188"/>
      <c r="FY35" s="188"/>
      <c r="FZ35" s="188"/>
      <c r="GA35" s="188"/>
      <c r="GB35" s="188"/>
      <c r="GC35" s="188"/>
      <c r="GD35" s="188"/>
      <c r="GE35" s="188"/>
      <c r="GF35" s="188"/>
      <c r="GG35" s="188"/>
      <c r="GH35" s="188"/>
      <c r="GI35" s="188"/>
      <c r="GJ35" s="188"/>
      <c r="GK35" s="188"/>
      <c r="GL35" s="188"/>
      <c r="GM35" s="188"/>
      <c r="GN35" s="188"/>
      <c r="GO35" s="188"/>
      <c r="GP35" s="188"/>
      <c r="GQ35" s="188"/>
      <c r="GR35" s="188"/>
      <c r="GS35" s="188"/>
      <c r="GT35" s="188"/>
      <c r="GU35" s="188"/>
      <c r="GV35" s="188"/>
      <c r="GW35" s="188"/>
      <c r="GX35" s="188"/>
      <c r="GY35" s="188"/>
      <c r="GZ35" s="188"/>
      <c r="HA35" s="188"/>
      <c r="HB35" s="188"/>
      <c r="HC35" s="188"/>
      <c r="HD35" s="188"/>
      <c r="HE35" s="188"/>
      <c r="HF35" s="188"/>
      <c r="HG35" s="188"/>
      <c r="HH35" s="188"/>
      <c r="HI35" s="188"/>
      <c r="HJ35" s="188"/>
      <c r="HK35" s="188"/>
      <c r="HL35" s="188"/>
      <c r="HM35" s="188"/>
      <c r="HN35" s="188"/>
      <c r="HO35" s="188"/>
      <c r="HP35" s="188"/>
      <c r="HQ35" s="188"/>
      <c r="HR35" s="188"/>
      <c r="HS35" s="188"/>
      <c r="HT35" s="188"/>
      <c r="HU35" s="188"/>
      <c r="HV35" s="188"/>
      <c r="HW35" s="188"/>
      <c r="HX35" s="188"/>
      <c r="HY35" s="188"/>
      <c r="HZ35" s="188"/>
      <c r="IA35" s="188"/>
      <c r="IB35" s="188"/>
      <c r="IC35" s="188"/>
      <c r="ID35" s="188"/>
      <c r="IE35" s="188"/>
      <c r="IF35" s="188"/>
      <c r="IG35" s="188"/>
      <c r="IH35" s="188"/>
      <c r="II35" s="188"/>
      <c r="IJ35" s="188"/>
      <c r="IK35" s="188"/>
      <c r="IL35" s="188"/>
      <c r="IM35" s="188"/>
      <c r="IN35" s="188"/>
      <c r="IO35" s="188"/>
      <c r="IP35" s="188"/>
      <c r="IQ35" s="188"/>
      <c r="IR35" s="188"/>
      <c r="IS35" s="188"/>
      <c r="IT35" s="188"/>
      <c r="IU35" s="188"/>
      <c r="IV35" s="188"/>
      <c r="IW35" s="188"/>
      <c r="IX35" s="188"/>
      <c r="IY35" s="188"/>
      <c r="IZ35" s="188"/>
      <c r="JA35" s="188"/>
      <c r="JB35" s="188"/>
      <c r="JC35" s="188"/>
      <c r="JD35" s="188"/>
      <c r="JE35" s="188"/>
      <c r="JF35" s="188"/>
      <c r="JG35" s="188"/>
      <c r="JH35" s="188"/>
      <c r="JI35" s="188"/>
      <c r="JJ35" s="188"/>
      <c r="JK35" s="188"/>
      <c r="JL35" s="188"/>
      <c r="JM35" s="188"/>
      <c r="JN35" s="188"/>
      <c r="JO35" s="188"/>
      <c r="JP35" s="188"/>
      <c r="JQ35" s="188"/>
      <c r="JR35" s="188"/>
      <c r="JS35" s="188"/>
      <c r="JT35" s="188"/>
      <c r="JU35" s="188"/>
      <c r="JV35" s="188"/>
      <c r="JW35" s="188"/>
      <c r="JX35" s="188"/>
      <c r="JY35" s="188"/>
      <c r="JZ35" s="188"/>
      <c r="KA35" s="188"/>
      <c r="KB35" s="188"/>
      <c r="KC35" s="188"/>
      <c r="KD35" s="188"/>
      <c r="KE35" s="188"/>
      <c r="KF35" s="188"/>
      <c r="KG35" s="188"/>
      <c r="KH35" s="188"/>
      <c r="KI35" s="188"/>
      <c r="KJ35" s="188"/>
      <c r="KK35" s="188"/>
      <c r="KL35" s="188"/>
      <c r="KM35" s="188"/>
      <c r="KN35" s="188"/>
      <c r="KO35" s="188"/>
      <c r="KP35" s="188"/>
      <c r="KQ35" s="188"/>
      <c r="KR35" s="188"/>
      <c r="KS35" s="188"/>
      <c r="KT35" s="188"/>
      <c r="KU35" s="188"/>
      <c r="KV35" s="188"/>
      <c r="KW35" s="188"/>
      <c r="KX35" s="188"/>
      <c r="KY35" s="188"/>
      <c r="KZ35" s="188"/>
      <c r="LA35" s="188"/>
      <c r="LB35" s="188"/>
      <c r="LC35" s="188"/>
      <c r="LD35" s="188"/>
      <c r="LE35" s="188"/>
      <c r="LF35" s="188"/>
      <c r="LG35" s="188"/>
      <c r="LH35" s="188"/>
      <c r="LI35" s="188"/>
      <c r="LJ35" s="188"/>
      <c r="LK35" s="188"/>
      <c r="LL35" s="188"/>
      <c r="LM35" s="188"/>
      <c r="LN35" s="188"/>
      <c r="LO35" s="188"/>
      <c r="LP35" s="188"/>
      <c r="LQ35" s="188"/>
      <c r="LR35" s="188"/>
      <c r="LS35" s="188"/>
      <c r="LT35" s="188"/>
      <c r="LU35" s="188"/>
      <c r="LV35" s="188"/>
      <c r="LW35" s="188"/>
      <c r="LX35" s="188"/>
      <c r="LY35" s="188"/>
      <c r="LZ35" s="188"/>
      <c r="MA35" s="188"/>
      <c r="MB35" s="188"/>
      <c r="MC35" s="188"/>
      <c r="MD35" s="188"/>
      <c r="ME35" s="188"/>
      <c r="MF35" s="188"/>
      <c r="MG35" s="188"/>
      <c r="MH35" s="188"/>
      <c r="MI35" s="188"/>
      <c r="MJ35" s="188"/>
      <c r="MK35" s="188"/>
      <c r="ML35" s="188"/>
      <c r="MM35" s="188"/>
      <c r="MN35" s="188"/>
      <c r="MO35" s="188"/>
      <c r="MP35" s="188"/>
      <c r="MQ35" s="188"/>
      <c r="MR35" s="188"/>
      <c r="MS35" s="188"/>
      <c r="MT35" s="188"/>
      <c r="MU35" s="188"/>
      <c r="MV35" s="188"/>
      <c r="MW35" s="188"/>
      <c r="MX35" s="188"/>
      <c r="MY35" s="188"/>
      <c r="MZ35" s="188"/>
      <c r="NA35" s="188"/>
      <c r="NB35" s="188"/>
      <c r="NC35" s="188"/>
      <c r="ND35" s="188"/>
      <c r="NE35" s="188"/>
      <c r="NF35" s="188"/>
      <c r="NG35" s="188"/>
      <c r="NH35" s="188"/>
      <c r="NI35" s="188"/>
      <c r="NJ35" s="188"/>
      <c r="NK35" s="188"/>
      <c r="NL35" s="188"/>
      <c r="NM35" s="188"/>
      <c r="NN35" s="188"/>
      <c r="NO35" s="188"/>
      <c r="NP35" s="188"/>
      <c r="NQ35" s="188"/>
      <c r="NR35" s="188"/>
      <c r="NS35" s="188"/>
      <c r="NT35" s="188"/>
      <c r="NU35" s="188"/>
      <c r="NV35" s="188"/>
      <c r="NW35" s="188"/>
      <c r="NX35" s="188"/>
      <c r="NY35" s="188"/>
      <c r="NZ35" s="188"/>
      <c r="OA35" s="188"/>
      <c r="OB35" s="188"/>
      <c r="OC35" s="188"/>
      <c r="OD35" s="188"/>
      <c r="OE35" s="188"/>
      <c r="OF35" s="188"/>
      <c r="OG35" s="188"/>
      <c r="OH35" s="188"/>
      <c r="OI35" s="188"/>
      <c r="OJ35" s="188"/>
      <c r="OK35" s="188"/>
      <c r="OL35" s="188"/>
      <c r="OM35" s="188"/>
      <c r="ON35" s="188"/>
      <c r="OO35" s="188"/>
      <c r="OP35" s="188"/>
      <c r="OQ35" s="188"/>
      <c r="OR35" s="188"/>
      <c r="OS35" s="188"/>
      <c r="OT35" s="188"/>
      <c r="OU35" s="188"/>
      <c r="OV35" s="188"/>
      <c r="OW35" s="188"/>
      <c r="OX35" s="188"/>
      <c r="OY35" s="188"/>
      <c r="OZ35" s="188"/>
      <c r="PA35" s="188"/>
      <c r="PB35" s="188"/>
      <c r="PC35" s="188"/>
      <c r="PD35" s="188"/>
      <c r="PE35" s="188"/>
      <c r="PF35" s="188"/>
      <c r="PG35" s="188"/>
      <c r="PH35" s="188"/>
      <c r="PI35" s="188"/>
      <c r="PJ35" s="188"/>
      <c r="PK35" s="188"/>
      <c r="PL35" s="188"/>
      <c r="PM35" s="188"/>
      <c r="PN35" s="188"/>
      <c r="PO35" s="188"/>
      <c r="PP35" s="188"/>
      <c r="PQ35" s="188"/>
      <c r="PR35" s="188"/>
      <c r="PS35" s="188"/>
      <c r="PT35" s="188"/>
      <c r="PU35" s="188"/>
      <c r="PV35" s="188"/>
      <c r="PW35" s="188"/>
      <c r="PX35" s="188"/>
      <c r="PY35" s="188"/>
      <c r="PZ35" s="188"/>
      <c r="QA35" s="188"/>
      <c r="QB35" s="188"/>
      <c r="QC35" s="188"/>
      <c r="QD35" s="188"/>
      <c r="QE35" s="188"/>
      <c r="QF35" s="188"/>
      <c r="QG35" s="188"/>
      <c r="QH35" s="188"/>
      <c r="QI35" s="188"/>
      <c r="QJ35" s="188"/>
      <c r="QK35" s="188"/>
      <c r="QL35" s="188"/>
      <c r="QM35" s="188"/>
      <c r="QN35" s="188"/>
      <c r="QO35" s="188"/>
      <c r="QP35" s="188"/>
      <c r="QQ35" s="188"/>
      <c r="QR35" s="188"/>
      <c r="QS35" s="188"/>
      <c r="QT35" s="188"/>
      <c r="QU35" s="188"/>
      <c r="QV35" s="188"/>
      <c r="QW35" s="188"/>
      <c r="QX35" s="188"/>
      <c r="QY35" s="188"/>
      <c r="QZ35" s="188"/>
      <c r="RA35" s="188"/>
      <c r="RB35" s="188"/>
      <c r="RC35" s="188"/>
      <c r="RD35" s="188"/>
      <c r="RE35" s="188"/>
      <c r="RF35" s="188"/>
      <c r="RG35" s="188"/>
      <c r="RH35" s="188"/>
      <c r="RI35" s="188"/>
      <c r="RJ35" s="188"/>
      <c r="RK35" s="188"/>
      <c r="RL35" s="188"/>
      <c r="RM35" s="188"/>
      <c r="RN35" s="188"/>
      <c r="RO35" s="188"/>
      <c r="RP35" s="188"/>
      <c r="RQ35" s="188"/>
      <c r="RR35" s="188"/>
      <c r="RS35" s="188"/>
      <c r="RT35" s="188"/>
      <c r="RU35" s="188"/>
      <c r="RV35" s="188"/>
      <c r="RW35" s="188"/>
      <c r="RX35" s="188"/>
      <c r="RY35" s="188"/>
      <c r="RZ35" s="188"/>
      <c r="SA35" s="188"/>
      <c r="SB35" s="188"/>
      <c r="SC35" s="188"/>
      <c r="SD35" s="188"/>
      <c r="SE35" s="188"/>
      <c r="SF35" s="188"/>
      <c r="SG35" s="188"/>
      <c r="SH35" s="188"/>
      <c r="SI35" s="188"/>
      <c r="SJ35" s="188"/>
      <c r="SK35" s="188"/>
      <c r="SL35" s="188"/>
      <c r="SM35" s="188"/>
      <c r="SN35" s="188"/>
      <c r="SO35" s="188"/>
      <c r="SP35" s="188"/>
      <c r="SQ35" s="188"/>
      <c r="SR35" s="188"/>
      <c r="SS35" s="188"/>
      <c r="ST35" s="188"/>
      <c r="SU35" s="188"/>
      <c r="SV35" s="188"/>
      <c r="SW35" s="188"/>
      <c r="SX35" s="188"/>
      <c r="SY35" s="188"/>
      <c r="SZ35" s="188"/>
      <c r="TA35" s="188"/>
      <c r="TB35" s="188"/>
      <c r="TC35" s="188"/>
      <c r="TD35" s="188"/>
      <c r="TE35" s="188"/>
      <c r="TF35" s="188"/>
      <c r="TG35" s="188"/>
      <c r="TH35" s="188"/>
      <c r="TI35" s="188"/>
      <c r="TJ35" s="188"/>
      <c r="TK35" s="188"/>
      <c r="TL35" s="188"/>
      <c r="TM35" s="188"/>
      <c r="TN35" s="188"/>
      <c r="TO35" s="188"/>
      <c r="TP35" s="188"/>
      <c r="TQ35" s="188"/>
      <c r="TR35" s="188"/>
      <c r="TS35" s="188"/>
      <c r="TT35" s="188"/>
      <c r="TU35" s="188"/>
      <c r="TV35" s="188"/>
      <c r="TW35" s="188"/>
      <c r="TX35" s="188"/>
      <c r="TY35" s="188"/>
      <c r="TZ35" s="188"/>
      <c r="UA35" s="188"/>
      <c r="UB35" s="188"/>
      <c r="UC35" s="188"/>
      <c r="UD35" s="188"/>
      <c r="UE35" s="188"/>
      <c r="UF35" s="188"/>
      <c r="UG35" s="188"/>
      <c r="UH35" s="188"/>
      <c r="UI35" s="188"/>
      <c r="UJ35" s="188"/>
      <c r="UK35" s="188"/>
      <c r="UL35" s="188"/>
      <c r="UM35" s="188"/>
      <c r="UN35" s="188"/>
      <c r="UO35" s="188"/>
      <c r="UP35" s="188"/>
      <c r="UQ35" s="188"/>
      <c r="UR35" s="188"/>
      <c r="US35" s="188"/>
      <c r="UT35" s="188"/>
      <c r="UU35" s="188"/>
      <c r="UV35" s="188"/>
      <c r="UW35" s="188"/>
      <c r="UX35" s="188"/>
      <c r="UY35" s="188"/>
      <c r="UZ35" s="188"/>
      <c r="VA35" s="188"/>
      <c r="VB35" s="188"/>
      <c r="VC35" s="188"/>
      <c r="VD35" s="188"/>
      <c r="VE35" s="188"/>
      <c r="VF35" s="188"/>
      <c r="VG35" s="188"/>
      <c r="VH35" s="188"/>
      <c r="VI35" s="188"/>
      <c r="VJ35" s="188"/>
      <c r="VK35" s="188"/>
      <c r="VL35" s="188"/>
      <c r="VM35" s="188"/>
      <c r="VN35" s="188"/>
      <c r="VO35" s="188"/>
      <c r="VP35" s="188"/>
      <c r="VQ35" s="188"/>
      <c r="VR35" s="188"/>
      <c r="VS35" s="188"/>
      <c r="VT35" s="188"/>
      <c r="VU35" s="188"/>
      <c r="VV35" s="188"/>
      <c r="VW35" s="188"/>
      <c r="VX35" s="188"/>
      <c r="VY35" s="188"/>
      <c r="VZ35" s="188"/>
      <c r="WA35" s="188"/>
      <c r="WB35" s="188"/>
      <c r="WC35" s="188"/>
      <c r="WD35" s="188"/>
      <c r="WE35" s="188"/>
      <c r="WF35" s="188"/>
      <c r="WG35" s="188"/>
      <c r="WH35" s="188"/>
      <c r="WI35" s="188"/>
      <c r="WJ35" s="188"/>
      <c r="WK35" s="188"/>
      <c r="WL35" s="188"/>
      <c r="WM35" s="188"/>
      <c r="WN35" s="188"/>
      <c r="WO35" s="188"/>
      <c r="WP35" s="188"/>
      <c r="WQ35" s="188"/>
      <c r="WR35" s="188"/>
      <c r="WS35" s="188"/>
      <c r="WT35" s="188"/>
      <c r="WU35" s="188"/>
      <c r="WV35" s="188"/>
      <c r="WW35" s="188"/>
      <c r="WX35" s="188"/>
      <c r="WY35" s="188"/>
      <c r="WZ35" s="188"/>
      <c r="XA35" s="188"/>
      <c r="XB35" s="188"/>
      <c r="XC35" s="188"/>
      <c r="XD35" s="188"/>
      <c r="XE35" s="188"/>
      <c r="XF35" s="188"/>
      <c r="XG35" s="188"/>
      <c r="XH35" s="188"/>
      <c r="XI35" s="188"/>
      <c r="XJ35" s="188"/>
      <c r="XK35" s="188"/>
      <c r="XL35" s="188"/>
      <c r="XM35" s="188"/>
      <c r="XN35" s="188"/>
      <c r="XO35" s="188"/>
      <c r="XP35" s="188"/>
      <c r="XQ35" s="188"/>
      <c r="XR35" s="188"/>
      <c r="XS35" s="188"/>
      <c r="XT35" s="188"/>
      <c r="XU35" s="188"/>
      <c r="XV35" s="188"/>
      <c r="XW35" s="188"/>
      <c r="XX35" s="188"/>
      <c r="XY35" s="188"/>
      <c r="XZ35" s="188"/>
      <c r="YA35" s="188"/>
      <c r="YB35" s="188"/>
      <c r="YC35" s="188"/>
      <c r="YD35" s="188"/>
      <c r="YE35" s="188"/>
      <c r="YF35" s="188"/>
      <c r="YG35" s="188"/>
      <c r="YH35" s="188"/>
      <c r="YI35" s="188"/>
      <c r="YJ35" s="188"/>
      <c r="YK35" s="188"/>
      <c r="YL35" s="188"/>
      <c r="YM35" s="188"/>
      <c r="YN35" s="188"/>
      <c r="YO35" s="188"/>
      <c r="YP35" s="188"/>
      <c r="YQ35" s="188"/>
      <c r="YR35" s="188"/>
      <c r="YS35" s="188"/>
      <c r="YT35" s="188"/>
      <c r="YU35" s="188"/>
      <c r="YV35" s="188"/>
      <c r="YW35" s="188"/>
      <c r="YX35" s="188"/>
      <c r="YY35" s="188"/>
      <c r="YZ35" s="188"/>
      <c r="ZA35" s="188"/>
      <c r="ZB35" s="188"/>
      <c r="ZC35" s="188"/>
      <c r="ZD35" s="188"/>
      <c r="ZE35" s="188"/>
      <c r="ZF35" s="188"/>
      <c r="ZG35" s="188"/>
      <c r="ZH35" s="188"/>
      <c r="ZI35" s="188"/>
      <c r="ZJ35" s="188"/>
      <c r="ZK35" s="188"/>
      <c r="ZL35" s="188"/>
      <c r="ZM35" s="188"/>
      <c r="ZN35" s="188"/>
      <c r="ZO35" s="188"/>
      <c r="ZP35" s="188"/>
      <c r="ZQ35" s="188"/>
      <c r="ZR35" s="188"/>
      <c r="ZS35" s="188"/>
      <c r="ZT35" s="188"/>
      <c r="ZU35" s="188"/>
      <c r="ZV35" s="188"/>
      <c r="ZW35" s="188"/>
      <c r="ZX35" s="188"/>
      <c r="ZY35" s="188"/>
      <c r="ZZ35" s="188"/>
      <c r="AAA35" s="188"/>
      <c r="AAB35" s="188"/>
      <c r="AAC35" s="188"/>
      <c r="AAD35" s="188"/>
      <c r="AAE35" s="188"/>
      <c r="AAF35" s="188"/>
      <c r="AAG35" s="188"/>
      <c r="AAH35" s="188"/>
      <c r="AAI35" s="188"/>
      <c r="AAJ35" s="188"/>
      <c r="AAK35" s="188"/>
      <c r="AAL35" s="188"/>
      <c r="AAM35" s="188"/>
      <c r="AAN35" s="188"/>
      <c r="AAO35" s="188"/>
      <c r="AAP35" s="188"/>
      <c r="AAQ35" s="188"/>
      <c r="AAR35" s="188"/>
      <c r="AAS35" s="188"/>
      <c r="AAT35" s="188"/>
      <c r="AAU35" s="188"/>
      <c r="AAV35" s="188"/>
      <c r="AAW35" s="188"/>
      <c r="AAX35" s="188"/>
      <c r="AAY35" s="188"/>
      <c r="AAZ35" s="188"/>
      <c r="ABA35" s="188"/>
      <c r="ABB35" s="188"/>
      <c r="ABC35" s="188"/>
      <c r="ABD35" s="188"/>
      <c r="ABE35" s="188"/>
      <c r="ABF35" s="188"/>
      <c r="ABG35" s="188"/>
      <c r="ABH35" s="188"/>
      <c r="ABI35" s="188"/>
      <c r="ABJ35" s="188"/>
      <c r="ABK35" s="188"/>
      <c r="ABL35" s="188"/>
      <c r="ABM35" s="188"/>
      <c r="ABN35" s="188"/>
      <c r="ABO35" s="188"/>
      <c r="ABP35" s="188"/>
      <c r="ABQ35" s="188"/>
      <c r="ABR35" s="188"/>
      <c r="ABS35" s="188"/>
      <c r="ABT35" s="188"/>
      <c r="ABU35" s="188"/>
      <c r="ABV35" s="188"/>
      <c r="ABW35" s="188"/>
      <c r="ABX35" s="188"/>
      <c r="ABY35" s="188"/>
      <c r="ABZ35" s="188"/>
      <c r="ACA35" s="188"/>
      <c r="ACB35" s="188"/>
      <c r="ACC35" s="188"/>
      <c r="ACD35" s="188"/>
      <c r="ACE35" s="188"/>
      <c r="ACF35" s="188"/>
      <c r="ACG35" s="188"/>
      <c r="ACH35" s="188"/>
      <c r="ACI35" s="188"/>
      <c r="ACJ35" s="188"/>
      <c r="ACK35" s="188"/>
      <c r="ACL35" s="188"/>
      <c r="ACM35" s="188"/>
      <c r="ACN35" s="188"/>
      <c r="ACO35" s="188"/>
      <c r="ACP35" s="188"/>
      <c r="ACQ35" s="188"/>
      <c r="ACR35" s="188"/>
      <c r="ACS35" s="188"/>
      <c r="ACT35" s="188"/>
      <c r="ACU35" s="188"/>
      <c r="ACV35" s="188"/>
      <c r="ACW35" s="188"/>
      <c r="ACX35" s="188"/>
      <c r="ACY35" s="188"/>
      <c r="ACZ35" s="188"/>
      <c r="ADA35" s="188"/>
      <c r="ADB35" s="188"/>
      <c r="ADC35" s="188"/>
      <c r="ADD35" s="188"/>
      <c r="ADE35" s="188"/>
      <c r="ADF35" s="188"/>
      <c r="ADG35" s="188"/>
      <c r="ADH35" s="188"/>
      <c r="ADI35" s="188"/>
      <c r="ADJ35" s="188"/>
      <c r="ADK35" s="188"/>
      <c r="ADL35" s="188"/>
      <c r="ADM35" s="188"/>
      <c r="ADN35" s="188"/>
      <c r="ADO35" s="188"/>
      <c r="ADP35" s="188"/>
      <c r="ADQ35" s="188"/>
      <c r="ADR35" s="188"/>
      <c r="ADS35" s="188"/>
      <c r="ADT35" s="188"/>
      <c r="ADU35" s="188"/>
      <c r="ADV35" s="188"/>
      <c r="ADW35" s="188"/>
      <c r="ADX35" s="188"/>
      <c r="ADY35" s="188"/>
      <c r="ADZ35" s="188"/>
      <c r="AEA35" s="188"/>
      <c r="AEB35" s="188"/>
      <c r="AEC35" s="188"/>
      <c r="AED35" s="188"/>
      <c r="AEE35" s="188"/>
      <c r="AEF35" s="188"/>
      <c r="AEG35" s="188"/>
      <c r="AEH35" s="188"/>
      <c r="AEI35" s="188"/>
      <c r="AEJ35" s="188"/>
      <c r="AEK35" s="188"/>
      <c r="AEL35" s="188"/>
      <c r="AEM35" s="188"/>
      <c r="AEN35" s="188"/>
      <c r="AEO35" s="188"/>
      <c r="AEP35" s="188"/>
      <c r="AEQ35" s="188"/>
      <c r="AER35" s="188"/>
      <c r="AES35" s="188"/>
      <c r="AET35" s="188"/>
      <c r="AEU35" s="188"/>
      <c r="AEV35" s="188"/>
      <c r="AEW35" s="188"/>
      <c r="AEX35" s="188"/>
      <c r="AEY35" s="188"/>
      <c r="AEZ35" s="188"/>
      <c r="AFA35" s="188"/>
      <c r="AFB35" s="188"/>
      <c r="AFC35" s="188"/>
      <c r="AFD35" s="188"/>
      <c r="AFE35" s="188"/>
      <c r="AFF35" s="188"/>
      <c r="AFG35" s="188"/>
      <c r="AFH35" s="188"/>
      <c r="AFI35" s="188"/>
      <c r="AFJ35" s="188"/>
      <c r="AFK35" s="188"/>
      <c r="AFL35" s="188"/>
      <c r="AFM35" s="188"/>
      <c r="AFN35" s="188"/>
      <c r="AFO35" s="188"/>
      <c r="AFP35" s="188"/>
      <c r="AFQ35" s="188"/>
      <c r="AFR35" s="188"/>
      <c r="AFS35" s="188"/>
      <c r="AFT35" s="188"/>
      <c r="AFU35" s="188"/>
      <c r="AFV35" s="188"/>
      <c r="AFW35" s="188"/>
      <c r="AFX35" s="188"/>
      <c r="AFY35" s="188"/>
      <c r="AFZ35" s="188"/>
      <c r="AGA35" s="188"/>
      <c r="AGB35" s="188"/>
      <c r="AGC35" s="188"/>
      <c r="AGD35" s="188"/>
      <c r="AGE35" s="188"/>
      <c r="AGF35" s="188"/>
      <c r="AGG35" s="188"/>
      <c r="AGH35" s="188"/>
      <c r="AGI35" s="188"/>
      <c r="AGJ35" s="188"/>
      <c r="AGK35" s="188"/>
      <c r="AGL35" s="188"/>
      <c r="AGM35" s="188"/>
      <c r="AGN35" s="188"/>
      <c r="AGO35" s="188"/>
      <c r="AGP35" s="188"/>
      <c r="AGQ35" s="188"/>
      <c r="AGR35" s="188"/>
      <c r="AGS35" s="188"/>
      <c r="AGT35" s="188"/>
      <c r="AGU35" s="188"/>
      <c r="AGV35" s="188"/>
      <c r="AGW35" s="188"/>
      <c r="AGX35" s="188"/>
      <c r="AGY35" s="188"/>
      <c r="AGZ35" s="188"/>
      <c r="AHA35" s="188"/>
      <c r="AHB35" s="188"/>
      <c r="AHC35" s="188"/>
      <c r="AHD35" s="188"/>
      <c r="AHE35" s="188"/>
      <c r="AHF35" s="188"/>
      <c r="AHG35" s="188"/>
      <c r="AHH35" s="188"/>
      <c r="AHI35" s="188"/>
      <c r="AHJ35" s="188"/>
      <c r="AHK35" s="188"/>
      <c r="AHL35" s="188"/>
      <c r="AHM35" s="188"/>
      <c r="AHN35" s="188"/>
      <c r="AHO35" s="188"/>
      <c r="AHP35" s="188"/>
      <c r="AHQ35" s="188"/>
      <c r="AHR35" s="188"/>
      <c r="AHS35" s="188"/>
      <c r="AHT35" s="188"/>
      <c r="AHU35" s="188"/>
      <c r="AHV35" s="188"/>
      <c r="AHW35" s="188"/>
      <c r="AHX35" s="188"/>
      <c r="AHY35" s="188"/>
      <c r="AHZ35" s="188"/>
      <c r="AIA35" s="188"/>
      <c r="AIB35" s="188"/>
      <c r="AIC35" s="188"/>
      <c r="AID35" s="188"/>
      <c r="AIE35" s="188"/>
      <c r="AIF35" s="188"/>
      <c r="AIG35" s="188"/>
      <c r="AIH35" s="188"/>
      <c r="AII35" s="188"/>
      <c r="AIJ35" s="188"/>
      <c r="AIK35" s="188"/>
      <c r="AIL35" s="188"/>
      <c r="AIM35" s="188"/>
      <c r="AIN35" s="188"/>
      <c r="AIO35" s="188"/>
      <c r="AIP35" s="188"/>
      <c r="AIQ35" s="188"/>
      <c r="AIR35" s="188"/>
      <c r="AIS35" s="188"/>
      <c r="AIT35" s="188"/>
      <c r="AIU35" s="188"/>
      <c r="AIV35" s="188"/>
      <c r="AIW35" s="188"/>
      <c r="AIX35" s="188"/>
      <c r="AIY35" s="188"/>
      <c r="AIZ35" s="188"/>
      <c r="AJA35" s="188"/>
      <c r="AJB35" s="188"/>
      <c r="AJC35" s="188"/>
      <c r="AJD35" s="188"/>
      <c r="AJE35" s="188"/>
      <c r="AJF35" s="188"/>
      <c r="AJG35" s="188"/>
      <c r="AJH35" s="188"/>
      <c r="AJI35" s="188"/>
      <c r="AJJ35" s="188"/>
      <c r="AJK35" s="188"/>
      <c r="AJL35" s="188"/>
      <c r="AJM35" s="188"/>
      <c r="AJN35" s="188"/>
      <c r="AJO35" s="188"/>
      <c r="AJP35" s="188"/>
      <c r="AJQ35" s="188"/>
      <c r="AJR35" s="188"/>
      <c r="AJS35" s="188"/>
      <c r="AJT35" s="188"/>
      <c r="AJU35" s="188"/>
      <c r="AJV35" s="188"/>
      <c r="AJW35" s="188"/>
      <c r="AJX35" s="188"/>
      <c r="AJY35" s="188"/>
      <c r="AJZ35" s="188"/>
      <c r="AKA35" s="188"/>
      <c r="AKB35" s="188"/>
      <c r="AKC35" s="188"/>
      <c r="AKD35" s="188"/>
      <c r="AKE35" s="188"/>
      <c r="AKF35" s="188"/>
      <c r="AKG35" s="188"/>
      <c r="AKH35" s="188"/>
      <c r="AKI35" s="188"/>
      <c r="AKJ35" s="188"/>
      <c r="AKK35" s="188"/>
      <c r="AKL35" s="188"/>
      <c r="AKM35" s="188"/>
      <c r="AKN35" s="188"/>
      <c r="AKO35" s="188"/>
      <c r="AKP35" s="188"/>
      <c r="AKQ35" s="188"/>
      <c r="AKR35" s="188"/>
      <c r="AKS35" s="188"/>
      <c r="AKT35" s="188"/>
      <c r="AKU35" s="188"/>
      <c r="AKV35" s="188"/>
      <c r="AKW35" s="188"/>
      <c r="AKX35" s="188"/>
      <c r="AKY35" s="188"/>
      <c r="AKZ35" s="188"/>
      <c r="ALA35" s="188"/>
      <c r="ALB35" s="188"/>
      <c r="ALC35" s="188"/>
      <c r="ALD35" s="188"/>
      <c r="ALE35" s="188"/>
      <c r="ALF35" s="188"/>
      <c r="ALG35" s="188"/>
      <c r="ALH35" s="188"/>
      <c r="ALI35" s="188"/>
      <c r="ALJ35" s="188"/>
      <c r="ALK35" s="188"/>
      <c r="ALL35" s="188"/>
      <c r="ALM35" s="188"/>
      <c r="ALN35" s="188"/>
      <c r="ALO35" s="188"/>
      <c r="ALP35" s="188"/>
      <c r="ALQ35" s="188"/>
      <c r="ALR35" s="188"/>
      <c r="ALS35" s="188"/>
      <c r="ALT35" s="188"/>
      <c r="ALU35" s="188"/>
      <c r="ALV35" s="188"/>
      <c r="ALW35" s="188"/>
      <c r="ALX35" s="188"/>
      <c r="ALY35" s="188"/>
      <c r="ALZ35" s="188"/>
      <c r="AMA35" s="188"/>
      <c r="AMB35" s="188"/>
      <c r="AMC35" s="188"/>
      <c r="AMD35" s="188"/>
      <c r="AME35" s="188"/>
      <c r="AMF35" s="188"/>
      <c r="AMG35" s="188"/>
      <c r="AMH35" s="188"/>
      <c r="AMI35" s="188"/>
      <c r="AMJ35" s="188"/>
      <c r="AMK35" s="188"/>
      <c r="AML35" s="188"/>
      <c r="AMM35" s="188"/>
      <c r="AMN35" s="188"/>
      <c r="AMO35" s="188"/>
      <c r="AMP35" s="188"/>
      <c r="AMQ35" s="188"/>
      <c r="AMR35" s="188"/>
      <c r="AMS35" s="188"/>
      <c r="AMT35" s="188"/>
      <c r="AMU35" s="188"/>
      <c r="AMV35" s="188"/>
      <c r="AMW35" s="188"/>
      <c r="AMX35" s="188"/>
      <c r="AMY35" s="188"/>
      <c r="AMZ35" s="188"/>
      <c r="ANA35" s="188"/>
      <c r="ANB35" s="188"/>
      <c r="ANC35" s="188"/>
      <c r="AND35" s="188"/>
      <c r="ANE35" s="188"/>
      <c r="ANF35" s="188"/>
      <c r="ANG35" s="188"/>
      <c r="ANH35" s="188"/>
      <c r="ANI35" s="188"/>
      <c r="ANJ35" s="188"/>
      <c r="ANK35" s="188"/>
      <c r="ANL35" s="188"/>
      <c r="ANM35" s="188"/>
      <c r="ANN35" s="188"/>
      <c r="ANO35" s="188"/>
      <c r="ANP35" s="188"/>
      <c r="ANQ35" s="188"/>
      <c r="ANR35" s="188"/>
      <c r="ANS35" s="188"/>
      <c r="ANT35" s="188"/>
      <c r="ANU35" s="188"/>
      <c r="ANV35" s="188"/>
      <c r="ANW35" s="188"/>
      <c r="ANX35" s="188"/>
      <c r="ANY35" s="188"/>
      <c r="ANZ35" s="188"/>
      <c r="AOA35" s="188"/>
      <c r="AOB35" s="188"/>
      <c r="AOC35" s="188"/>
      <c r="AOD35" s="188"/>
      <c r="AOE35" s="188"/>
      <c r="AOF35" s="188"/>
      <c r="AOG35" s="188"/>
      <c r="AOH35" s="188"/>
      <c r="AOI35" s="188"/>
      <c r="AOJ35" s="188"/>
      <c r="AOK35" s="188"/>
      <c r="AOL35" s="188"/>
      <c r="AOM35" s="188"/>
      <c r="AON35" s="188"/>
      <c r="AOO35" s="188"/>
      <c r="AOP35" s="188"/>
      <c r="AOQ35" s="188"/>
      <c r="AOR35" s="188"/>
      <c r="AOS35" s="188"/>
      <c r="AOT35" s="188"/>
      <c r="AOU35" s="188"/>
      <c r="AOV35" s="188"/>
      <c r="AOW35" s="188"/>
      <c r="AOX35" s="188"/>
      <c r="AOY35" s="188"/>
      <c r="AOZ35" s="188"/>
      <c r="APA35" s="188"/>
      <c r="APB35" s="188"/>
      <c r="APC35" s="188"/>
      <c r="APD35" s="188"/>
      <c r="APE35" s="188"/>
      <c r="APF35" s="188"/>
      <c r="APG35" s="188"/>
      <c r="APH35" s="188"/>
      <c r="API35" s="188"/>
      <c r="APJ35" s="188"/>
      <c r="APK35" s="188"/>
      <c r="APL35" s="188"/>
      <c r="APM35" s="188"/>
      <c r="APN35" s="188"/>
      <c r="APO35" s="188"/>
      <c r="APP35" s="188"/>
      <c r="APQ35" s="188"/>
      <c r="APR35" s="188"/>
      <c r="APS35" s="188"/>
      <c r="APT35" s="188"/>
      <c r="APU35" s="188"/>
      <c r="APV35" s="188"/>
      <c r="APW35" s="188"/>
      <c r="APX35" s="188"/>
      <c r="APY35" s="188"/>
      <c r="APZ35" s="188"/>
      <c r="AQA35" s="188"/>
      <c r="AQB35" s="188"/>
      <c r="AQC35" s="188"/>
      <c r="AQD35" s="188"/>
      <c r="AQE35" s="188"/>
      <c r="AQF35" s="188"/>
      <c r="AQG35" s="188"/>
      <c r="AQH35" s="188"/>
      <c r="AQI35" s="188"/>
      <c r="AQJ35" s="188"/>
      <c r="AQK35" s="188"/>
      <c r="AQL35" s="188"/>
      <c r="AQM35" s="188"/>
      <c r="AQN35" s="188"/>
      <c r="AQO35" s="188"/>
      <c r="AQP35" s="188"/>
      <c r="AQQ35" s="188"/>
      <c r="AQR35" s="188"/>
      <c r="AQS35" s="188"/>
      <c r="AQT35" s="188"/>
      <c r="AQU35" s="188"/>
      <c r="AQV35" s="188"/>
      <c r="AQW35" s="188"/>
      <c r="AQX35" s="188"/>
      <c r="AQY35" s="188"/>
      <c r="AQZ35" s="188"/>
      <c r="ARA35" s="188"/>
      <c r="ARB35" s="188"/>
      <c r="ARC35" s="188"/>
      <c r="ARD35" s="188"/>
      <c r="ARE35" s="188"/>
      <c r="ARF35" s="188"/>
      <c r="ARG35" s="188"/>
      <c r="ARH35" s="188"/>
      <c r="ARI35" s="188"/>
      <c r="ARJ35" s="188"/>
      <c r="ARK35" s="188"/>
      <c r="ARL35" s="188"/>
      <c r="ARM35" s="188"/>
      <c r="ARN35" s="188"/>
      <c r="ARO35" s="188"/>
      <c r="ARP35" s="188"/>
      <c r="ARQ35" s="188"/>
      <c r="ARR35" s="188"/>
      <c r="ARS35" s="188"/>
      <c r="ART35" s="188"/>
      <c r="ARU35" s="188"/>
      <c r="ARV35" s="188"/>
      <c r="ARW35" s="188"/>
      <c r="ARX35" s="188"/>
      <c r="ARY35" s="188"/>
      <c r="ARZ35" s="188"/>
      <c r="ASA35" s="188"/>
      <c r="ASB35" s="188"/>
      <c r="ASC35" s="188"/>
      <c r="ASD35" s="188"/>
      <c r="ASE35" s="188"/>
      <c r="ASF35" s="188"/>
      <c r="ASG35" s="188"/>
      <c r="ASH35" s="188"/>
      <c r="ASI35" s="188"/>
      <c r="ASJ35" s="188"/>
      <c r="ASK35" s="188"/>
      <c r="ASL35" s="188"/>
      <c r="ASM35" s="188"/>
      <c r="ASN35" s="188"/>
      <c r="ASO35" s="188"/>
      <c r="ASP35" s="188"/>
      <c r="ASQ35" s="188"/>
      <c r="ASR35" s="188"/>
      <c r="ASS35" s="188"/>
      <c r="AST35" s="188"/>
      <c r="ASU35" s="188"/>
      <c r="ASV35" s="188"/>
      <c r="ASW35" s="188"/>
      <c r="ASX35" s="188"/>
      <c r="ASY35" s="188"/>
      <c r="ASZ35" s="188"/>
      <c r="ATA35" s="188"/>
      <c r="ATB35" s="188"/>
      <c r="ATC35" s="188"/>
      <c r="ATD35" s="188"/>
      <c r="ATE35" s="188"/>
      <c r="ATF35" s="188"/>
      <c r="ATG35" s="188"/>
      <c r="ATH35" s="188"/>
      <c r="ATI35" s="188"/>
      <c r="ATJ35" s="188"/>
      <c r="ATK35" s="188"/>
      <c r="ATL35" s="188"/>
      <c r="ATM35" s="188"/>
      <c r="ATN35" s="188"/>
      <c r="ATO35" s="188"/>
      <c r="ATP35" s="188"/>
      <c r="ATQ35" s="188"/>
      <c r="ATR35" s="188"/>
      <c r="ATS35" s="188"/>
      <c r="ATT35" s="188"/>
      <c r="ATU35" s="188"/>
      <c r="ATV35" s="188"/>
      <c r="ATW35" s="188"/>
      <c r="ATX35" s="188"/>
      <c r="ATY35" s="188"/>
      <c r="ATZ35" s="188"/>
      <c r="AUA35" s="188"/>
      <c r="AUB35" s="188"/>
      <c r="AUC35" s="188"/>
      <c r="AUD35" s="188"/>
      <c r="AUE35" s="188"/>
      <c r="AUF35" s="188"/>
      <c r="AUG35" s="188"/>
      <c r="AUH35" s="188"/>
      <c r="AUI35" s="188"/>
      <c r="AUJ35" s="188"/>
      <c r="AUK35" s="188"/>
      <c r="AUL35" s="188"/>
      <c r="AUM35" s="188"/>
      <c r="AUN35" s="188"/>
      <c r="AUO35" s="188"/>
      <c r="AUP35" s="188"/>
      <c r="AUQ35" s="188"/>
      <c r="AUR35" s="188"/>
      <c r="AUS35" s="188"/>
      <c r="AUT35" s="188"/>
      <c r="AUU35" s="188"/>
      <c r="AUV35" s="188"/>
      <c r="AUW35" s="188"/>
      <c r="AUX35" s="188"/>
      <c r="AUY35" s="188"/>
      <c r="AUZ35" s="188"/>
      <c r="AVA35" s="188"/>
      <c r="AVB35" s="188"/>
      <c r="AVC35" s="188"/>
      <c r="AVD35" s="188"/>
      <c r="AVE35" s="188"/>
      <c r="AVF35" s="188"/>
      <c r="AVG35" s="188"/>
      <c r="AVH35" s="188"/>
      <c r="AVI35" s="188"/>
      <c r="AVJ35" s="188"/>
      <c r="AVK35" s="188"/>
      <c r="AVL35" s="188"/>
      <c r="AVM35" s="188"/>
      <c r="AVN35" s="188"/>
      <c r="AVO35" s="188"/>
      <c r="AVP35" s="188"/>
      <c r="AVQ35" s="188"/>
      <c r="AVR35" s="188"/>
      <c r="AVS35" s="188"/>
      <c r="AVT35" s="188"/>
      <c r="AVU35" s="188"/>
      <c r="AVV35" s="188"/>
      <c r="AVW35" s="188"/>
      <c r="AVX35" s="188"/>
      <c r="AVY35" s="188"/>
      <c r="AVZ35" s="188"/>
      <c r="AWA35" s="188"/>
      <c r="AWB35" s="188"/>
      <c r="AWC35" s="188"/>
      <c r="AWD35" s="188"/>
      <c r="AWE35" s="188"/>
      <c r="AWF35" s="188"/>
      <c r="AWG35" s="188"/>
      <c r="AWH35" s="188"/>
      <c r="AWI35" s="188"/>
      <c r="AWJ35" s="188"/>
      <c r="AWK35" s="188"/>
      <c r="AWL35" s="188"/>
      <c r="AWM35" s="188"/>
      <c r="AWN35" s="188"/>
      <c r="AWO35" s="188"/>
      <c r="AWP35" s="188"/>
      <c r="AWQ35" s="188"/>
      <c r="AWR35" s="188"/>
      <c r="AWS35" s="188"/>
      <c r="AWT35" s="188"/>
      <c r="AWU35" s="188"/>
      <c r="AWV35" s="188"/>
      <c r="AWW35" s="188"/>
      <c r="AWX35" s="188"/>
      <c r="AWY35" s="188"/>
      <c r="AWZ35" s="188"/>
      <c r="AXA35" s="188"/>
      <c r="AXB35" s="188"/>
      <c r="AXC35" s="188"/>
      <c r="AXD35" s="188"/>
      <c r="AXE35" s="188"/>
      <c r="AXF35" s="188"/>
      <c r="AXG35" s="188"/>
      <c r="AXH35" s="188"/>
      <c r="AXI35" s="188"/>
      <c r="AXJ35" s="188"/>
      <c r="AXK35" s="188"/>
      <c r="AXL35" s="188"/>
      <c r="AXM35" s="188"/>
      <c r="AXN35" s="188"/>
      <c r="AXO35" s="188"/>
      <c r="AXP35" s="188"/>
      <c r="AXQ35" s="188"/>
      <c r="AXR35" s="188"/>
      <c r="AXS35" s="188"/>
      <c r="AXT35" s="188"/>
      <c r="AXU35" s="188"/>
      <c r="AXV35" s="188"/>
      <c r="AXW35" s="188"/>
      <c r="AXX35" s="188"/>
      <c r="AXY35" s="188"/>
      <c r="AXZ35" s="188"/>
      <c r="AYA35" s="188"/>
      <c r="AYB35" s="188"/>
      <c r="AYC35" s="188"/>
      <c r="AYD35" s="188"/>
      <c r="AYE35" s="188"/>
      <c r="AYF35" s="188"/>
      <c r="AYG35" s="188"/>
      <c r="AYH35" s="188"/>
      <c r="AYI35" s="188"/>
      <c r="AYJ35" s="188"/>
      <c r="AYK35" s="188"/>
      <c r="AYL35" s="188"/>
      <c r="AYM35" s="188"/>
      <c r="AYN35" s="188"/>
      <c r="AYO35" s="188"/>
      <c r="AYP35" s="188"/>
      <c r="AYQ35" s="188"/>
      <c r="AYR35" s="188"/>
      <c r="AYS35" s="188"/>
      <c r="AYT35" s="188"/>
      <c r="AYU35" s="188"/>
      <c r="AYV35" s="188"/>
      <c r="AYW35" s="188"/>
      <c r="AYX35" s="188"/>
      <c r="AYY35" s="188"/>
      <c r="AYZ35" s="188"/>
      <c r="AZA35" s="188"/>
      <c r="AZB35" s="188"/>
      <c r="AZC35" s="188"/>
      <c r="AZD35" s="188"/>
      <c r="AZE35" s="188"/>
      <c r="AZF35" s="188"/>
      <c r="AZG35" s="188"/>
      <c r="AZH35" s="188"/>
      <c r="AZI35" s="188"/>
      <c r="AZJ35" s="188"/>
      <c r="AZK35" s="188"/>
      <c r="AZL35" s="188"/>
      <c r="AZM35" s="188"/>
      <c r="AZN35" s="188"/>
      <c r="AZO35" s="188"/>
      <c r="AZP35" s="188"/>
      <c r="AZQ35" s="188"/>
      <c r="AZR35" s="188"/>
      <c r="AZS35" s="188"/>
      <c r="AZT35" s="188"/>
      <c r="AZU35" s="188"/>
      <c r="AZV35" s="188"/>
      <c r="AZW35" s="188"/>
      <c r="AZX35" s="188"/>
      <c r="AZY35" s="188"/>
      <c r="AZZ35" s="188"/>
      <c r="BAA35" s="188"/>
      <c r="BAB35" s="188"/>
      <c r="BAC35" s="188"/>
      <c r="BAD35" s="188"/>
      <c r="BAE35" s="188"/>
      <c r="BAF35" s="188"/>
      <c r="BAG35" s="188"/>
      <c r="BAH35" s="188"/>
      <c r="BAI35" s="188"/>
      <c r="BAJ35" s="188"/>
      <c r="BAK35" s="188"/>
      <c r="BAL35" s="188"/>
      <c r="BAM35" s="188"/>
      <c r="BAN35" s="188"/>
      <c r="BAO35" s="188"/>
      <c r="BAP35" s="188"/>
      <c r="BAQ35" s="188"/>
      <c r="BAR35" s="188"/>
      <c r="BAS35" s="188"/>
      <c r="BAT35" s="188"/>
      <c r="BAU35" s="188"/>
      <c r="BAV35" s="188"/>
      <c r="BAW35" s="188"/>
      <c r="BAX35" s="188"/>
      <c r="BAY35" s="188"/>
      <c r="BAZ35" s="188"/>
      <c r="BBA35" s="188"/>
      <c r="BBB35" s="188"/>
      <c r="BBC35" s="188"/>
      <c r="BBD35" s="188"/>
      <c r="BBE35" s="188"/>
      <c r="BBF35" s="188"/>
      <c r="BBG35" s="188"/>
      <c r="BBH35" s="188"/>
      <c r="BBI35" s="188"/>
      <c r="BBJ35" s="188"/>
      <c r="BBK35" s="188"/>
      <c r="BBL35" s="188"/>
      <c r="BBM35" s="188"/>
      <c r="BBN35" s="188"/>
      <c r="BBO35" s="188"/>
      <c r="BBP35" s="188"/>
      <c r="BBQ35" s="188"/>
      <c r="BBR35" s="188"/>
      <c r="BBS35" s="188"/>
      <c r="BBT35" s="188"/>
      <c r="BBU35" s="188"/>
      <c r="BBV35" s="188"/>
      <c r="BBW35" s="188"/>
      <c r="BBX35" s="188"/>
      <c r="BBY35" s="188"/>
      <c r="BBZ35" s="188"/>
      <c r="BCA35" s="188"/>
      <c r="BCB35" s="188"/>
      <c r="BCC35" s="188"/>
      <c r="BCD35" s="188"/>
      <c r="BCE35" s="188"/>
      <c r="BCF35" s="188"/>
      <c r="BCG35" s="188"/>
      <c r="BCH35" s="188"/>
      <c r="BCI35" s="188"/>
      <c r="BCJ35" s="188"/>
      <c r="BCK35" s="188"/>
      <c r="BCL35" s="188"/>
      <c r="BCM35" s="188"/>
      <c r="BCN35" s="188"/>
      <c r="BCO35" s="188"/>
      <c r="BCP35" s="188"/>
      <c r="BCQ35" s="188"/>
      <c r="BCR35" s="188"/>
      <c r="BCS35" s="188"/>
      <c r="BCT35" s="188"/>
      <c r="BCU35" s="188"/>
      <c r="BCV35" s="188"/>
      <c r="BCW35" s="188"/>
      <c r="BCX35" s="188"/>
      <c r="BCY35" s="188"/>
      <c r="BCZ35" s="188"/>
      <c r="BDA35" s="188"/>
      <c r="BDB35" s="188"/>
      <c r="BDC35" s="188"/>
      <c r="BDD35" s="188"/>
      <c r="BDE35" s="188"/>
      <c r="BDF35" s="188"/>
      <c r="BDG35" s="188"/>
      <c r="BDH35" s="188"/>
      <c r="BDI35" s="188"/>
      <c r="BDJ35" s="188"/>
      <c r="BDK35" s="188"/>
      <c r="BDL35" s="188"/>
      <c r="BDM35" s="188"/>
      <c r="BDN35" s="188"/>
      <c r="BDO35" s="188"/>
      <c r="BDP35" s="188"/>
      <c r="BDQ35" s="188"/>
      <c r="BDR35" s="188"/>
      <c r="BDS35" s="188"/>
      <c r="BDT35" s="188"/>
      <c r="BDU35" s="188"/>
      <c r="BDV35" s="188"/>
      <c r="BDW35" s="188"/>
      <c r="BDX35" s="188"/>
      <c r="BDY35" s="188"/>
      <c r="BDZ35" s="188"/>
      <c r="BEA35" s="188"/>
      <c r="BEB35" s="188"/>
      <c r="BEC35" s="188"/>
      <c r="BED35" s="188"/>
      <c r="BEE35" s="188"/>
      <c r="BEF35" s="188"/>
      <c r="BEG35" s="188"/>
      <c r="BEH35" s="188"/>
      <c r="BEI35" s="188"/>
      <c r="BEJ35" s="188"/>
      <c r="BEK35" s="188"/>
      <c r="BEL35" s="188"/>
      <c r="BEM35" s="188"/>
      <c r="BEN35" s="188"/>
      <c r="BEO35" s="188"/>
      <c r="BEP35" s="188"/>
      <c r="BEQ35" s="188"/>
      <c r="BER35" s="188"/>
      <c r="BES35" s="188"/>
      <c r="BET35" s="188"/>
      <c r="BEU35" s="188"/>
      <c r="BEV35" s="188"/>
      <c r="BEW35" s="188"/>
      <c r="BEX35" s="188"/>
      <c r="BEY35" s="188"/>
      <c r="BEZ35" s="188"/>
      <c r="BFA35" s="188"/>
      <c r="BFB35" s="188"/>
      <c r="BFC35" s="188"/>
      <c r="BFD35" s="188"/>
      <c r="BFE35" s="188"/>
      <c r="BFF35" s="188"/>
      <c r="BFG35" s="188"/>
      <c r="BFH35" s="188"/>
      <c r="BFI35" s="188"/>
      <c r="BFJ35" s="188"/>
      <c r="BFK35" s="188"/>
      <c r="BFL35" s="188"/>
      <c r="BFM35" s="188"/>
      <c r="BFN35" s="188"/>
      <c r="BFO35" s="188"/>
      <c r="BFP35" s="188"/>
      <c r="BFQ35" s="188"/>
      <c r="BFR35" s="188"/>
      <c r="BFS35" s="188"/>
      <c r="BFT35" s="188"/>
      <c r="BFU35" s="188"/>
      <c r="BFV35" s="188"/>
      <c r="BFW35" s="188"/>
      <c r="BFX35" s="188"/>
      <c r="BFY35" s="188"/>
      <c r="BFZ35" s="188"/>
      <c r="BGA35" s="188"/>
      <c r="BGB35" s="188"/>
      <c r="BGC35" s="188"/>
      <c r="BGD35" s="188"/>
      <c r="BGE35" s="188"/>
      <c r="BGF35" s="188"/>
      <c r="BGG35" s="188"/>
      <c r="BGH35" s="188"/>
      <c r="BGI35" s="188"/>
      <c r="BGJ35" s="188"/>
      <c r="BGK35" s="188"/>
      <c r="BGL35" s="188"/>
      <c r="BGM35" s="188"/>
      <c r="BGN35" s="188"/>
      <c r="BGO35" s="188"/>
      <c r="BGP35" s="188"/>
      <c r="BGQ35" s="188"/>
      <c r="BGR35" s="188"/>
      <c r="BGS35" s="188"/>
      <c r="BGT35" s="188"/>
      <c r="BGU35" s="188"/>
      <c r="BGV35" s="188"/>
      <c r="BGW35" s="188"/>
      <c r="BGX35" s="188"/>
      <c r="BGY35" s="188"/>
      <c r="BGZ35" s="188"/>
      <c r="BHA35" s="188"/>
      <c r="BHB35" s="188"/>
      <c r="BHC35" s="188"/>
      <c r="BHD35" s="188"/>
      <c r="BHE35" s="188"/>
      <c r="BHF35" s="188"/>
      <c r="BHG35" s="188"/>
      <c r="BHH35" s="188"/>
      <c r="BHI35" s="188"/>
      <c r="BHJ35" s="188"/>
      <c r="BHK35" s="188"/>
      <c r="BHL35" s="188"/>
      <c r="BHM35" s="188"/>
      <c r="BHN35" s="188"/>
      <c r="BHO35" s="188"/>
      <c r="BHP35" s="188"/>
      <c r="BHQ35" s="188"/>
      <c r="BHR35" s="188"/>
      <c r="BHS35" s="188"/>
      <c r="BHT35" s="188"/>
      <c r="BHU35" s="188"/>
      <c r="BHV35" s="188"/>
      <c r="BHW35" s="188"/>
      <c r="BHX35" s="188"/>
      <c r="BHY35" s="188"/>
      <c r="BHZ35" s="188"/>
      <c r="BIA35" s="188"/>
      <c r="BIB35" s="188"/>
      <c r="BIC35" s="188"/>
      <c r="BID35" s="188"/>
      <c r="BIE35" s="188"/>
      <c r="BIF35" s="188"/>
      <c r="BIG35" s="188"/>
      <c r="BIH35" s="188"/>
      <c r="BII35" s="188"/>
      <c r="BIJ35" s="188"/>
      <c r="BIK35" s="188"/>
      <c r="BIL35" s="188"/>
      <c r="BIM35" s="188"/>
      <c r="BIN35" s="188"/>
      <c r="BIO35" s="188"/>
      <c r="BIP35" s="188"/>
      <c r="BIQ35" s="188"/>
      <c r="BIR35" s="188"/>
      <c r="BIS35" s="188"/>
      <c r="BIT35" s="188"/>
      <c r="BIU35" s="188"/>
      <c r="BIV35" s="188"/>
      <c r="BIW35" s="188"/>
      <c r="BIX35" s="188"/>
      <c r="BIY35" s="188"/>
      <c r="BIZ35" s="188"/>
      <c r="BJA35" s="188"/>
      <c r="BJB35" s="188"/>
      <c r="BJC35" s="188"/>
      <c r="BJD35" s="188"/>
      <c r="BJE35" s="188"/>
      <c r="BJF35" s="188"/>
      <c r="BJG35" s="188"/>
      <c r="BJH35" s="188"/>
      <c r="BJI35" s="188"/>
      <c r="BJJ35" s="188"/>
      <c r="BJK35" s="188"/>
      <c r="BJL35" s="188"/>
      <c r="BJM35" s="188"/>
      <c r="BJN35" s="188"/>
      <c r="BJO35" s="188"/>
      <c r="BJP35" s="188"/>
      <c r="BJQ35" s="188"/>
      <c r="BJR35" s="188"/>
      <c r="BJS35" s="188"/>
      <c r="BJT35" s="188"/>
      <c r="BJU35" s="188"/>
      <c r="BJV35" s="188"/>
      <c r="BJW35" s="188"/>
      <c r="BJX35" s="188"/>
      <c r="BJY35" s="188"/>
      <c r="BJZ35" s="188"/>
      <c r="BKA35" s="188"/>
      <c r="BKB35" s="188"/>
      <c r="BKC35" s="188"/>
      <c r="BKD35" s="188"/>
      <c r="BKE35" s="188"/>
      <c r="BKF35" s="188"/>
      <c r="BKG35" s="188"/>
      <c r="BKH35" s="188"/>
      <c r="BKI35" s="188"/>
      <c r="BKJ35" s="188"/>
      <c r="BKK35" s="188"/>
      <c r="BKL35" s="188"/>
      <c r="BKM35" s="188"/>
      <c r="BKN35" s="188"/>
      <c r="BKO35" s="188"/>
      <c r="BKP35" s="188"/>
      <c r="BKQ35" s="188"/>
      <c r="BKR35" s="188"/>
      <c r="BKS35" s="188"/>
      <c r="BKT35" s="188"/>
      <c r="BKU35" s="188"/>
      <c r="BKV35" s="188"/>
      <c r="BKW35" s="188"/>
      <c r="BKX35" s="188"/>
      <c r="BKY35" s="188"/>
      <c r="BKZ35" s="188"/>
      <c r="BLA35" s="188"/>
      <c r="BLB35" s="188"/>
      <c r="BLC35" s="188"/>
      <c r="BLD35" s="188"/>
      <c r="BLE35" s="188"/>
      <c r="BLF35" s="188"/>
      <c r="BLG35" s="188"/>
      <c r="BLH35" s="188"/>
      <c r="BLI35" s="188"/>
      <c r="BLJ35" s="188"/>
      <c r="BLK35" s="188"/>
      <c r="BLL35" s="188"/>
      <c r="BLM35" s="188"/>
      <c r="BLN35" s="188"/>
      <c r="BLO35" s="188"/>
      <c r="BLP35" s="188"/>
      <c r="BLQ35" s="188"/>
      <c r="BLR35" s="188"/>
      <c r="BLS35" s="188"/>
      <c r="BLT35" s="188"/>
      <c r="BLU35" s="188"/>
      <c r="BLV35" s="188"/>
      <c r="BLW35" s="188"/>
      <c r="BLX35" s="188"/>
      <c r="BLY35" s="188"/>
      <c r="BLZ35" s="188"/>
      <c r="BMA35" s="188"/>
      <c r="BMB35" s="188"/>
      <c r="BMC35" s="188"/>
      <c r="BMD35" s="188"/>
      <c r="BME35" s="188"/>
      <c r="BMF35" s="188"/>
      <c r="BMG35" s="188"/>
      <c r="BMH35" s="188"/>
      <c r="BMI35" s="188"/>
      <c r="BMJ35" s="188"/>
      <c r="BMK35" s="188"/>
      <c r="BML35" s="188"/>
      <c r="BMM35" s="188"/>
      <c r="BMN35" s="188"/>
      <c r="BMO35" s="188"/>
      <c r="BMP35" s="188"/>
      <c r="BMQ35" s="188"/>
      <c r="BMR35" s="188"/>
      <c r="BMS35" s="188"/>
      <c r="BMT35" s="188"/>
      <c r="BMU35" s="188"/>
      <c r="BMV35" s="188"/>
      <c r="BMW35" s="188"/>
      <c r="BMX35" s="188"/>
      <c r="BMY35" s="188"/>
      <c r="BMZ35" s="188"/>
      <c r="BNA35" s="188"/>
      <c r="BNB35" s="188"/>
      <c r="BNC35" s="188"/>
      <c r="BND35" s="188"/>
      <c r="BNE35" s="188"/>
      <c r="BNF35" s="188"/>
      <c r="BNG35" s="188"/>
      <c r="BNH35" s="188"/>
      <c r="BNI35" s="188"/>
      <c r="BNJ35" s="188"/>
      <c r="BNK35" s="188"/>
      <c r="BNL35" s="188"/>
      <c r="BNM35" s="188"/>
      <c r="BNN35" s="188"/>
      <c r="BNO35" s="188"/>
      <c r="BNP35" s="188"/>
      <c r="BNQ35" s="188"/>
      <c r="BNR35" s="188"/>
      <c r="BNS35" s="188"/>
      <c r="BNT35" s="188"/>
      <c r="BNU35" s="188"/>
      <c r="BNV35" s="188"/>
      <c r="BNW35" s="188"/>
      <c r="BNX35" s="188"/>
      <c r="BNY35" s="188"/>
      <c r="BNZ35" s="188"/>
      <c r="BOA35" s="188"/>
      <c r="BOB35" s="188"/>
      <c r="BOC35" s="188"/>
      <c r="BOD35" s="188"/>
      <c r="BOE35" s="188"/>
      <c r="BOF35" s="188"/>
      <c r="BOG35" s="188"/>
      <c r="BOH35" s="188"/>
      <c r="BOI35" s="188"/>
      <c r="BOJ35" s="188"/>
      <c r="BOK35" s="188"/>
      <c r="BOL35" s="188"/>
      <c r="BOM35" s="188"/>
      <c r="BON35" s="188"/>
      <c r="BOO35" s="188"/>
      <c r="BOP35" s="188"/>
      <c r="BOQ35" s="188"/>
      <c r="BOR35" s="188"/>
      <c r="BOS35" s="188"/>
      <c r="BOT35" s="188"/>
      <c r="BOU35" s="188"/>
      <c r="BOV35" s="188"/>
      <c r="BOW35" s="188"/>
      <c r="BOX35" s="188"/>
      <c r="BOY35" s="188"/>
      <c r="BOZ35" s="188"/>
      <c r="BPA35" s="188"/>
      <c r="BPB35" s="188"/>
      <c r="BPC35" s="188"/>
      <c r="BPD35" s="188"/>
      <c r="BPE35" s="188"/>
      <c r="BPF35" s="188"/>
      <c r="BPG35" s="188"/>
      <c r="BPH35" s="188"/>
      <c r="BPI35" s="188"/>
      <c r="BPJ35" s="188"/>
      <c r="BPK35" s="188"/>
      <c r="BPL35" s="188"/>
      <c r="BPM35" s="188"/>
      <c r="BPN35" s="188"/>
      <c r="BPO35" s="188"/>
      <c r="BPP35" s="188"/>
      <c r="BPQ35" s="188"/>
      <c r="BPR35" s="188"/>
      <c r="BPS35" s="188"/>
      <c r="BPT35" s="188"/>
      <c r="BPU35" s="188"/>
      <c r="BPV35" s="188"/>
      <c r="BPW35" s="188"/>
      <c r="BPX35" s="188"/>
      <c r="BPY35" s="188"/>
      <c r="BPZ35" s="188"/>
      <c r="BQA35" s="188"/>
      <c r="BQB35" s="188"/>
      <c r="BQC35" s="188"/>
      <c r="BQD35" s="188"/>
      <c r="BQE35" s="188"/>
      <c r="BQF35" s="188"/>
      <c r="BQG35" s="188"/>
      <c r="BQH35" s="188"/>
      <c r="BQI35" s="188"/>
      <c r="BQJ35" s="188"/>
      <c r="BQK35" s="188"/>
      <c r="BQL35" s="188"/>
      <c r="BQM35" s="188"/>
      <c r="BQN35" s="188"/>
      <c r="BQO35" s="188"/>
      <c r="BQP35" s="188"/>
      <c r="BQQ35" s="188"/>
      <c r="BQR35" s="188"/>
      <c r="BQS35" s="188"/>
      <c r="BQT35" s="188"/>
      <c r="BQU35" s="188"/>
      <c r="BQV35" s="188"/>
      <c r="BQW35" s="188"/>
      <c r="BQX35" s="188"/>
      <c r="BQY35" s="188"/>
      <c r="BQZ35" s="188"/>
      <c r="BRA35" s="188"/>
      <c r="BRB35" s="188"/>
      <c r="BRC35" s="188"/>
      <c r="BRD35" s="188"/>
      <c r="BRE35" s="188"/>
      <c r="BRF35" s="188"/>
      <c r="BRG35" s="188"/>
      <c r="BRH35" s="188"/>
      <c r="BRI35" s="188"/>
      <c r="BRJ35" s="188"/>
      <c r="BRK35" s="188"/>
      <c r="BRL35" s="188"/>
      <c r="BRM35" s="188"/>
      <c r="BRN35" s="188"/>
      <c r="BRO35" s="188"/>
      <c r="BRP35" s="188"/>
      <c r="BRQ35" s="188"/>
      <c r="BRR35" s="188"/>
      <c r="BRS35" s="188"/>
      <c r="BRT35" s="188"/>
      <c r="BRU35" s="188"/>
      <c r="BRV35" s="188"/>
      <c r="BRW35" s="188"/>
      <c r="BRX35" s="188"/>
      <c r="BRY35" s="188"/>
      <c r="BRZ35" s="188"/>
      <c r="BSA35" s="188"/>
      <c r="BSB35" s="188"/>
      <c r="BSC35" s="188"/>
      <c r="BSD35" s="188"/>
      <c r="BSE35" s="188"/>
      <c r="BSF35" s="188"/>
      <c r="BSG35" s="188"/>
      <c r="BSH35" s="188"/>
      <c r="BSI35" s="188"/>
      <c r="BSJ35" s="188"/>
      <c r="BSK35" s="188"/>
      <c r="BSL35" s="188"/>
      <c r="BSM35" s="188"/>
      <c r="BSN35" s="188"/>
      <c r="BSO35" s="188"/>
      <c r="BSP35" s="188"/>
      <c r="BSQ35" s="188"/>
      <c r="BSR35" s="188"/>
      <c r="BSS35" s="188"/>
      <c r="BST35" s="188"/>
      <c r="BSU35" s="188"/>
      <c r="BSV35" s="188"/>
      <c r="BSW35" s="188"/>
      <c r="BSX35" s="188"/>
      <c r="BSY35" s="188"/>
      <c r="BSZ35" s="188"/>
      <c r="BTA35" s="188"/>
      <c r="BTB35" s="188"/>
      <c r="BTC35" s="188"/>
      <c r="BTD35" s="188"/>
      <c r="BTE35" s="188"/>
      <c r="BTF35" s="188"/>
      <c r="BTG35" s="188"/>
      <c r="BTH35" s="188"/>
      <c r="BTI35" s="188"/>
      <c r="BTJ35" s="188"/>
      <c r="BTK35" s="188"/>
      <c r="BTL35" s="188"/>
      <c r="BTM35" s="188"/>
      <c r="BTN35" s="188"/>
      <c r="BTO35" s="188"/>
      <c r="BTP35" s="188"/>
      <c r="BTQ35" s="188"/>
      <c r="BTR35" s="188"/>
      <c r="BTS35" s="188"/>
      <c r="BTT35" s="188"/>
      <c r="BTU35" s="188"/>
      <c r="BTV35" s="188"/>
      <c r="BTW35" s="188"/>
      <c r="BTX35" s="188"/>
      <c r="BTY35" s="188"/>
      <c r="BTZ35" s="188"/>
      <c r="BUA35" s="188"/>
      <c r="BUB35" s="188"/>
      <c r="BUC35" s="188"/>
      <c r="BUD35" s="188"/>
      <c r="BUE35" s="188"/>
      <c r="BUF35" s="188"/>
      <c r="BUG35" s="188"/>
      <c r="BUH35" s="188"/>
      <c r="BUI35" s="188"/>
      <c r="BUJ35" s="188"/>
      <c r="BUK35" s="188"/>
      <c r="BUL35" s="188"/>
      <c r="BUM35" s="188"/>
      <c r="BUN35" s="188"/>
      <c r="BUO35" s="188"/>
      <c r="BUP35" s="188"/>
      <c r="BUQ35" s="188"/>
      <c r="BUR35" s="188"/>
      <c r="BUS35" s="188"/>
      <c r="BUT35" s="188"/>
      <c r="BUU35" s="188"/>
      <c r="BUV35" s="188"/>
      <c r="BUW35" s="188"/>
      <c r="BUX35" s="188"/>
      <c r="BUY35" s="188"/>
      <c r="BUZ35" s="188"/>
      <c r="BVA35" s="188"/>
      <c r="BVB35" s="188"/>
      <c r="BVC35" s="188"/>
      <c r="BVD35" s="188"/>
      <c r="BVE35" s="188"/>
      <c r="BVF35" s="188"/>
      <c r="BVG35" s="188"/>
      <c r="BVH35" s="188"/>
      <c r="BVI35" s="188"/>
      <c r="BVJ35" s="188"/>
      <c r="BVK35" s="188"/>
      <c r="BVL35" s="188"/>
      <c r="BVM35" s="188"/>
      <c r="BVN35" s="188"/>
      <c r="BVO35" s="188"/>
      <c r="BVP35" s="188"/>
      <c r="BVQ35" s="188"/>
      <c r="BVR35" s="188"/>
      <c r="BVS35" s="188"/>
      <c r="BVT35" s="188"/>
      <c r="BVU35" s="188"/>
      <c r="BVV35" s="188"/>
      <c r="BVW35" s="188"/>
      <c r="BVX35" s="188"/>
      <c r="BVY35" s="188"/>
      <c r="BVZ35" s="188"/>
      <c r="BWA35" s="188"/>
      <c r="BWB35" s="188"/>
      <c r="BWC35" s="188"/>
      <c r="BWD35" s="188"/>
      <c r="BWE35" s="188"/>
      <c r="BWF35" s="188"/>
      <c r="BWG35" s="188"/>
      <c r="BWH35" s="188"/>
      <c r="BWI35" s="188"/>
      <c r="BWJ35" s="188"/>
      <c r="BWK35" s="188"/>
      <c r="BWL35" s="188"/>
      <c r="BWM35" s="188"/>
      <c r="BWN35" s="188"/>
      <c r="BWO35" s="188"/>
      <c r="BWP35" s="188"/>
      <c r="BWQ35" s="188"/>
      <c r="BWR35" s="188"/>
      <c r="BWS35" s="188"/>
      <c r="BWT35" s="188"/>
      <c r="BWU35" s="188"/>
      <c r="BWV35" s="188"/>
      <c r="BWW35" s="188"/>
      <c r="BWX35" s="188"/>
      <c r="BWY35" s="188"/>
      <c r="BWZ35" s="188"/>
      <c r="BXA35" s="188"/>
      <c r="BXB35" s="188"/>
      <c r="BXC35" s="188"/>
      <c r="BXD35" s="188"/>
      <c r="BXE35" s="188"/>
      <c r="BXF35" s="188"/>
      <c r="BXG35" s="188"/>
      <c r="BXH35" s="188"/>
      <c r="BXI35" s="188"/>
      <c r="BXJ35" s="188"/>
      <c r="BXK35" s="188"/>
      <c r="BXL35" s="188"/>
      <c r="BXM35" s="188"/>
      <c r="BXN35" s="188"/>
      <c r="BXO35" s="188"/>
      <c r="BXP35" s="188"/>
      <c r="BXQ35" s="188"/>
      <c r="BXR35" s="188"/>
      <c r="BXS35" s="188"/>
      <c r="BXT35" s="188"/>
      <c r="BXU35" s="188"/>
      <c r="BXV35" s="188"/>
      <c r="BXW35" s="188"/>
      <c r="BXX35" s="188"/>
      <c r="BXY35" s="188"/>
      <c r="BXZ35" s="188"/>
      <c r="BYA35" s="188"/>
      <c r="BYB35" s="188"/>
      <c r="BYC35" s="188"/>
      <c r="BYD35" s="188"/>
      <c r="BYE35" s="188"/>
      <c r="BYF35" s="188"/>
      <c r="BYG35" s="188"/>
      <c r="BYH35" s="188"/>
      <c r="BYI35" s="188"/>
      <c r="BYJ35" s="188"/>
      <c r="BYK35" s="188"/>
      <c r="BYL35" s="188"/>
      <c r="BYM35" s="188"/>
      <c r="BYN35" s="188"/>
      <c r="BYO35" s="188"/>
      <c r="BYP35" s="188"/>
      <c r="BYQ35" s="188"/>
      <c r="BYR35" s="188"/>
      <c r="BYS35" s="188"/>
      <c r="BYT35" s="188"/>
      <c r="BYU35" s="188"/>
      <c r="BYV35" s="188"/>
      <c r="BYW35" s="188"/>
      <c r="BYX35" s="188"/>
      <c r="BYY35" s="188"/>
      <c r="BYZ35" s="188"/>
      <c r="BZA35" s="188"/>
      <c r="BZB35" s="188"/>
      <c r="BZC35" s="188"/>
      <c r="BZD35" s="188"/>
      <c r="BZE35" s="188"/>
      <c r="BZF35" s="188"/>
      <c r="BZG35" s="188"/>
      <c r="BZH35" s="188"/>
      <c r="BZI35" s="188"/>
      <c r="BZJ35" s="188"/>
      <c r="BZK35" s="188"/>
      <c r="BZL35" s="188"/>
      <c r="BZM35" s="188"/>
      <c r="BZN35" s="188"/>
      <c r="BZO35" s="188"/>
      <c r="BZP35" s="188"/>
      <c r="BZQ35" s="188"/>
      <c r="BZR35" s="188"/>
      <c r="BZS35" s="188"/>
      <c r="BZT35" s="188"/>
      <c r="BZU35" s="188"/>
      <c r="BZV35" s="188"/>
      <c r="BZW35" s="188"/>
      <c r="BZX35" s="188"/>
      <c r="BZY35" s="188"/>
      <c r="BZZ35" s="188"/>
      <c r="CAA35" s="188"/>
      <c r="CAB35" s="188"/>
      <c r="CAC35" s="188"/>
      <c r="CAD35" s="188"/>
      <c r="CAE35" s="188"/>
      <c r="CAF35" s="188"/>
      <c r="CAG35" s="188"/>
      <c r="CAH35" s="188"/>
      <c r="CAI35" s="188"/>
      <c r="CAJ35" s="188"/>
      <c r="CAK35" s="188"/>
      <c r="CAL35" s="188"/>
      <c r="CAM35" s="188"/>
      <c r="CAN35" s="188"/>
      <c r="CAO35" s="188"/>
      <c r="CAP35" s="188"/>
      <c r="CAQ35" s="188"/>
      <c r="CAR35" s="188"/>
      <c r="CAS35" s="188"/>
      <c r="CAT35" s="188"/>
      <c r="CAU35" s="188"/>
      <c r="CAV35" s="188"/>
      <c r="CAW35" s="188"/>
      <c r="CAX35" s="188"/>
      <c r="CAY35" s="188"/>
      <c r="CAZ35" s="188"/>
      <c r="CBA35" s="188"/>
      <c r="CBB35" s="188"/>
      <c r="CBC35" s="188"/>
      <c r="CBD35" s="188"/>
      <c r="CBE35" s="188"/>
      <c r="CBF35" s="188"/>
      <c r="CBG35" s="188"/>
      <c r="CBH35" s="188"/>
      <c r="CBI35" s="188"/>
      <c r="CBJ35" s="188"/>
      <c r="CBK35" s="188"/>
      <c r="CBL35" s="188"/>
      <c r="CBM35" s="188"/>
      <c r="CBN35" s="188"/>
      <c r="CBO35" s="188"/>
      <c r="CBP35" s="188"/>
      <c r="CBQ35" s="188"/>
      <c r="CBR35" s="188"/>
      <c r="CBS35" s="188"/>
      <c r="CBT35" s="188"/>
      <c r="CBU35" s="188"/>
      <c r="CBV35" s="188"/>
      <c r="CBW35" s="188"/>
      <c r="CBX35" s="188"/>
      <c r="CBY35" s="188"/>
      <c r="CBZ35" s="188"/>
      <c r="CCA35" s="188"/>
      <c r="CCB35" s="188"/>
      <c r="CCC35" s="188"/>
      <c r="CCD35" s="188"/>
      <c r="CCE35" s="188"/>
      <c r="CCF35" s="188"/>
      <c r="CCG35" s="188"/>
      <c r="CCH35" s="188"/>
      <c r="CCI35" s="188"/>
      <c r="CCJ35" s="188"/>
      <c r="CCK35" s="188"/>
      <c r="CCL35" s="188"/>
      <c r="CCM35" s="188"/>
      <c r="CCN35" s="188"/>
      <c r="CCO35" s="188"/>
      <c r="CCP35" s="188"/>
      <c r="CCQ35" s="188"/>
      <c r="CCR35" s="188"/>
      <c r="CCS35" s="188"/>
      <c r="CCT35" s="188"/>
      <c r="CCU35" s="188"/>
      <c r="CCV35" s="188"/>
      <c r="CCW35" s="188"/>
      <c r="CCX35" s="188"/>
      <c r="CCY35" s="188"/>
      <c r="CCZ35" s="188"/>
      <c r="CDA35" s="188"/>
      <c r="CDB35" s="188"/>
      <c r="CDC35" s="188"/>
      <c r="CDD35" s="188"/>
      <c r="CDE35" s="188"/>
      <c r="CDF35" s="188"/>
      <c r="CDG35" s="188"/>
      <c r="CDH35" s="188"/>
      <c r="CDI35" s="188"/>
      <c r="CDJ35" s="188"/>
      <c r="CDK35" s="188"/>
      <c r="CDL35" s="188"/>
      <c r="CDM35" s="188"/>
      <c r="CDN35" s="188"/>
      <c r="CDO35" s="188"/>
      <c r="CDP35" s="188"/>
      <c r="CDQ35" s="188"/>
      <c r="CDR35" s="188"/>
      <c r="CDS35" s="188"/>
      <c r="CDT35" s="188"/>
      <c r="CDU35" s="188"/>
      <c r="CDV35" s="188"/>
      <c r="CDW35" s="188"/>
      <c r="CDX35" s="188"/>
      <c r="CDY35" s="188"/>
      <c r="CDZ35" s="188"/>
      <c r="CEA35" s="188"/>
      <c r="CEB35" s="188"/>
      <c r="CEC35" s="188"/>
      <c r="CED35" s="188"/>
      <c r="CEE35" s="188"/>
      <c r="CEF35" s="188"/>
      <c r="CEG35" s="188"/>
      <c r="CEH35" s="188"/>
      <c r="CEI35" s="188"/>
      <c r="CEJ35" s="188"/>
      <c r="CEK35" s="188"/>
      <c r="CEL35" s="188"/>
      <c r="CEM35" s="188"/>
      <c r="CEN35" s="188"/>
      <c r="CEO35" s="188"/>
      <c r="CEP35" s="188"/>
      <c r="CEQ35" s="188"/>
      <c r="CER35" s="188"/>
      <c r="CES35" s="188"/>
      <c r="CET35" s="188"/>
      <c r="CEU35" s="188"/>
      <c r="CEV35" s="188"/>
      <c r="CEW35" s="188"/>
      <c r="CEX35" s="188"/>
      <c r="CEY35" s="188"/>
      <c r="CEZ35" s="188"/>
      <c r="CFA35" s="188"/>
      <c r="CFB35" s="188"/>
      <c r="CFC35" s="188"/>
      <c r="CFD35" s="188"/>
      <c r="CFE35" s="188"/>
      <c r="CFF35" s="188"/>
      <c r="CFG35" s="188"/>
      <c r="CFH35" s="188"/>
      <c r="CFI35" s="188"/>
      <c r="CFJ35" s="188"/>
      <c r="CFK35" s="188"/>
      <c r="CFL35" s="188"/>
      <c r="CFM35" s="188"/>
      <c r="CFN35" s="188"/>
      <c r="CFO35" s="188"/>
      <c r="CFP35" s="188"/>
      <c r="CFQ35" s="188"/>
      <c r="CFR35" s="188"/>
      <c r="CFS35" s="188"/>
      <c r="CFT35" s="188"/>
      <c r="CFU35" s="188"/>
      <c r="CFV35" s="188"/>
      <c r="CFW35" s="188"/>
      <c r="CFX35" s="188"/>
      <c r="CFY35" s="188"/>
      <c r="CFZ35" s="188"/>
      <c r="CGA35" s="188"/>
      <c r="CGB35" s="188"/>
      <c r="CGC35" s="188"/>
      <c r="CGD35" s="188"/>
      <c r="CGE35" s="188"/>
      <c r="CGF35" s="188"/>
      <c r="CGG35" s="188"/>
      <c r="CGH35" s="188"/>
      <c r="CGI35" s="188"/>
      <c r="CGJ35" s="188"/>
      <c r="CGK35" s="188"/>
      <c r="CGL35" s="188"/>
      <c r="CGM35" s="188"/>
      <c r="CGN35" s="188"/>
      <c r="CGO35" s="188"/>
      <c r="CGP35" s="188"/>
      <c r="CGQ35" s="188"/>
      <c r="CGR35" s="188"/>
      <c r="CGS35" s="188"/>
      <c r="CGT35" s="188"/>
      <c r="CGU35" s="188"/>
      <c r="CGV35" s="188"/>
      <c r="CGW35" s="188"/>
      <c r="CGX35" s="188"/>
      <c r="CGY35" s="188"/>
      <c r="CGZ35" s="188"/>
      <c r="CHA35" s="188"/>
      <c r="CHB35" s="188"/>
      <c r="CHC35" s="188"/>
      <c r="CHD35" s="188"/>
      <c r="CHE35" s="188"/>
      <c r="CHF35" s="188"/>
      <c r="CHG35" s="188"/>
      <c r="CHH35" s="188"/>
      <c r="CHI35" s="188"/>
      <c r="CHJ35" s="188"/>
      <c r="CHK35" s="188"/>
      <c r="CHL35" s="188"/>
      <c r="CHM35" s="188"/>
      <c r="CHN35" s="188"/>
      <c r="CHO35" s="188"/>
      <c r="CHP35" s="188"/>
      <c r="CHQ35" s="188"/>
      <c r="CHR35" s="188"/>
      <c r="CHS35" s="188"/>
      <c r="CHT35" s="188"/>
      <c r="CHU35" s="188"/>
      <c r="CHV35" s="188"/>
      <c r="CHW35" s="188"/>
      <c r="CHX35" s="188"/>
      <c r="CHY35" s="188"/>
      <c r="CHZ35" s="188"/>
      <c r="CIA35" s="188"/>
      <c r="CIB35" s="188"/>
      <c r="CIC35" s="188"/>
      <c r="CID35" s="188"/>
      <c r="CIE35" s="188"/>
      <c r="CIF35" s="188"/>
      <c r="CIG35" s="188"/>
      <c r="CIH35" s="188"/>
      <c r="CII35" s="188"/>
      <c r="CIJ35" s="188"/>
      <c r="CIK35" s="188"/>
      <c r="CIL35" s="188"/>
      <c r="CIM35" s="188"/>
      <c r="CIN35" s="188"/>
      <c r="CIO35" s="188"/>
      <c r="CIP35" s="188"/>
      <c r="CIQ35" s="188"/>
      <c r="CIR35" s="188"/>
      <c r="CIS35" s="188"/>
      <c r="CIT35" s="188"/>
      <c r="CIU35" s="188"/>
      <c r="CIV35" s="188"/>
      <c r="CIW35" s="188"/>
      <c r="CIX35" s="188"/>
      <c r="CIY35" s="188"/>
      <c r="CIZ35" s="188"/>
      <c r="CJA35" s="188"/>
      <c r="CJB35" s="188"/>
      <c r="CJC35" s="188"/>
      <c r="CJD35" s="188"/>
      <c r="CJE35" s="188"/>
      <c r="CJF35" s="188"/>
      <c r="CJG35" s="188"/>
      <c r="CJH35" s="188"/>
      <c r="CJI35" s="188"/>
      <c r="CJJ35" s="188"/>
      <c r="CJK35" s="188"/>
      <c r="CJL35" s="188"/>
      <c r="CJM35" s="188"/>
      <c r="CJN35" s="188"/>
      <c r="CJO35" s="188"/>
      <c r="CJP35" s="188"/>
      <c r="CJQ35" s="188"/>
      <c r="CJR35" s="188"/>
      <c r="CJS35" s="188"/>
      <c r="CJT35" s="188"/>
      <c r="CJU35" s="188"/>
      <c r="CJV35" s="188"/>
      <c r="CJW35" s="188"/>
      <c r="CJX35" s="188"/>
      <c r="CJY35" s="188"/>
      <c r="CJZ35" s="188"/>
      <c r="CKA35" s="188"/>
      <c r="CKB35" s="188"/>
      <c r="CKC35" s="188"/>
      <c r="CKD35" s="188"/>
      <c r="CKE35" s="188"/>
      <c r="CKF35" s="188"/>
      <c r="CKG35" s="188"/>
      <c r="CKH35" s="188"/>
      <c r="CKI35" s="188"/>
      <c r="CKJ35" s="188"/>
      <c r="CKK35" s="188"/>
      <c r="CKL35" s="188"/>
      <c r="CKM35" s="188"/>
      <c r="CKN35" s="188"/>
      <c r="CKO35" s="188"/>
      <c r="CKP35" s="188"/>
      <c r="CKQ35" s="188"/>
      <c r="CKR35" s="188"/>
      <c r="CKS35" s="188"/>
      <c r="CKT35" s="188"/>
      <c r="CKU35" s="188"/>
      <c r="CKV35" s="188"/>
      <c r="CKW35" s="188"/>
      <c r="CKX35" s="188"/>
      <c r="CKY35" s="188"/>
      <c r="CKZ35" s="188"/>
      <c r="CLA35" s="188"/>
      <c r="CLB35" s="188"/>
      <c r="CLC35" s="188"/>
      <c r="CLD35" s="188"/>
      <c r="CLE35" s="188"/>
      <c r="CLF35" s="188"/>
      <c r="CLG35" s="188"/>
      <c r="CLH35" s="188"/>
      <c r="CLI35" s="188"/>
      <c r="CLJ35" s="188"/>
      <c r="CLK35" s="188"/>
      <c r="CLL35" s="188"/>
      <c r="CLM35" s="188"/>
      <c r="CLN35" s="188"/>
      <c r="CLO35" s="188"/>
      <c r="CLP35" s="188"/>
      <c r="CLQ35" s="188"/>
      <c r="CLR35" s="188"/>
      <c r="CLS35" s="188"/>
      <c r="CLT35" s="188"/>
      <c r="CLU35" s="188"/>
      <c r="CLV35" s="188"/>
      <c r="CLW35" s="188"/>
      <c r="CLX35" s="188"/>
      <c r="CLY35" s="188"/>
      <c r="CLZ35" s="188"/>
      <c r="CMA35" s="188"/>
      <c r="CMB35" s="188"/>
      <c r="CMC35" s="188"/>
      <c r="CMD35" s="188"/>
      <c r="CME35" s="188"/>
      <c r="CMF35" s="188"/>
      <c r="CMG35" s="188"/>
      <c r="CMH35" s="188"/>
      <c r="CMI35" s="188"/>
      <c r="CMJ35" s="188"/>
      <c r="CMK35" s="188"/>
      <c r="CML35" s="188"/>
      <c r="CMM35" s="188"/>
      <c r="CMN35" s="188"/>
      <c r="CMO35" s="188"/>
      <c r="CMP35" s="188"/>
      <c r="CMQ35" s="188"/>
      <c r="CMR35" s="188"/>
      <c r="CMS35" s="188"/>
      <c r="CMT35" s="188"/>
      <c r="CMU35" s="188"/>
      <c r="CMV35" s="188"/>
      <c r="CMW35" s="188"/>
      <c r="CMX35" s="188"/>
      <c r="CMY35" s="188"/>
      <c r="CMZ35" s="188"/>
      <c r="CNA35" s="188"/>
      <c r="CNB35" s="188"/>
      <c r="CNC35" s="188"/>
      <c r="CND35" s="188"/>
      <c r="CNE35" s="188"/>
      <c r="CNF35" s="188"/>
      <c r="CNG35" s="188"/>
      <c r="CNH35" s="188"/>
      <c r="CNI35" s="188"/>
      <c r="CNJ35" s="188"/>
      <c r="CNK35" s="188"/>
      <c r="CNL35" s="188"/>
      <c r="CNM35" s="188"/>
      <c r="CNN35" s="188"/>
      <c r="CNO35" s="188"/>
      <c r="CNP35" s="188"/>
      <c r="CNQ35" s="188"/>
      <c r="CNR35" s="188"/>
      <c r="CNS35" s="188"/>
      <c r="CNT35" s="188"/>
      <c r="CNU35" s="188"/>
      <c r="CNV35" s="188"/>
      <c r="CNW35" s="188"/>
      <c r="CNX35" s="188"/>
      <c r="CNY35" s="188"/>
      <c r="CNZ35" s="188"/>
      <c r="COA35" s="188"/>
      <c r="COB35" s="188"/>
      <c r="COC35" s="188"/>
      <c r="COD35" s="188"/>
      <c r="COE35" s="188"/>
      <c r="COF35" s="188"/>
      <c r="COG35" s="188"/>
      <c r="COH35" s="188"/>
      <c r="COI35" s="188"/>
      <c r="COJ35" s="188"/>
      <c r="COK35" s="188"/>
      <c r="COL35" s="188"/>
      <c r="COM35" s="188"/>
      <c r="CON35" s="188"/>
      <c r="COO35" s="188"/>
      <c r="COP35" s="188"/>
      <c r="COQ35" s="188"/>
      <c r="COR35" s="188"/>
      <c r="COS35" s="188"/>
      <c r="COT35" s="188"/>
      <c r="COU35" s="188"/>
      <c r="COV35" s="188"/>
      <c r="COW35" s="188"/>
      <c r="COX35" s="188"/>
      <c r="COY35" s="188"/>
      <c r="COZ35" s="188"/>
      <c r="CPA35" s="188"/>
      <c r="CPB35" s="188"/>
      <c r="CPC35" s="188"/>
      <c r="CPD35" s="188"/>
      <c r="CPE35" s="188"/>
      <c r="CPF35" s="188"/>
      <c r="CPG35" s="188"/>
      <c r="CPH35" s="188"/>
      <c r="CPI35" s="188"/>
      <c r="CPJ35" s="188"/>
      <c r="CPK35" s="188"/>
      <c r="CPL35" s="188"/>
      <c r="CPM35" s="188"/>
      <c r="CPN35" s="188"/>
      <c r="CPO35" s="188"/>
      <c r="CPP35" s="188"/>
      <c r="CPQ35" s="188"/>
      <c r="CPR35" s="188"/>
      <c r="CPS35" s="188"/>
      <c r="CPT35" s="188"/>
      <c r="CPU35" s="188"/>
      <c r="CPV35" s="188"/>
      <c r="CPW35" s="188"/>
      <c r="CPX35" s="188"/>
      <c r="CPY35" s="188"/>
      <c r="CPZ35" s="188"/>
      <c r="CQA35" s="188"/>
      <c r="CQB35" s="188"/>
      <c r="CQC35" s="188"/>
      <c r="CQD35" s="188"/>
      <c r="CQE35" s="188"/>
      <c r="CQF35" s="188"/>
      <c r="CQG35" s="188"/>
      <c r="CQH35" s="188"/>
      <c r="CQI35" s="188"/>
      <c r="CQJ35" s="188"/>
      <c r="CQK35" s="188"/>
      <c r="CQL35" s="188"/>
      <c r="CQM35" s="188"/>
      <c r="CQN35" s="188"/>
      <c r="CQO35" s="188"/>
      <c r="CQP35" s="188"/>
      <c r="CQQ35" s="188"/>
      <c r="CQR35" s="188"/>
      <c r="CQS35" s="188"/>
      <c r="CQT35" s="188"/>
      <c r="CQU35" s="188"/>
      <c r="CQV35" s="188"/>
      <c r="CQW35" s="188"/>
      <c r="CQX35" s="188"/>
      <c r="CQY35" s="188"/>
      <c r="CQZ35" s="188"/>
      <c r="CRA35" s="188"/>
      <c r="CRB35" s="188"/>
      <c r="CRC35" s="188"/>
      <c r="CRD35" s="188"/>
      <c r="CRE35" s="188"/>
      <c r="CRF35" s="188"/>
      <c r="CRG35" s="188"/>
      <c r="CRH35" s="188"/>
      <c r="CRI35" s="188"/>
      <c r="CRJ35" s="188"/>
      <c r="CRK35" s="188"/>
      <c r="CRL35" s="188"/>
      <c r="CRM35" s="188"/>
      <c r="CRN35" s="188"/>
      <c r="CRO35" s="188"/>
      <c r="CRP35" s="188"/>
      <c r="CRQ35" s="188"/>
      <c r="CRR35" s="188"/>
      <c r="CRS35" s="188"/>
      <c r="CRT35" s="188"/>
      <c r="CRU35" s="188"/>
      <c r="CRV35" s="188"/>
      <c r="CRW35" s="188"/>
      <c r="CRX35" s="188"/>
      <c r="CRY35" s="188"/>
      <c r="CRZ35" s="188"/>
      <c r="CSA35" s="188"/>
      <c r="CSB35" s="188"/>
      <c r="CSC35" s="188"/>
      <c r="CSD35" s="188"/>
      <c r="CSE35" s="188"/>
      <c r="CSF35" s="188"/>
      <c r="CSG35" s="188"/>
      <c r="CSH35" s="188"/>
      <c r="CSI35" s="188"/>
      <c r="CSJ35" s="188"/>
      <c r="CSK35" s="188"/>
      <c r="CSL35" s="188"/>
      <c r="CSM35" s="188"/>
      <c r="CSN35" s="188"/>
      <c r="CSO35" s="188"/>
      <c r="CSP35" s="188"/>
      <c r="CSQ35" s="188"/>
      <c r="CSR35" s="188"/>
      <c r="CSS35" s="188"/>
      <c r="CST35" s="188"/>
      <c r="CSU35" s="188"/>
      <c r="CSV35" s="188"/>
      <c r="CSW35" s="188"/>
      <c r="CSX35" s="188"/>
      <c r="CSY35" s="188"/>
      <c r="CSZ35" s="188"/>
      <c r="CTA35" s="188"/>
      <c r="CTB35" s="188"/>
      <c r="CTC35" s="188"/>
      <c r="CTD35" s="188"/>
      <c r="CTE35" s="188"/>
      <c r="CTF35" s="188"/>
      <c r="CTG35" s="188"/>
      <c r="CTH35" s="188"/>
      <c r="CTI35" s="188"/>
      <c r="CTJ35" s="188"/>
      <c r="CTK35" s="188"/>
      <c r="CTL35" s="188"/>
      <c r="CTM35" s="188"/>
      <c r="CTN35" s="188"/>
      <c r="CTO35" s="188"/>
      <c r="CTP35" s="188"/>
      <c r="CTQ35" s="188"/>
      <c r="CTR35" s="188"/>
      <c r="CTS35" s="188"/>
      <c r="CTT35" s="188"/>
      <c r="CTU35" s="188"/>
      <c r="CTV35" s="188"/>
      <c r="CTW35" s="188"/>
      <c r="CTX35" s="188"/>
      <c r="CTY35" s="188"/>
      <c r="CTZ35" s="188"/>
      <c r="CUA35" s="188"/>
    </row>
    <row r="36" s="189" customFormat="1" spans="1:1024 1025:2575">
      <c r="A36" s="216" t="s">
        <v>42</v>
      </c>
      <c r="B36" s="84" t="s">
        <v>42</v>
      </c>
      <c r="C36" s="217">
        <f t="shared" si="26"/>
        <v>45489</v>
      </c>
      <c r="D36" s="218">
        <f t="shared" si="22"/>
        <v>45495</v>
      </c>
      <c r="E36" s="219">
        <v>1203</v>
      </c>
      <c r="F36" s="220">
        <f t="shared" si="27"/>
        <v>45509</v>
      </c>
      <c r="G36" s="219">
        <v>976</v>
      </c>
      <c r="H36" s="54">
        <f t="shared" si="10"/>
        <v>0.811305070656692</v>
      </c>
      <c r="I36" s="218">
        <f t="shared" si="28"/>
        <v>45526</v>
      </c>
      <c r="J36" s="219">
        <v>910</v>
      </c>
      <c r="K36" s="54">
        <f t="shared" si="0"/>
        <v>0.756442227763924</v>
      </c>
      <c r="L36" s="218">
        <f t="shared" si="29"/>
        <v>45529</v>
      </c>
      <c r="M36" s="219">
        <v>863</v>
      </c>
      <c r="N36" s="219">
        <v>6472</v>
      </c>
      <c r="O36" s="54">
        <f t="shared" si="1"/>
        <v>0.71737323358271</v>
      </c>
      <c r="P36" s="54">
        <f t="shared" si="7"/>
        <v>0.0939318370739817</v>
      </c>
      <c r="Q36" s="221">
        <f t="shared" si="2"/>
        <v>7.49942062572422</v>
      </c>
      <c r="R36" s="218">
        <f t="shared" si="30"/>
        <v>45561</v>
      </c>
      <c r="S36" s="203">
        <v>5807</v>
      </c>
      <c r="T36" s="84">
        <v>847</v>
      </c>
      <c r="U36" s="54">
        <f t="shared" si="3"/>
        <v>0.897249690976514</v>
      </c>
      <c r="V36" s="218">
        <f t="shared" si="19"/>
        <v>45596</v>
      </c>
      <c r="W36" s="203">
        <v>5531</v>
      </c>
      <c r="X36" s="54">
        <f t="shared" si="4"/>
        <v>0.95247115550198</v>
      </c>
      <c r="Y36" s="84">
        <v>13313</v>
      </c>
      <c r="Z36" s="203">
        <v>15.2</v>
      </c>
      <c r="AA36" s="8">
        <v>2.42</v>
      </c>
      <c r="AB36" s="8">
        <f t="shared" si="5"/>
        <v>4.59767248545303</v>
      </c>
      <c r="AC36" s="8">
        <v>3.89</v>
      </c>
      <c r="AD36" s="203">
        <v>3.32</v>
      </c>
      <c r="AE36" s="8">
        <v>57.5</v>
      </c>
      <c r="AF36" s="203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88"/>
      <c r="BG36" s="188"/>
      <c r="BH36" s="188"/>
      <c r="BI36" s="188"/>
      <c r="BJ36" s="188"/>
      <c r="BK36" s="188"/>
      <c r="BL36" s="188"/>
      <c r="BM36" s="188"/>
      <c r="BN36" s="188"/>
      <c r="BO36" s="188"/>
      <c r="BP36" s="188"/>
      <c r="BQ36" s="188"/>
      <c r="BR36" s="188"/>
      <c r="BS36" s="188"/>
      <c r="BT36" s="188"/>
      <c r="BU36" s="188"/>
      <c r="BV36" s="188"/>
      <c r="BW36" s="188"/>
      <c r="BX36" s="188"/>
      <c r="BY36" s="188"/>
      <c r="BZ36" s="188"/>
      <c r="CA36" s="188"/>
      <c r="CB36" s="188"/>
      <c r="CC36" s="188"/>
      <c r="CD36" s="188"/>
      <c r="CE36" s="188"/>
      <c r="CF36" s="188"/>
      <c r="CG36" s="188"/>
      <c r="CH36" s="188"/>
      <c r="CI36" s="188"/>
      <c r="CJ36" s="188"/>
      <c r="CK36" s="188"/>
      <c r="CL36" s="188"/>
      <c r="CM36" s="188"/>
      <c r="CN36" s="188"/>
      <c r="CO36" s="188"/>
      <c r="CP36" s="188"/>
      <c r="CQ36" s="188"/>
      <c r="CR36" s="188"/>
      <c r="CS36" s="188"/>
      <c r="CT36" s="188"/>
      <c r="CU36" s="188"/>
      <c r="CV36" s="188"/>
      <c r="CW36" s="188"/>
      <c r="CX36" s="188"/>
      <c r="CY36" s="188"/>
      <c r="CZ36" s="188"/>
      <c r="DA36" s="188"/>
      <c r="DB36" s="188"/>
      <c r="DC36" s="188"/>
      <c r="DD36" s="188"/>
      <c r="DE36" s="188"/>
      <c r="DF36" s="188"/>
      <c r="DG36" s="188"/>
      <c r="DH36" s="188"/>
      <c r="DI36" s="188"/>
      <c r="DJ36" s="188"/>
      <c r="DK36" s="188"/>
      <c r="DL36" s="188"/>
      <c r="DM36" s="188"/>
      <c r="DN36" s="188"/>
      <c r="DO36" s="188"/>
      <c r="DP36" s="188"/>
      <c r="DQ36" s="188"/>
      <c r="DR36" s="188"/>
      <c r="DS36" s="188"/>
      <c r="DT36" s="188"/>
      <c r="DU36" s="188"/>
      <c r="DV36" s="188"/>
      <c r="DW36" s="188"/>
      <c r="DX36" s="188"/>
      <c r="DY36" s="188"/>
      <c r="DZ36" s="188"/>
      <c r="EA36" s="188"/>
      <c r="EB36" s="188"/>
      <c r="EC36" s="188"/>
      <c r="ED36" s="188"/>
      <c r="EE36" s="188"/>
      <c r="EF36" s="188"/>
      <c r="EG36" s="188"/>
      <c r="EH36" s="188"/>
      <c r="EI36" s="188"/>
      <c r="EJ36" s="188"/>
      <c r="EK36" s="188"/>
      <c r="EL36" s="188"/>
      <c r="EM36" s="188"/>
      <c r="EN36" s="188"/>
      <c r="EO36" s="188"/>
      <c r="EP36" s="188"/>
      <c r="EQ36" s="188"/>
      <c r="ER36" s="188"/>
      <c r="ES36" s="188"/>
      <c r="ET36" s="188"/>
      <c r="EU36" s="188"/>
      <c r="EV36" s="188"/>
      <c r="EW36" s="188"/>
      <c r="EX36" s="188"/>
      <c r="EY36" s="188"/>
      <c r="EZ36" s="188"/>
      <c r="FA36" s="188"/>
      <c r="FB36" s="188"/>
      <c r="FC36" s="188"/>
      <c r="FD36" s="188"/>
      <c r="FE36" s="188"/>
      <c r="FF36" s="188"/>
      <c r="FG36" s="188"/>
      <c r="FH36" s="188"/>
      <c r="FI36" s="188"/>
      <c r="FJ36" s="188"/>
      <c r="FK36" s="188"/>
      <c r="FL36" s="188"/>
      <c r="FM36" s="188"/>
      <c r="FN36" s="188"/>
      <c r="FO36" s="188"/>
      <c r="FP36" s="188"/>
      <c r="FQ36" s="188"/>
      <c r="FR36" s="188"/>
      <c r="FS36" s="188"/>
      <c r="FT36" s="188"/>
      <c r="FU36" s="188"/>
      <c r="FV36" s="188"/>
      <c r="FW36" s="188"/>
      <c r="FX36" s="188"/>
      <c r="FY36" s="188"/>
      <c r="FZ36" s="188"/>
      <c r="GA36" s="188"/>
      <c r="GB36" s="188"/>
      <c r="GC36" s="188"/>
      <c r="GD36" s="188"/>
      <c r="GE36" s="188"/>
      <c r="GF36" s="188"/>
      <c r="GG36" s="188"/>
      <c r="GH36" s="188"/>
      <c r="GI36" s="188"/>
      <c r="GJ36" s="188"/>
      <c r="GK36" s="188"/>
      <c r="GL36" s="188"/>
      <c r="GM36" s="188"/>
      <c r="GN36" s="188"/>
      <c r="GO36" s="188"/>
      <c r="GP36" s="188"/>
      <c r="GQ36" s="188"/>
      <c r="GR36" s="188"/>
      <c r="GS36" s="188"/>
      <c r="GT36" s="188"/>
      <c r="GU36" s="188"/>
      <c r="GV36" s="188"/>
      <c r="GW36" s="188"/>
      <c r="GX36" s="188"/>
      <c r="GY36" s="188"/>
      <c r="GZ36" s="188"/>
      <c r="HA36" s="188"/>
      <c r="HB36" s="188"/>
      <c r="HC36" s="188"/>
      <c r="HD36" s="188"/>
      <c r="HE36" s="188"/>
      <c r="HF36" s="188"/>
      <c r="HG36" s="188"/>
      <c r="HH36" s="188"/>
      <c r="HI36" s="188"/>
      <c r="HJ36" s="188"/>
      <c r="HK36" s="188"/>
      <c r="HL36" s="188"/>
      <c r="HM36" s="188"/>
      <c r="HN36" s="188"/>
      <c r="HO36" s="188"/>
      <c r="HP36" s="188"/>
      <c r="HQ36" s="188"/>
      <c r="HR36" s="188"/>
      <c r="HS36" s="188"/>
      <c r="HT36" s="188"/>
      <c r="HU36" s="188"/>
      <c r="HV36" s="188"/>
      <c r="HW36" s="188"/>
      <c r="HX36" s="188"/>
      <c r="HY36" s="188"/>
      <c r="HZ36" s="188"/>
      <c r="IA36" s="188"/>
      <c r="IB36" s="188"/>
      <c r="IC36" s="188"/>
      <c r="ID36" s="188"/>
      <c r="IE36" s="188"/>
      <c r="IF36" s="188"/>
      <c r="IG36" s="188"/>
      <c r="IH36" s="188"/>
      <c r="II36" s="188"/>
      <c r="IJ36" s="188"/>
      <c r="IK36" s="188"/>
      <c r="IL36" s="188"/>
      <c r="IM36" s="188"/>
      <c r="IN36" s="188"/>
      <c r="IO36" s="188"/>
      <c r="IP36" s="188"/>
      <c r="IQ36" s="188"/>
      <c r="IR36" s="188"/>
      <c r="IS36" s="188"/>
      <c r="IT36" s="188"/>
      <c r="IU36" s="188"/>
      <c r="IV36" s="188"/>
      <c r="IW36" s="188"/>
      <c r="IX36" s="188"/>
      <c r="IY36" s="188"/>
      <c r="IZ36" s="188"/>
      <c r="JA36" s="188"/>
      <c r="JB36" s="188"/>
      <c r="JC36" s="188"/>
      <c r="JD36" s="188"/>
      <c r="JE36" s="188"/>
      <c r="JF36" s="188"/>
      <c r="JG36" s="188"/>
      <c r="JH36" s="188"/>
      <c r="JI36" s="188"/>
      <c r="JJ36" s="188"/>
      <c r="JK36" s="188"/>
      <c r="JL36" s="188"/>
      <c r="JM36" s="188"/>
      <c r="JN36" s="188"/>
      <c r="JO36" s="188"/>
      <c r="JP36" s="188"/>
      <c r="JQ36" s="188"/>
      <c r="JR36" s="188"/>
      <c r="JS36" s="188"/>
      <c r="JT36" s="188"/>
      <c r="JU36" s="188"/>
      <c r="JV36" s="188"/>
      <c r="JW36" s="188"/>
      <c r="JX36" s="188"/>
      <c r="JY36" s="188"/>
      <c r="JZ36" s="188"/>
      <c r="KA36" s="188"/>
      <c r="KB36" s="188"/>
      <c r="KC36" s="188"/>
      <c r="KD36" s="188"/>
      <c r="KE36" s="188"/>
      <c r="KF36" s="188"/>
      <c r="KG36" s="188"/>
      <c r="KH36" s="188"/>
      <c r="KI36" s="188"/>
      <c r="KJ36" s="188"/>
      <c r="KK36" s="188"/>
      <c r="KL36" s="188"/>
      <c r="KM36" s="188"/>
      <c r="KN36" s="188"/>
      <c r="KO36" s="188"/>
      <c r="KP36" s="188"/>
      <c r="KQ36" s="188"/>
      <c r="KR36" s="188"/>
      <c r="KS36" s="188"/>
      <c r="KT36" s="188"/>
      <c r="KU36" s="188"/>
      <c r="KV36" s="188"/>
      <c r="KW36" s="188"/>
      <c r="KX36" s="188"/>
      <c r="KY36" s="188"/>
      <c r="KZ36" s="188"/>
      <c r="LA36" s="188"/>
      <c r="LB36" s="188"/>
      <c r="LC36" s="188"/>
      <c r="LD36" s="188"/>
      <c r="LE36" s="188"/>
      <c r="LF36" s="188"/>
      <c r="LG36" s="188"/>
      <c r="LH36" s="188"/>
      <c r="LI36" s="188"/>
      <c r="LJ36" s="188"/>
      <c r="LK36" s="188"/>
      <c r="LL36" s="188"/>
      <c r="LM36" s="188"/>
      <c r="LN36" s="188"/>
      <c r="LO36" s="188"/>
      <c r="LP36" s="188"/>
      <c r="LQ36" s="188"/>
      <c r="LR36" s="188"/>
      <c r="LS36" s="188"/>
      <c r="LT36" s="188"/>
      <c r="LU36" s="188"/>
      <c r="LV36" s="188"/>
      <c r="LW36" s="188"/>
      <c r="LX36" s="188"/>
      <c r="LY36" s="188"/>
      <c r="LZ36" s="188"/>
      <c r="MA36" s="188"/>
      <c r="MB36" s="188"/>
      <c r="MC36" s="188"/>
      <c r="MD36" s="188"/>
      <c r="ME36" s="188"/>
      <c r="MF36" s="188"/>
      <c r="MG36" s="188"/>
      <c r="MH36" s="188"/>
      <c r="MI36" s="188"/>
      <c r="MJ36" s="188"/>
      <c r="MK36" s="188"/>
      <c r="ML36" s="188"/>
      <c r="MM36" s="188"/>
      <c r="MN36" s="188"/>
      <c r="MO36" s="188"/>
      <c r="MP36" s="188"/>
      <c r="MQ36" s="188"/>
      <c r="MR36" s="188"/>
      <c r="MS36" s="188"/>
      <c r="MT36" s="188"/>
      <c r="MU36" s="188"/>
      <c r="MV36" s="188"/>
      <c r="MW36" s="188"/>
      <c r="MX36" s="188"/>
      <c r="MY36" s="188"/>
      <c r="MZ36" s="188"/>
      <c r="NA36" s="188"/>
      <c r="NB36" s="188"/>
      <c r="NC36" s="188"/>
      <c r="ND36" s="188"/>
      <c r="NE36" s="188"/>
      <c r="NF36" s="188"/>
      <c r="NG36" s="188"/>
      <c r="NH36" s="188"/>
      <c r="NI36" s="188"/>
      <c r="NJ36" s="188"/>
      <c r="NK36" s="188"/>
      <c r="NL36" s="188"/>
      <c r="NM36" s="188"/>
      <c r="NN36" s="188"/>
      <c r="NO36" s="188"/>
      <c r="NP36" s="188"/>
      <c r="NQ36" s="188"/>
      <c r="NR36" s="188"/>
      <c r="NS36" s="188"/>
      <c r="NT36" s="188"/>
      <c r="NU36" s="188"/>
      <c r="NV36" s="188"/>
      <c r="NW36" s="188"/>
      <c r="NX36" s="188"/>
      <c r="NY36" s="188"/>
      <c r="NZ36" s="188"/>
      <c r="OA36" s="188"/>
      <c r="OB36" s="188"/>
      <c r="OC36" s="188"/>
      <c r="OD36" s="188"/>
      <c r="OE36" s="188"/>
      <c r="OF36" s="188"/>
      <c r="OG36" s="188"/>
      <c r="OH36" s="188"/>
      <c r="OI36" s="188"/>
      <c r="OJ36" s="188"/>
      <c r="OK36" s="188"/>
      <c r="OL36" s="188"/>
      <c r="OM36" s="188"/>
      <c r="ON36" s="188"/>
      <c r="OO36" s="188"/>
      <c r="OP36" s="188"/>
      <c r="OQ36" s="188"/>
      <c r="OR36" s="188"/>
      <c r="OS36" s="188"/>
      <c r="OT36" s="188"/>
      <c r="OU36" s="188"/>
      <c r="OV36" s="188"/>
      <c r="OW36" s="188"/>
      <c r="OX36" s="188"/>
      <c r="OY36" s="188"/>
      <c r="OZ36" s="188"/>
      <c r="PA36" s="188"/>
      <c r="PB36" s="188"/>
      <c r="PC36" s="188"/>
      <c r="PD36" s="188"/>
      <c r="PE36" s="188"/>
      <c r="PF36" s="188"/>
      <c r="PG36" s="188"/>
      <c r="PH36" s="188"/>
      <c r="PI36" s="188"/>
      <c r="PJ36" s="188"/>
      <c r="PK36" s="188"/>
      <c r="PL36" s="188"/>
      <c r="PM36" s="188"/>
      <c r="PN36" s="188"/>
      <c r="PO36" s="188"/>
      <c r="PP36" s="188"/>
      <c r="PQ36" s="188"/>
      <c r="PR36" s="188"/>
      <c r="PS36" s="188"/>
      <c r="PT36" s="188"/>
      <c r="PU36" s="188"/>
      <c r="PV36" s="188"/>
      <c r="PW36" s="188"/>
      <c r="PX36" s="188"/>
      <c r="PY36" s="188"/>
      <c r="PZ36" s="188"/>
      <c r="QA36" s="188"/>
      <c r="QB36" s="188"/>
      <c r="QC36" s="188"/>
      <c r="QD36" s="188"/>
      <c r="QE36" s="188"/>
      <c r="QF36" s="188"/>
      <c r="QG36" s="188"/>
      <c r="QH36" s="188"/>
      <c r="QI36" s="188"/>
      <c r="QJ36" s="188"/>
      <c r="QK36" s="188"/>
      <c r="QL36" s="188"/>
      <c r="QM36" s="188"/>
      <c r="QN36" s="188"/>
      <c r="QO36" s="188"/>
      <c r="QP36" s="188"/>
      <c r="QQ36" s="188"/>
      <c r="QR36" s="188"/>
      <c r="QS36" s="188"/>
      <c r="QT36" s="188"/>
      <c r="QU36" s="188"/>
      <c r="QV36" s="188"/>
      <c r="QW36" s="188"/>
      <c r="QX36" s="188"/>
      <c r="QY36" s="188"/>
      <c r="QZ36" s="188"/>
      <c r="RA36" s="188"/>
      <c r="RB36" s="188"/>
      <c r="RC36" s="188"/>
      <c r="RD36" s="188"/>
      <c r="RE36" s="188"/>
      <c r="RF36" s="188"/>
      <c r="RG36" s="188"/>
      <c r="RH36" s="188"/>
      <c r="RI36" s="188"/>
      <c r="RJ36" s="188"/>
      <c r="RK36" s="188"/>
      <c r="RL36" s="188"/>
      <c r="RM36" s="188"/>
      <c r="RN36" s="188"/>
      <c r="RO36" s="188"/>
      <c r="RP36" s="188"/>
      <c r="RQ36" s="188"/>
      <c r="RR36" s="188"/>
      <c r="RS36" s="188"/>
      <c r="RT36" s="188"/>
      <c r="RU36" s="188"/>
      <c r="RV36" s="188"/>
      <c r="RW36" s="188"/>
      <c r="RX36" s="188"/>
      <c r="RY36" s="188"/>
      <c r="RZ36" s="188"/>
      <c r="SA36" s="188"/>
      <c r="SB36" s="188"/>
      <c r="SC36" s="188"/>
      <c r="SD36" s="188"/>
      <c r="SE36" s="188"/>
      <c r="SF36" s="188"/>
      <c r="SG36" s="188"/>
      <c r="SH36" s="188"/>
      <c r="SI36" s="188"/>
      <c r="SJ36" s="188"/>
      <c r="SK36" s="188"/>
      <c r="SL36" s="188"/>
      <c r="SM36" s="188"/>
      <c r="SN36" s="188"/>
      <c r="SO36" s="188"/>
      <c r="SP36" s="188"/>
      <c r="SQ36" s="188"/>
      <c r="SR36" s="188"/>
      <c r="SS36" s="188"/>
      <c r="ST36" s="188"/>
      <c r="SU36" s="188"/>
      <c r="SV36" s="188"/>
      <c r="SW36" s="188"/>
      <c r="SX36" s="188"/>
      <c r="SY36" s="188"/>
      <c r="SZ36" s="188"/>
      <c r="TA36" s="188"/>
      <c r="TB36" s="188"/>
      <c r="TC36" s="188"/>
      <c r="TD36" s="188"/>
      <c r="TE36" s="188"/>
      <c r="TF36" s="188"/>
      <c r="TG36" s="188"/>
      <c r="TH36" s="188"/>
      <c r="TI36" s="188"/>
      <c r="TJ36" s="188"/>
      <c r="TK36" s="188"/>
      <c r="TL36" s="188"/>
      <c r="TM36" s="188"/>
      <c r="TN36" s="188"/>
      <c r="TO36" s="188"/>
      <c r="TP36" s="188"/>
      <c r="TQ36" s="188"/>
      <c r="TR36" s="188"/>
      <c r="TS36" s="188"/>
      <c r="TT36" s="188"/>
      <c r="TU36" s="188"/>
      <c r="TV36" s="188"/>
      <c r="TW36" s="188"/>
      <c r="TX36" s="188"/>
      <c r="TY36" s="188"/>
      <c r="TZ36" s="188"/>
      <c r="UA36" s="188"/>
      <c r="UB36" s="188"/>
      <c r="UC36" s="188"/>
      <c r="UD36" s="188"/>
      <c r="UE36" s="188"/>
      <c r="UF36" s="188"/>
      <c r="UG36" s="188"/>
      <c r="UH36" s="188"/>
      <c r="UI36" s="188"/>
      <c r="UJ36" s="188"/>
      <c r="UK36" s="188"/>
      <c r="UL36" s="188"/>
      <c r="UM36" s="188"/>
      <c r="UN36" s="188"/>
      <c r="UO36" s="188"/>
      <c r="UP36" s="188"/>
      <c r="UQ36" s="188"/>
      <c r="UR36" s="188"/>
      <c r="US36" s="188"/>
      <c r="UT36" s="188"/>
      <c r="UU36" s="188"/>
      <c r="UV36" s="188"/>
      <c r="UW36" s="188"/>
      <c r="UX36" s="188"/>
      <c r="UY36" s="188"/>
      <c r="UZ36" s="188"/>
      <c r="VA36" s="188"/>
      <c r="VB36" s="188"/>
      <c r="VC36" s="188"/>
      <c r="VD36" s="188"/>
      <c r="VE36" s="188"/>
      <c r="VF36" s="188"/>
      <c r="VG36" s="188"/>
      <c r="VH36" s="188"/>
      <c r="VI36" s="188"/>
      <c r="VJ36" s="188"/>
      <c r="VK36" s="188"/>
      <c r="VL36" s="188"/>
      <c r="VM36" s="188"/>
      <c r="VN36" s="188"/>
      <c r="VO36" s="188"/>
      <c r="VP36" s="188"/>
      <c r="VQ36" s="188"/>
      <c r="VR36" s="188"/>
      <c r="VS36" s="188"/>
      <c r="VT36" s="188"/>
      <c r="VU36" s="188"/>
      <c r="VV36" s="188"/>
      <c r="VW36" s="188"/>
      <c r="VX36" s="188"/>
      <c r="VY36" s="188"/>
      <c r="VZ36" s="188"/>
      <c r="WA36" s="188"/>
      <c r="WB36" s="188"/>
      <c r="WC36" s="188"/>
      <c r="WD36" s="188"/>
      <c r="WE36" s="188"/>
      <c r="WF36" s="188"/>
      <c r="WG36" s="188"/>
      <c r="WH36" s="188"/>
      <c r="WI36" s="188"/>
      <c r="WJ36" s="188"/>
      <c r="WK36" s="188"/>
      <c r="WL36" s="188"/>
      <c r="WM36" s="188"/>
      <c r="WN36" s="188"/>
      <c r="WO36" s="188"/>
      <c r="WP36" s="188"/>
      <c r="WQ36" s="188"/>
      <c r="WR36" s="188"/>
      <c r="WS36" s="188"/>
      <c r="WT36" s="188"/>
      <c r="WU36" s="188"/>
      <c r="WV36" s="188"/>
      <c r="WW36" s="188"/>
      <c r="WX36" s="188"/>
      <c r="WY36" s="188"/>
      <c r="WZ36" s="188"/>
      <c r="XA36" s="188"/>
      <c r="XB36" s="188"/>
      <c r="XC36" s="188"/>
      <c r="XD36" s="188"/>
      <c r="XE36" s="188"/>
      <c r="XF36" s="188"/>
      <c r="XG36" s="188"/>
      <c r="XH36" s="188"/>
      <c r="XI36" s="188"/>
      <c r="XJ36" s="188"/>
      <c r="XK36" s="188"/>
      <c r="XL36" s="188"/>
      <c r="XM36" s="188"/>
      <c r="XN36" s="188"/>
      <c r="XO36" s="188"/>
      <c r="XP36" s="188"/>
      <c r="XQ36" s="188"/>
      <c r="XR36" s="188"/>
      <c r="XS36" s="188"/>
      <c r="XT36" s="188"/>
      <c r="XU36" s="188"/>
      <c r="XV36" s="188"/>
      <c r="XW36" s="188"/>
      <c r="XX36" s="188"/>
      <c r="XY36" s="188"/>
      <c r="XZ36" s="188"/>
      <c r="YA36" s="188"/>
      <c r="YB36" s="188"/>
      <c r="YC36" s="188"/>
      <c r="YD36" s="188"/>
      <c r="YE36" s="188"/>
      <c r="YF36" s="188"/>
      <c r="YG36" s="188"/>
      <c r="YH36" s="188"/>
      <c r="YI36" s="188"/>
      <c r="YJ36" s="188"/>
      <c r="YK36" s="188"/>
      <c r="YL36" s="188"/>
      <c r="YM36" s="188"/>
      <c r="YN36" s="188"/>
      <c r="YO36" s="188"/>
      <c r="YP36" s="188"/>
      <c r="YQ36" s="188"/>
      <c r="YR36" s="188"/>
      <c r="YS36" s="188"/>
      <c r="YT36" s="188"/>
      <c r="YU36" s="188"/>
      <c r="YV36" s="188"/>
      <c r="YW36" s="188"/>
      <c r="YX36" s="188"/>
      <c r="YY36" s="188"/>
      <c r="YZ36" s="188"/>
      <c r="ZA36" s="188"/>
      <c r="ZB36" s="188"/>
      <c r="ZC36" s="188"/>
      <c r="ZD36" s="188"/>
      <c r="ZE36" s="188"/>
      <c r="ZF36" s="188"/>
      <c r="ZG36" s="188"/>
      <c r="ZH36" s="188"/>
      <c r="ZI36" s="188"/>
      <c r="ZJ36" s="188"/>
      <c r="ZK36" s="188"/>
      <c r="ZL36" s="188"/>
      <c r="ZM36" s="188"/>
      <c r="ZN36" s="188"/>
      <c r="ZO36" s="188"/>
      <c r="ZP36" s="188"/>
      <c r="ZQ36" s="188"/>
      <c r="ZR36" s="188"/>
      <c r="ZS36" s="188"/>
      <c r="ZT36" s="188"/>
      <c r="ZU36" s="188"/>
      <c r="ZV36" s="188"/>
      <c r="ZW36" s="188"/>
      <c r="ZX36" s="188"/>
      <c r="ZY36" s="188"/>
      <c r="ZZ36" s="188"/>
      <c r="AAA36" s="188"/>
      <c r="AAB36" s="188"/>
      <c r="AAC36" s="188"/>
      <c r="AAD36" s="188"/>
      <c r="AAE36" s="188"/>
      <c r="AAF36" s="188"/>
      <c r="AAG36" s="188"/>
      <c r="AAH36" s="188"/>
      <c r="AAI36" s="188"/>
      <c r="AAJ36" s="188"/>
      <c r="AAK36" s="188"/>
      <c r="AAL36" s="188"/>
      <c r="AAM36" s="188"/>
      <c r="AAN36" s="188"/>
      <c r="AAO36" s="188"/>
      <c r="AAP36" s="188"/>
      <c r="AAQ36" s="188"/>
      <c r="AAR36" s="188"/>
      <c r="AAS36" s="188"/>
      <c r="AAT36" s="188"/>
      <c r="AAU36" s="188"/>
      <c r="AAV36" s="188"/>
      <c r="AAW36" s="188"/>
      <c r="AAX36" s="188"/>
      <c r="AAY36" s="188"/>
      <c r="AAZ36" s="188"/>
      <c r="ABA36" s="188"/>
      <c r="ABB36" s="188"/>
      <c r="ABC36" s="188"/>
      <c r="ABD36" s="188"/>
      <c r="ABE36" s="188"/>
      <c r="ABF36" s="188"/>
      <c r="ABG36" s="188"/>
      <c r="ABH36" s="188"/>
      <c r="ABI36" s="188"/>
      <c r="ABJ36" s="188"/>
      <c r="ABK36" s="188"/>
      <c r="ABL36" s="188"/>
      <c r="ABM36" s="188"/>
      <c r="ABN36" s="188"/>
      <c r="ABO36" s="188"/>
      <c r="ABP36" s="188"/>
      <c r="ABQ36" s="188"/>
      <c r="ABR36" s="188"/>
      <c r="ABS36" s="188"/>
      <c r="ABT36" s="188"/>
      <c r="ABU36" s="188"/>
      <c r="ABV36" s="188"/>
      <c r="ABW36" s="188"/>
      <c r="ABX36" s="188"/>
      <c r="ABY36" s="188"/>
      <c r="ABZ36" s="188"/>
      <c r="ACA36" s="188"/>
      <c r="ACB36" s="188"/>
      <c r="ACC36" s="188"/>
      <c r="ACD36" s="188"/>
      <c r="ACE36" s="188"/>
      <c r="ACF36" s="188"/>
      <c r="ACG36" s="188"/>
      <c r="ACH36" s="188"/>
      <c r="ACI36" s="188"/>
      <c r="ACJ36" s="188"/>
      <c r="ACK36" s="188"/>
      <c r="ACL36" s="188"/>
      <c r="ACM36" s="188"/>
      <c r="ACN36" s="188"/>
      <c r="ACO36" s="188"/>
      <c r="ACP36" s="188"/>
      <c r="ACQ36" s="188"/>
      <c r="ACR36" s="188"/>
      <c r="ACS36" s="188"/>
      <c r="ACT36" s="188"/>
      <c r="ACU36" s="188"/>
      <c r="ACV36" s="188"/>
      <c r="ACW36" s="188"/>
      <c r="ACX36" s="188"/>
      <c r="ACY36" s="188"/>
      <c r="ACZ36" s="188"/>
      <c r="ADA36" s="188"/>
      <c r="ADB36" s="188"/>
      <c r="ADC36" s="188"/>
      <c r="ADD36" s="188"/>
      <c r="ADE36" s="188"/>
      <c r="ADF36" s="188"/>
      <c r="ADG36" s="188"/>
      <c r="ADH36" s="188"/>
      <c r="ADI36" s="188"/>
      <c r="ADJ36" s="188"/>
      <c r="ADK36" s="188"/>
      <c r="ADL36" s="188"/>
      <c r="ADM36" s="188"/>
      <c r="ADN36" s="188"/>
      <c r="ADO36" s="188"/>
      <c r="ADP36" s="188"/>
      <c r="ADQ36" s="188"/>
      <c r="ADR36" s="188"/>
      <c r="ADS36" s="188"/>
      <c r="ADT36" s="188"/>
      <c r="ADU36" s="188"/>
      <c r="ADV36" s="188"/>
      <c r="ADW36" s="188"/>
      <c r="ADX36" s="188"/>
      <c r="ADY36" s="188"/>
      <c r="ADZ36" s="188"/>
      <c r="AEA36" s="188"/>
      <c r="AEB36" s="188"/>
      <c r="AEC36" s="188"/>
      <c r="AED36" s="188"/>
      <c r="AEE36" s="188"/>
      <c r="AEF36" s="188"/>
      <c r="AEG36" s="188"/>
      <c r="AEH36" s="188"/>
      <c r="AEI36" s="188"/>
      <c r="AEJ36" s="188"/>
      <c r="AEK36" s="188"/>
      <c r="AEL36" s="188"/>
      <c r="AEM36" s="188"/>
      <c r="AEN36" s="188"/>
      <c r="AEO36" s="188"/>
      <c r="AEP36" s="188"/>
      <c r="AEQ36" s="188"/>
      <c r="AER36" s="188"/>
      <c r="AES36" s="188"/>
      <c r="AET36" s="188"/>
      <c r="AEU36" s="188"/>
      <c r="AEV36" s="188"/>
      <c r="AEW36" s="188"/>
      <c r="AEX36" s="188"/>
      <c r="AEY36" s="188"/>
      <c r="AEZ36" s="188"/>
      <c r="AFA36" s="188"/>
      <c r="AFB36" s="188"/>
      <c r="AFC36" s="188"/>
      <c r="AFD36" s="188"/>
      <c r="AFE36" s="188"/>
      <c r="AFF36" s="188"/>
      <c r="AFG36" s="188"/>
      <c r="AFH36" s="188"/>
      <c r="AFI36" s="188"/>
      <c r="AFJ36" s="188"/>
      <c r="AFK36" s="188"/>
      <c r="AFL36" s="188"/>
      <c r="AFM36" s="188"/>
      <c r="AFN36" s="188"/>
      <c r="AFO36" s="188"/>
      <c r="AFP36" s="188"/>
      <c r="AFQ36" s="188"/>
      <c r="AFR36" s="188"/>
      <c r="AFS36" s="188"/>
      <c r="AFT36" s="188"/>
      <c r="AFU36" s="188"/>
      <c r="AFV36" s="188"/>
      <c r="AFW36" s="188"/>
      <c r="AFX36" s="188"/>
      <c r="AFY36" s="188"/>
      <c r="AFZ36" s="188"/>
      <c r="AGA36" s="188"/>
      <c r="AGB36" s="188"/>
      <c r="AGC36" s="188"/>
      <c r="AGD36" s="188"/>
      <c r="AGE36" s="188"/>
      <c r="AGF36" s="188"/>
      <c r="AGG36" s="188"/>
      <c r="AGH36" s="188"/>
      <c r="AGI36" s="188"/>
      <c r="AGJ36" s="188"/>
      <c r="AGK36" s="188"/>
      <c r="AGL36" s="188"/>
      <c r="AGM36" s="188"/>
      <c r="AGN36" s="188"/>
      <c r="AGO36" s="188"/>
      <c r="AGP36" s="188"/>
      <c r="AGQ36" s="188"/>
      <c r="AGR36" s="188"/>
      <c r="AGS36" s="188"/>
      <c r="AGT36" s="188"/>
      <c r="AGU36" s="188"/>
      <c r="AGV36" s="188"/>
      <c r="AGW36" s="188"/>
      <c r="AGX36" s="188"/>
      <c r="AGY36" s="188"/>
      <c r="AGZ36" s="188"/>
      <c r="AHA36" s="188"/>
      <c r="AHB36" s="188"/>
      <c r="AHC36" s="188"/>
      <c r="AHD36" s="188"/>
      <c r="AHE36" s="188"/>
      <c r="AHF36" s="188"/>
      <c r="AHG36" s="188"/>
      <c r="AHH36" s="188"/>
      <c r="AHI36" s="188"/>
      <c r="AHJ36" s="188"/>
      <c r="AHK36" s="188"/>
      <c r="AHL36" s="188"/>
      <c r="AHM36" s="188"/>
      <c r="AHN36" s="188"/>
      <c r="AHO36" s="188"/>
      <c r="AHP36" s="188"/>
      <c r="AHQ36" s="188"/>
      <c r="AHR36" s="188"/>
      <c r="AHS36" s="188"/>
      <c r="AHT36" s="188"/>
      <c r="AHU36" s="188"/>
      <c r="AHV36" s="188"/>
      <c r="AHW36" s="188"/>
      <c r="AHX36" s="188"/>
      <c r="AHY36" s="188"/>
      <c r="AHZ36" s="188"/>
      <c r="AIA36" s="188"/>
      <c r="AIB36" s="188"/>
      <c r="AIC36" s="188"/>
      <c r="AID36" s="188"/>
      <c r="AIE36" s="188"/>
      <c r="AIF36" s="188"/>
      <c r="AIG36" s="188"/>
      <c r="AIH36" s="188"/>
      <c r="AII36" s="188"/>
      <c r="AIJ36" s="188"/>
      <c r="AIK36" s="188"/>
      <c r="AIL36" s="188"/>
      <c r="AIM36" s="188"/>
      <c r="AIN36" s="188"/>
      <c r="AIO36" s="188"/>
      <c r="AIP36" s="188"/>
      <c r="AIQ36" s="188"/>
      <c r="AIR36" s="188"/>
      <c r="AIS36" s="188"/>
      <c r="AIT36" s="188"/>
      <c r="AIU36" s="188"/>
      <c r="AIV36" s="188"/>
      <c r="AIW36" s="188"/>
      <c r="AIX36" s="188"/>
      <c r="AIY36" s="188"/>
      <c r="AIZ36" s="188"/>
      <c r="AJA36" s="188"/>
      <c r="AJB36" s="188"/>
      <c r="AJC36" s="188"/>
      <c r="AJD36" s="188"/>
      <c r="AJE36" s="188"/>
      <c r="AJF36" s="188"/>
      <c r="AJG36" s="188"/>
      <c r="AJH36" s="188"/>
      <c r="AJI36" s="188"/>
      <c r="AJJ36" s="188"/>
      <c r="AJK36" s="188"/>
      <c r="AJL36" s="188"/>
      <c r="AJM36" s="188"/>
      <c r="AJN36" s="188"/>
      <c r="AJO36" s="188"/>
      <c r="AJP36" s="188"/>
      <c r="AJQ36" s="188"/>
      <c r="AJR36" s="188"/>
      <c r="AJS36" s="188"/>
      <c r="AJT36" s="188"/>
      <c r="AJU36" s="188"/>
      <c r="AJV36" s="188"/>
      <c r="AJW36" s="188"/>
      <c r="AJX36" s="188"/>
      <c r="AJY36" s="188"/>
      <c r="AJZ36" s="188"/>
      <c r="AKA36" s="188"/>
      <c r="AKB36" s="188"/>
      <c r="AKC36" s="188"/>
      <c r="AKD36" s="188"/>
      <c r="AKE36" s="188"/>
      <c r="AKF36" s="188"/>
      <c r="AKG36" s="188"/>
      <c r="AKH36" s="188"/>
      <c r="AKI36" s="188"/>
      <c r="AKJ36" s="188"/>
      <c r="AKK36" s="188"/>
      <c r="AKL36" s="188"/>
      <c r="AKM36" s="188"/>
      <c r="AKN36" s="188"/>
      <c r="AKO36" s="188"/>
      <c r="AKP36" s="188"/>
      <c r="AKQ36" s="188"/>
      <c r="AKR36" s="188"/>
      <c r="AKS36" s="188"/>
      <c r="AKT36" s="188"/>
      <c r="AKU36" s="188"/>
      <c r="AKV36" s="188"/>
      <c r="AKW36" s="188"/>
      <c r="AKX36" s="188"/>
      <c r="AKY36" s="188"/>
      <c r="AKZ36" s="188"/>
      <c r="ALA36" s="188"/>
      <c r="ALB36" s="188"/>
      <c r="ALC36" s="188"/>
      <c r="ALD36" s="188"/>
      <c r="ALE36" s="188"/>
      <c r="ALF36" s="188"/>
      <c r="ALG36" s="188"/>
      <c r="ALH36" s="188"/>
      <c r="ALI36" s="188"/>
      <c r="ALJ36" s="188"/>
      <c r="ALK36" s="188"/>
      <c r="ALL36" s="188"/>
      <c r="ALM36" s="188"/>
      <c r="ALN36" s="188"/>
      <c r="ALO36" s="188"/>
      <c r="ALP36" s="188"/>
      <c r="ALQ36" s="188"/>
      <c r="ALR36" s="188"/>
      <c r="ALS36" s="188"/>
      <c r="ALT36" s="188"/>
      <c r="ALU36" s="188"/>
      <c r="ALV36" s="188"/>
      <c r="ALW36" s="188"/>
      <c r="ALX36" s="188"/>
      <c r="ALY36" s="188"/>
      <c r="ALZ36" s="188"/>
      <c r="AMA36" s="188"/>
      <c r="AMB36" s="188"/>
      <c r="AMC36" s="188"/>
      <c r="AMD36" s="188"/>
      <c r="AME36" s="188"/>
      <c r="AMF36" s="188"/>
      <c r="AMG36" s="188"/>
      <c r="AMH36" s="188"/>
      <c r="AMI36" s="188"/>
      <c r="AMJ36" s="188"/>
      <c r="AMK36" s="188"/>
      <c r="AML36" s="188"/>
      <c r="AMM36" s="188"/>
      <c r="AMN36" s="188"/>
      <c r="AMO36" s="188"/>
      <c r="AMP36" s="188"/>
      <c r="AMQ36" s="188"/>
      <c r="AMR36" s="188"/>
      <c r="AMS36" s="188"/>
      <c r="AMT36" s="188"/>
      <c r="AMU36" s="188"/>
      <c r="AMV36" s="188"/>
      <c r="AMW36" s="188"/>
      <c r="AMX36" s="188"/>
      <c r="AMY36" s="188"/>
      <c r="AMZ36" s="188"/>
      <c r="ANA36" s="188"/>
      <c r="ANB36" s="188"/>
      <c r="ANC36" s="188"/>
      <c r="AND36" s="188"/>
      <c r="ANE36" s="188"/>
      <c r="ANF36" s="188"/>
      <c r="ANG36" s="188"/>
      <c r="ANH36" s="188"/>
      <c r="ANI36" s="188"/>
      <c r="ANJ36" s="188"/>
      <c r="ANK36" s="188"/>
      <c r="ANL36" s="188"/>
      <c r="ANM36" s="188"/>
      <c r="ANN36" s="188"/>
      <c r="ANO36" s="188"/>
      <c r="ANP36" s="188"/>
      <c r="ANQ36" s="188"/>
      <c r="ANR36" s="188"/>
      <c r="ANS36" s="188"/>
      <c r="ANT36" s="188"/>
      <c r="ANU36" s="188"/>
      <c r="ANV36" s="188"/>
      <c r="ANW36" s="188"/>
      <c r="ANX36" s="188"/>
      <c r="ANY36" s="188"/>
      <c r="ANZ36" s="188"/>
      <c r="AOA36" s="188"/>
      <c r="AOB36" s="188"/>
      <c r="AOC36" s="188"/>
      <c r="AOD36" s="188"/>
      <c r="AOE36" s="188"/>
      <c r="AOF36" s="188"/>
      <c r="AOG36" s="188"/>
      <c r="AOH36" s="188"/>
      <c r="AOI36" s="188"/>
      <c r="AOJ36" s="188"/>
      <c r="AOK36" s="188"/>
      <c r="AOL36" s="188"/>
      <c r="AOM36" s="188"/>
      <c r="AON36" s="188"/>
      <c r="AOO36" s="188"/>
      <c r="AOP36" s="188"/>
      <c r="AOQ36" s="188"/>
      <c r="AOR36" s="188"/>
      <c r="AOS36" s="188"/>
      <c r="AOT36" s="188"/>
      <c r="AOU36" s="188"/>
      <c r="AOV36" s="188"/>
      <c r="AOW36" s="188"/>
      <c r="AOX36" s="188"/>
      <c r="AOY36" s="188"/>
      <c r="AOZ36" s="188"/>
      <c r="APA36" s="188"/>
      <c r="APB36" s="188"/>
      <c r="APC36" s="188"/>
      <c r="APD36" s="188"/>
      <c r="APE36" s="188"/>
      <c r="APF36" s="188"/>
      <c r="APG36" s="188"/>
      <c r="APH36" s="188"/>
      <c r="API36" s="188"/>
      <c r="APJ36" s="188"/>
      <c r="APK36" s="188"/>
      <c r="APL36" s="188"/>
      <c r="APM36" s="188"/>
      <c r="APN36" s="188"/>
      <c r="APO36" s="188"/>
      <c r="APP36" s="188"/>
      <c r="APQ36" s="188"/>
      <c r="APR36" s="188"/>
      <c r="APS36" s="188"/>
      <c r="APT36" s="188"/>
      <c r="APU36" s="188"/>
      <c r="APV36" s="188"/>
      <c r="APW36" s="188"/>
      <c r="APX36" s="188"/>
      <c r="APY36" s="188"/>
      <c r="APZ36" s="188"/>
      <c r="AQA36" s="188"/>
      <c r="AQB36" s="188"/>
      <c r="AQC36" s="188"/>
      <c r="AQD36" s="188"/>
      <c r="AQE36" s="188"/>
      <c r="AQF36" s="188"/>
      <c r="AQG36" s="188"/>
      <c r="AQH36" s="188"/>
      <c r="AQI36" s="188"/>
      <c r="AQJ36" s="188"/>
      <c r="AQK36" s="188"/>
      <c r="AQL36" s="188"/>
      <c r="AQM36" s="188"/>
      <c r="AQN36" s="188"/>
      <c r="AQO36" s="188"/>
      <c r="AQP36" s="188"/>
      <c r="AQQ36" s="188"/>
      <c r="AQR36" s="188"/>
      <c r="AQS36" s="188"/>
      <c r="AQT36" s="188"/>
      <c r="AQU36" s="188"/>
      <c r="AQV36" s="188"/>
      <c r="AQW36" s="188"/>
      <c r="AQX36" s="188"/>
      <c r="AQY36" s="188"/>
      <c r="AQZ36" s="188"/>
      <c r="ARA36" s="188"/>
      <c r="ARB36" s="188"/>
      <c r="ARC36" s="188"/>
      <c r="ARD36" s="188"/>
      <c r="ARE36" s="188"/>
      <c r="ARF36" s="188"/>
      <c r="ARG36" s="188"/>
      <c r="ARH36" s="188"/>
      <c r="ARI36" s="188"/>
      <c r="ARJ36" s="188"/>
      <c r="ARK36" s="188"/>
      <c r="ARL36" s="188"/>
      <c r="ARM36" s="188"/>
      <c r="ARN36" s="188"/>
      <c r="ARO36" s="188"/>
      <c r="ARP36" s="188"/>
      <c r="ARQ36" s="188"/>
      <c r="ARR36" s="188"/>
      <c r="ARS36" s="188"/>
      <c r="ART36" s="188"/>
      <c r="ARU36" s="188"/>
      <c r="ARV36" s="188"/>
      <c r="ARW36" s="188"/>
      <c r="ARX36" s="188"/>
      <c r="ARY36" s="188"/>
      <c r="ARZ36" s="188"/>
      <c r="ASA36" s="188"/>
      <c r="ASB36" s="188"/>
      <c r="ASC36" s="188"/>
      <c r="ASD36" s="188"/>
      <c r="ASE36" s="188"/>
      <c r="ASF36" s="188"/>
      <c r="ASG36" s="188"/>
      <c r="ASH36" s="188"/>
      <c r="ASI36" s="188"/>
      <c r="ASJ36" s="188"/>
      <c r="ASK36" s="188"/>
      <c r="ASL36" s="188"/>
      <c r="ASM36" s="188"/>
      <c r="ASN36" s="188"/>
      <c r="ASO36" s="188"/>
      <c r="ASP36" s="188"/>
      <c r="ASQ36" s="188"/>
      <c r="ASR36" s="188"/>
      <c r="ASS36" s="188"/>
      <c r="AST36" s="188"/>
      <c r="ASU36" s="188"/>
      <c r="ASV36" s="188"/>
      <c r="ASW36" s="188"/>
      <c r="ASX36" s="188"/>
      <c r="ASY36" s="188"/>
      <c r="ASZ36" s="188"/>
      <c r="ATA36" s="188"/>
      <c r="ATB36" s="188"/>
      <c r="ATC36" s="188"/>
      <c r="ATD36" s="188"/>
      <c r="ATE36" s="188"/>
      <c r="ATF36" s="188"/>
      <c r="ATG36" s="188"/>
      <c r="ATH36" s="188"/>
      <c r="ATI36" s="188"/>
      <c r="ATJ36" s="188"/>
      <c r="ATK36" s="188"/>
      <c r="ATL36" s="188"/>
      <c r="ATM36" s="188"/>
      <c r="ATN36" s="188"/>
      <c r="ATO36" s="188"/>
      <c r="ATP36" s="188"/>
      <c r="ATQ36" s="188"/>
      <c r="ATR36" s="188"/>
      <c r="ATS36" s="188"/>
      <c r="ATT36" s="188"/>
      <c r="ATU36" s="188"/>
      <c r="ATV36" s="188"/>
      <c r="ATW36" s="188"/>
      <c r="ATX36" s="188"/>
      <c r="ATY36" s="188"/>
      <c r="ATZ36" s="188"/>
      <c r="AUA36" s="188"/>
      <c r="AUB36" s="188"/>
      <c r="AUC36" s="188"/>
      <c r="AUD36" s="188"/>
      <c r="AUE36" s="188"/>
      <c r="AUF36" s="188"/>
      <c r="AUG36" s="188"/>
      <c r="AUH36" s="188"/>
      <c r="AUI36" s="188"/>
      <c r="AUJ36" s="188"/>
      <c r="AUK36" s="188"/>
      <c r="AUL36" s="188"/>
      <c r="AUM36" s="188"/>
      <c r="AUN36" s="188"/>
      <c r="AUO36" s="188"/>
      <c r="AUP36" s="188"/>
      <c r="AUQ36" s="188"/>
      <c r="AUR36" s="188"/>
      <c r="AUS36" s="188"/>
      <c r="AUT36" s="188"/>
      <c r="AUU36" s="188"/>
      <c r="AUV36" s="188"/>
      <c r="AUW36" s="188"/>
      <c r="AUX36" s="188"/>
      <c r="AUY36" s="188"/>
      <c r="AUZ36" s="188"/>
      <c r="AVA36" s="188"/>
      <c r="AVB36" s="188"/>
      <c r="AVC36" s="188"/>
      <c r="AVD36" s="188"/>
      <c r="AVE36" s="188"/>
      <c r="AVF36" s="188"/>
      <c r="AVG36" s="188"/>
      <c r="AVH36" s="188"/>
      <c r="AVI36" s="188"/>
      <c r="AVJ36" s="188"/>
      <c r="AVK36" s="188"/>
      <c r="AVL36" s="188"/>
      <c r="AVM36" s="188"/>
      <c r="AVN36" s="188"/>
      <c r="AVO36" s="188"/>
      <c r="AVP36" s="188"/>
      <c r="AVQ36" s="188"/>
      <c r="AVR36" s="188"/>
      <c r="AVS36" s="188"/>
      <c r="AVT36" s="188"/>
      <c r="AVU36" s="188"/>
      <c r="AVV36" s="188"/>
      <c r="AVW36" s="188"/>
      <c r="AVX36" s="188"/>
      <c r="AVY36" s="188"/>
      <c r="AVZ36" s="188"/>
      <c r="AWA36" s="188"/>
      <c r="AWB36" s="188"/>
      <c r="AWC36" s="188"/>
      <c r="AWD36" s="188"/>
      <c r="AWE36" s="188"/>
      <c r="AWF36" s="188"/>
      <c r="AWG36" s="188"/>
      <c r="AWH36" s="188"/>
      <c r="AWI36" s="188"/>
      <c r="AWJ36" s="188"/>
      <c r="AWK36" s="188"/>
      <c r="AWL36" s="188"/>
      <c r="AWM36" s="188"/>
      <c r="AWN36" s="188"/>
      <c r="AWO36" s="188"/>
      <c r="AWP36" s="188"/>
      <c r="AWQ36" s="188"/>
      <c r="AWR36" s="188"/>
      <c r="AWS36" s="188"/>
      <c r="AWT36" s="188"/>
      <c r="AWU36" s="188"/>
      <c r="AWV36" s="188"/>
      <c r="AWW36" s="188"/>
      <c r="AWX36" s="188"/>
      <c r="AWY36" s="188"/>
      <c r="AWZ36" s="188"/>
      <c r="AXA36" s="188"/>
      <c r="AXB36" s="188"/>
      <c r="AXC36" s="188"/>
      <c r="AXD36" s="188"/>
      <c r="AXE36" s="188"/>
      <c r="AXF36" s="188"/>
      <c r="AXG36" s="188"/>
      <c r="AXH36" s="188"/>
      <c r="AXI36" s="188"/>
      <c r="AXJ36" s="188"/>
      <c r="AXK36" s="188"/>
      <c r="AXL36" s="188"/>
      <c r="AXM36" s="188"/>
      <c r="AXN36" s="188"/>
      <c r="AXO36" s="188"/>
      <c r="AXP36" s="188"/>
      <c r="AXQ36" s="188"/>
      <c r="AXR36" s="188"/>
      <c r="AXS36" s="188"/>
      <c r="AXT36" s="188"/>
      <c r="AXU36" s="188"/>
      <c r="AXV36" s="188"/>
      <c r="AXW36" s="188"/>
      <c r="AXX36" s="188"/>
      <c r="AXY36" s="188"/>
      <c r="AXZ36" s="188"/>
      <c r="AYA36" s="188"/>
      <c r="AYB36" s="188"/>
      <c r="AYC36" s="188"/>
      <c r="AYD36" s="188"/>
      <c r="AYE36" s="188"/>
      <c r="AYF36" s="188"/>
      <c r="AYG36" s="188"/>
      <c r="AYH36" s="188"/>
      <c r="AYI36" s="188"/>
      <c r="AYJ36" s="188"/>
      <c r="AYK36" s="188"/>
      <c r="AYL36" s="188"/>
      <c r="AYM36" s="188"/>
      <c r="AYN36" s="188"/>
      <c r="AYO36" s="188"/>
      <c r="AYP36" s="188"/>
      <c r="AYQ36" s="188"/>
      <c r="AYR36" s="188"/>
      <c r="AYS36" s="188"/>
      <c r="AYT36" s="188"/>
      <c r="AYU36" s="188"/>
      <c r="AYV36" s="188"/>
      <c r="AYW36" s="188"/>
      <c r="AYX36" s="188"/>
      <c r="AYY36" s="188"/>
      <c r="AYZ36" s="188"/>
      <c r="AZA36" s="188"/>
      <c r="AZB36" s="188"/>
      <c r="AZC36" s="188"/>
      <c r="AZD36" s="188"/>
      <c r="AZE36" s="188"/>
      <c r="AZF36" s="188"/>
      <c r="AZG36" s="188"/>
      <c r="AZH36" s="188"/>
      <c r="AZI36" s="188"/>
      <c r="AZJ36" s="188"/>
      <c r="AZK36" s="188"/>
      <c r="AZL36" s="188"/>
      <c r="AZM36" s="188"/>
      <c r="AZN36" s="188"/>
      <c r="AZO36" s="188"/>
      <c r="AZP36" s="188"/>
      <c r="AZQ36" s="188"/>
      <c r="AZR36" s="188"/>
      <c r="AZS36" s="188"/>
      <c r="AZT36" s="188"/>
      <c r="AZU36" s="188"/>
      <c r="AZV36" s="188"/>
      <c r="AZW36" s="188"/>
      <c r="AZX36" s="188"/>
      <c r="AZY36" s="188"/>
      <c r="AZZ36" s="188"/>
      <c r="BAA36" s="188"/>
      <c r="BAB36" s="188"/>
      <c r="BAC36" s="188"/>
      <c r="BAD36" s="188"/>
      <c r="BAE36" s="188"/>
      <c r="BAF36" s="188"/>
      <c r="BAG36" s="188"/>
      <c r="BAH36" s="188"/>
      <c r="BAI36" s="188"/>
      <c r="BAJ36" s="188"/>
      <c r="BAK36" s="188"/>
      <c r="BAL36" s="188"/>
      <c r="BAM36" s="188"/>
      <c r="BAN36" s="188"/>
      <c r="BAO36" s="188"/>
      <c r="BAP36" s="188"/>
      <c r="BAQ36" s="188"/>
      <c r="BAR36" s="188"/>
      <c r="BAS36" s="188"/>
      <c r="BAT36" s="188"/>
      <c r="BAU36" s="188"/>
      <c r="BAV36" s="188"/>
      <c r="BAW36" s="188"/>
      <c r="BAX36" s="188"/>
      <c r="BAY36" s="188"/>
      <c r="BAZ36" s="188"/>
      <c r="BBA36" s="188"/>
      <c r="BBB36" s="188"/>
      <c r="BBC36" s="188"/>
      <c r="BBD36" s="188"/>
      <c r="BBE36" s="188"/>
      <c r="BBF36" s="188"/>
      <c r="BBG36" s="188"/>
      <c r="BBH36" s="188"/>
      <c r="BBI36" s="188"/>
      <c r="BBJ36" s="188"/>
      <c r="BBK36" s="188"/>
      <c r="BBL36" s="188"/>
      <c r="BBM36" s="188"/>
      <c r="BBN36" s="188"/>
      <c r="BBO36" s="188"/>
      <c r="BBP36" s="188"/>
      <c r="BBQ36" s="188"/>
      <c r="BBR36" s="188"/>
      <c r="BBS36" s="188"/>
      <c r="BBT36" s="188"/>
      <c r="BBU36" s="188"/>
      <c r="BBV36" s="188"/>
      <c r="BBW36" s="188"/>
      <c r="BBX36" s="188"/>
      <c r="BBY36" s="188"/>
      <c r="BBZ36" s="188"/>
      <c r="BCA36" s="188"/>
      <c r="BCB36" s="188"/>
      <c r="BCC36" s="188"/>
      <c r="BCD36" s="188"/>
      <c r="BCE36" s="188"/>
      <c r="BCF36" s="188"/>
      <c r="BCG36" s="188"/>
      <c r="BCH36" s="188"/>
      <c r="BCI36" s="188"/>
      <c r="BCJ36" s="188"/>
      <c r="BCK36" s="188"/>
      <c r="BCL36" s="188"/>
      <c r="BCM36" s="188"/>
      <c r="BCN36" s="188"/>
      <c r="BCO36" s="188"/>
      <c r="BCP36" s="188"/>
      <c r="BCQ36" s="188"/>
      <c r="BCR36" s="188"/>
      <c r="BCS36" s="188"/>
      <c r="BCT36" s="188"/>
      <c r="BCU36" s="188"/>
      <c r="BCV36" s="188"/>
      <c r="BCW36" s="188"/>
      <c r="BCX36" s="188"/>
      <c r="BCY36" s="188"/>
      <c r="BCZ36" s="188"/>
      <c r="BDA36" s="188"/>
      <c r="BDB36" s="188"/>
      <c r="BDC36" s="188"/>
      <c r="BDD36" s="188"/>
      <c r="BDE36" s="188"/>
      <c r="BDF36" s="188"/>
      <c r="BDG36" s="188"/>
      <c r="BDH36" s="188"/>
      <c r="BDI36" s="188"/>
      <c r="BDJ36" s="188"/>
      <c r="BDK36" s="188"/>
      <c r="BDL36" s="188"/>
      <c r="BDM36" s="188"/>
      <c r="BDN36" s="188"/>
      <c r="BDO36" s="188"/>
      <c r="BDP36" s="188"/>
      <c r="BDQ36" s="188"/>
      <c r="BDR36" s="188"/>
      <c r="BDS36" s="188"/>
      <c r="BDT36" s="188"/>
      <c r="BDU36" s="188"/>
      <c r="BDV36" s="188"/>
      <c r="BDW36" s="188"/>
      <c r="BDX36" s="188"/>
      <c r="BDY36" s="188"/>
      <c r="BDZ36" s="188"/>
      <c r="BEA36" s="188"/>
      <c r="BEB36" s="188"/>
      <c r="BEC36" s="188"/>
      <c r="BED36" s="188"/>
      <c r="BEE36" s="188"/>
      <c r="BEF36" s="188"/>
      <c r="BEG36" s="188"/>
      <c r="BEH36" s="188"/>
      <c r="BEI36" s="188"/>
      <c r="BEJ36" s="188"/>
      <c r="BEK36" s="188"/>
      <c r="BEL36" s="188"/>
      <c r="BEM36" s="188"/>
      <c r="BEN36" s="188"/>
      <c r="BEO36" s="188"/>
      <c r="BEP36" s="188"/>
      <c r="BEQ36" s="188"/>
      <c r="BER36" s="188"/>
      <c r="BES36" s="188"/>
      <c r="BET36" s="188"/>
      <c r="BEU36" s="188"/>
      <c r="BEV36" s="188"/>
      <c r="BEW36" s="188"/>
      <c r="BEX36" s="188"/>
      <c r="BEY36" s="188"/>
      <c r="BEZ36" s="188"/>
      <c r="BFA36" s="188"/>
      <c r="BFB36" s="188"/>
      <c r="BFC36" s="188"/>
      <c r="BFD36" s="188"/>
      <c r="BFE36" s="188"/>
      <c r="BFF36" s="188"/>
      <c r="BFG36" s="188"/>
      <c r="BFH36" s="188"/>
      <c r="BFI36" s="188"/>
      <c r="BFJ36" s="188"/>
      <c r="BFK36" s="188"/>
      <c r="BFL36" s="188"/>
      <c r="BFM36" s="188"/>
      <c r="BFN36" s="188"/>
      <c r="BFO36" s="188"/>
      <c r="BFP36" s="188"/>
      <c r="BFQ36" s="188"/>
      <c r="BFR36" s="188"/>
      <c r="BFS36" s="188"/>
      <c r="BFT36" s="188"/>
      <c r="BFU36" s="188"/>
      <c r="BFV36" s="188"/>
      <c r="BFW36" s="188"/>
      <c r="BFX36" s="188"/>
      <c r="BFY36" s="188"/>
      <c r="BFZ36" s="188"/>
      <c r="BGA36" s="188"/>
      <c r="BGB36" s="188"/>
      <c r="BGC36" s="188"/>
      <c r="BGD36" s="188"/>
      <c r="BGE36" s="188"/>
      <c r="BGF36" s="188"/>
      <c r="BGG36" s="188"/>
      <c r="BGH36" s="188"/>
      <c r="BGI36" s="188"/>
      <c r="BGJ36" s="188"/>
      <c r="BGK36" s="188"/>
      <c r="BGL36" s="188"/>
      <c r="BGM36" s="188"/>
      <c r="BGN36" s="188"/>
      <c r="BGO36" s="188"/>
      <c r="BGP36" s="188"/>
      <c r="BGQ36" s="188"/>
      <c r="BGR36" s="188"/>
      <c r="BGS36" s="188"/>
      <c r="BGT36" s="188"/>
      <c r="BGU36" s="188"/>
      <c r="BGV36" s="188"/>
      <c r="BGW36" s="188"/>
      <c r="BGX36" s="188"/>
      <c r="BGY36" s="188"/>
      <c r="BGZ36" s="188"/>
      <c r="BHA36" s="188"/>
      <c r="BHB36" s="188"/>
      <c r="BHC36" s="188"/>
      <c r="BHD36" s="188"/>
      <c r="BHE36" s="188"/>
      <c r="BHF36" s="188"/>
      <c r="BHG36" s="188"/>
      <c r="BHH36" s="188"/>
      <c r="BHI36" s="188"/>
      <c r="BHJ36" s="188"/>
      <c r="BHK36" s="188"/>
      <c r="BHL36" s="188"/>
      <c r="BHM36" s="188"/>
      <c r="BHN36" s="188"/>
      <c r="BHO36" s="188"/>
      <c r="BHP36" s="188"/>
      <c r="BHQ36" s="188"/>
      <c r="BHR36" s="188"/>
      <c r="BHS36" s="188"/>
      <c r="BHT36" s="188"/>
      <c r="BHU36" s="188"/>
      <c r="BHV36" s="188"/>
      <c r="BHW36" s="188"/>
      <c r="BHX36" s="188"/>
      <c r="BHY36" s="188"/>
      <c r="BHZ36" s="188"/>
      <c r="BIA36" s="188"/>
      <c r="BIB36" s="188"/>
      <c r="BIC36" s="188"/>
      <c r="BID36" s="188"/>
      <c r="BIE36" s="188"/>
      <c r="BIF36" s="188"/>
      <c r="BIG36" s="188"/>
      <c r="BIH36" s="188"/>
      <c r="BII36" s="188"/>
      <c r="BIJ36" s="188"/>
      <c r="BIK36" s="188"/>
      <c r="BIL36" s="188"/>
      <c r="BIM36" s="188"/>
      <c r="BIN36" s="188"/>
      <c r="BIO36" s="188"/>
      <c r="BIP36" s="188"/>
      <c r="BIQ36" s="188"/>
      <c r="BIR36" s="188"/>
      <c r="BIS36" s="188"/>
      <c r="BIT36" s="188"/>
      <c r="BIU36" s="188"/>
      <c r="BIV36" s="188"/>
      <c r="BIW36" s="188"/>
      <c r="BIX36" s="188"/>
      <c r="BIY36" s="188"/>
      <c r="BIZ36" s="188"/>
      <c r="BJA36" s="188"/>
      <c r="BJB36" s="188"/>
      <c r="BJC36" s="188"/>
      <c r="BJD36" s="188"/>
      <c r="BJE36" s="188"/>
      <c r="BJF36" s="188"/>
      <c r="BJG36" s="188"/>
      <c r="BJH36" s="188"/>
      <c r="BJI36" s="188"/>
      <c r="BJJ36" s="188"/>
      <c r="BJK36" s="188"/>
      <c r="BJL36" s="188"/>
      <c r="BJM36" s="188"/>
      <c r="BJN36" s="188"/>
      <c r="BJO36" s="188"/>
      <c r="BJP36" s="188"/>
      <c r="BJQ36" s="188"/>
      <c r="BJR36" s="188"/>
      <c r="BJS36" s="188"/>
      <c r="BJT36" s="188"/>
      <c r="BJU36" s="188"/>
      <c r="BJV36" s="188"/>
      <c r="BJW36" s="188"/>
      <c r="BJX36" s="188"/>
      <c r="BJY36" s="188"/>
      <c r="BJZ36" s="188"/>
      <c r="BKA36" s="188"/>
      <c r="BKB36" s="188"/>
      <c r="BKC36" s="188"/>
      <c r="BKD36" s="188"/>
      <c r="BKE36" s="188"/>
      <c r="BKF36" s="188"/>
      <c r="BKG36" s="188"/>
      <c r="BKH36" s="188"/>
      <c r="BKI36" s="188"/>
      <c r="BKJ36" s="188"/>
      <c r="BKK36" s="188"/>
      <c r="BKL36" s="188"/>
      <c r="BKM36" s="188"/>
      <c r="BKN36" s="188"/>
      <c r="BKO36" s="188"/>
      <c r="BKP36" s="188"/>
      <c r="BKQ36" s="188"/>
      <c r="BKR36" s="188"/>
      <c r="BKS36" s="188"/>
      <c r="BKT36" s="188"/>
      <c r="BKU36" s="188"/>
      <c r="BKV36" s="188"/>
      <c r="BKW36" s="188"/>
      <c r="BKX36" s="188"/>
      <c r="BKY36" s="188"/>
      <c r="BKZ36" s="188"/>
      <c r="BLA36" s="188"/>
      <c r="BLB36" s="188"/>
      <c r="BLC36" s="188"/>
      <c r="BLD36" s="188"/>
      <c r="BLE36" s="188"/>
      <c r="BLF36" s="188"/>
      <c r="BLG36" s="188"/>
      <c r="BLH36" s="188"/>
      <c r="BLI36" s="188"/>
      <c r="BLJ36" s="188"/>
      <c r="BLK36" s="188"/>
      <c r="BLL36" s="188"/>
      <c r="BLM36" s="188"/>
      <c r="BLN36" s="188"/>
      <c r="BLO36" s="188"/>
      <c r="BLP36" s="188"/>
      <c r="BLQ36" s="188"/>
      <c r="BLR36" s="188"/>
      <c r="BLS36" s="188"/>
      <c r="BLT36" s="188"/>
      <c r="BLU36" s="188"/>
      <c r="BLV36" s="188"/>
      <c r="BLW36" s="188"/>
      <c r="BLX36" s="188"/>
      <c r="BLY36" s="188"/>
      <c r="BLZ36" s="188"/>
      <c r="BMA36" s="188"/>
      <c r="BMB36" s="188"/>
      <c r="BMC36" s="188"/>
      <c r="BMD36" s="188"/>
      <c r="BME36" s="188"/>
      <c r="BMF36" s="188"/>
      <c r="BMG36" s="188"/>
      <c r="BMH36" s="188"/>
      <c r="BMI36" s="188"/>
      <c r="BMJ36" s="188"/>
      <c r="BMK36" s="188"/>
      <c r="BML36" s="188"/>
      <c r="BMM36" s="188"/>
      <c r="BMN36" s="188"/>
      <c r="BMO36" s="188"/>
      <c r="BMP36" s="188"/>
      <c r="BMQ36" s="188"/>
      <c r="BMR36" s="188"/>
      <c r="BMS36" s="188"/>
      <c r="BMT36" s="188"/>
      <c r="BMU36" s="188"/>
      <c r="BMV36" s="188"/>
      <c r="BMW36" s="188"/>
      <c r="BMX36" s="188"/>
      <c r="BMY36" s="188"/>
      <c r="BMZ36" s="188"/>
      <c r="BNA36" s="188"/>
      <c r="BNB36" s="188"/>
      <c r="BNC36" s="188"/>
      <c r="BND36" s="188"/>
      <c r="BNE36" s="188"/>
      <c r="BNF36" s="188"/>
      <c r="BNG36" s="188"/>
      <c r="BNH36" s="188"/>
      <c r="BNI36" s="188"/>
      <c r="BNJ36" s="188"/>
      <c r="BNK36" s="188"/>
      <c r="BNL36" s="188"/>
      <c r="BNM36" s="188"/>
      <c r="BNN36" s="188"/>
      <c r="BNO36" s="188"/>
      <c r="BNP36" s="188"/>
      <c r="BNQ36" s="188"/>
      <c r="BNR36" s="188"/>
      <c r="BNS36" s="188"/>
      <c r="BNT36" s="188"/>
      <c r="BNU36" s="188"/>
      <c r="BNV36" s="188"/>
      <c r="BNW36" s="188"/>
      <c r="BNX36" s="188"/>
      <c r="BNY36" s="188"/>
      <c r="BNZ36" s="188"/>
      <c r="BOA36" s="188"/>
      <c r="BOB36" s="188"/>
      <c r="BOC36" s="188"/>
      <c r="BOD36" s="188"/>
      <c r="BOE36" s="188"/>
      <c r="BOF36" s="188"/>
      <c r="BOG36" s="188"/>
      <c r="BOH36" s="188"/>
      <c r="BOI36" s="188"/>
      <c r="BOJ36" s="188"/>
      <c r="BOK36" s="188"/>
      <c r="BOL36" s="188"/>
      <c r="BOM36" s="188"/>
      <c r="BON36" s="188"/>
      <c r="BOO36" s="188"/>
      <c r="BOP36" s="188"/>
      <c r="BOQ36" s="188"/>
      <c r="BOR36" s="188"/>
      <c r="BOS36" s="188"/>
      <c r="BOT36" s="188"/>
      <c r="BOU36" s="188"/>
      <c r="BOV36" s="188"/>
      <c r="BOW36" s="188"/>
      <c r="BOX36" s="188"/>
      <c r="BOY36" s="188"/>
      <c r="BOZ36" s="188"/>
      <c r="BPA36" s="188"/>
      <c r="BPB36" s="188"/>
      <c r="BPC36" s="188"/>
      <c r="BPD36" s="188"/>
      <c r="BPE36" s="188"/>
      <c r="BPF36" s="188"/>
      <c r="BPG36" s="188"/>
      <c r="BPH36" s="188"/>
      <c r="BPI36" s="188"/>
      <c r="BPJ36" s="188"/>
      <c r="BPK36" s="188"/>
      <c r="BPL36" s="188"/>
      <c r="BPM36" s="188"/>
      <c r="BPN36" s="188"/>
      <c r="BPO36" s="188"/>
      <c r="BPP36" s="188"/>
      <c r="BPQ36" s="188"/>
      <c r="BPR36" s="188"/>
      <c r="BPS36" s="188"/>
      <c r="BPT36" s="188"/>
      <c r="BPU36" s="188"/>
      <c r="BPV36" s="188"/>
      <c r="BPW36" s="188"/>
      <c r="BPX36" s="188"/>
      <c r="BPY36" s="188"/>
      <c r="BPZ36" s="188"/>
      <c r="BQA36" s="188"/>
      <c r="BQB36" s="188"/>
      <c r="BQC36" s="188"/>
      <c r="BQD36" s="188"/>
      <c r="BQE36" s="188"/>
      <c r="BQF36" s="188"/>
      <c r="BQG36" s="188"/>
      <c r="BQH36" s="188"/>
      <c r="BQI36" s="188"/>
      <c r="BQJ36" s="188"/>
      <c r="BQK36" s="188"/>
      <c r="BQL36" s="188"/>
      <c r="BQM36" s="188"/>
      <c r="BQN36" s="188"/>
      <c r="BQO36" s="188"/>
      <c r="BQP36" s="188"/>
      <c r="BQQ36" s="188"/>
      <c r="BQR36" s="188"/>
      <c r="BQS36" s="188"/>
      <c r="BQT36" s="188"/>
      <c r="BQU36" s="188"/>
      <c r="BQV36" s="188"/>
      <c r="BQW36" s="188"/>
      <c r="BQX36" s="188"/>
      <c r="BQY36" s="188"/>
      <c r="BQZ36" s="188"/>
      <c r="BRA36" s="188"/>
      <c r="BRB36" s="188"/>
      <c r="BRC36" s="188"/>
      <c r="BRD36" s="188"/>
      <c r="BRE36" s="188"/>
      <c r="BRF36" s="188"/>
      <c r="BRG36" s="188"/>
      <c r="BRH36" s="188"/>
      <c r="BRI36" s="188"/>
      <c r="BRJ36" s="188"/>
      <c r="BRK36" s="188"/>
      <c r="BRL36" s="188"/>
      <c r="BRM36" s="188"/>
      <c r="BRN36" s="188"/>
      <c r="BRO36" s="188"/>
      <c r="BRP36" s="188"/>
      <c r="BRQ36" s="188"/>
      <c r="BRR36" s="188"/>
      <c r="BRS36" s="188"/>
      <c r="BRT36" s="188"/>
      <c r="BRU36" s="188"/>
      <c r="BRV36" s="188"/>
      <c r="BRW36" s="188"/>
      <c r="BRX36" s="188"/>
      <c r="BRY36" s="188"/>
      <c r="BRZ36" s="188"/>
      <c r="BSA36" s="188"/>
      <c r="BSB36" s="188"/>
      <c r="BSC36" s="188"/>
      <c r="BSD36" s="188"/>
      <c r="BSE36" s="188"/>
      <c r="BSF36" s="188"/>
      <c r="BSG36" s="188"/>
      <c r="BSH36" s="188"/>
      <c r="BSI36" s="188"/>
      <c r="BSJ36" s="188"/>
      <c r="BSK36" s="188"/>
      <c r="BSL36" s="188"/>
      <c r="BSM36" s="188"/>
      <c r="BSN36" s="188"/>
      <c r="BSO36" s="188"/>
      <c r="BSP36" s="188"/>
      <c r="BSQ36" s="188"/>
      <c r="BSR36" s="188"/>
      <c r="BSS36" s="188"/>
      <c r="BST36" s="188"/>
      <c r="BSU36" s="188"/>
      <c r="BSV36" s="188"/>
      <c r="BSW36" s="188"/>
      <c r="BSX36" s="188"/>
      <c r="BSY36" s="188"/>
      <c r="BSZ36" s="188"/>
      <c r="BTA36" s="188"/>
      <c r="BTB36" s="188"/>
      <c r="BTC36" s="188"/>
      <c r="BTD36" s="188"/>
      <c r="BTE36" s="188"/>
      <c r="BTF36" s="188"/>
      <c r="BTG36" s="188"/>
      <c r="BTH36" s="188"/>
      <c r="BTI36" s="188"/>
      <c r="BTJ36" s="188"/>
      <c r="BTK36" s="188"/>
      <c r="BTL36" s="188"/>
      <c r="BTM36" s="188"/>
      <c r="BTN36" s="188"/>
      <c r="BTO36" s="188"/>
      <c r="BTP36" s="188"/>
      <c r="BTQ36" s="188"/>
      <c r="BTR36" s="188"/>
      <c r="BTS36" s="188"/>
      <c r="BTT36" s="188"/>
      <c r="BTU36" s="188"/>
      <c r="BTV36" s="188"/>
      <c r="BTW36" s="188"/>
      <c r="BTX36" s="188"/>
      <c r="BTY36" s="188"/>
      <c r="BTZ36" s="188"/>
      <c r="BUA36" s="188"/>
      <c r="BUB36" s="188"/>
      <c r="BUC36" s="188"/>
      <c r="BUD36" s="188"/>
      <c r="BUE36" s="188"/>
      <c r="BUF36" s="188"/>
      <c r="BUG36" s="188"/>
      <c r="BUH36" s="188"/>
      <c r="BUI36" s="188"/>
      <c r="BUJ36" s="188"/>
      <c r="BUK36" s="188"/>
      <c r="BUL36" s="188"/>
      <c r="BUM36" s="188"/>
      <c r="BUN36" s="188"/>
      <c r="BUO36" s="188"/>
      <c r="BUP36" s="188"/>
      <c r="BUQ36" s="188"/>
      <c r="BUR36" s="188"/>
      <c r="BUS36" s="188"/>
      <c r="BUT36" s="188"/>
      <c r="BUU36" s="188"/>
      <c r="BUV36" s="188"/>
      <c r="BUW36" s="188"/>
      <c r="BUX36" s="188"/>
      <c r="BUY36" s="188"/>
      <c r="BUZ36" s="188"/>
      <c r="BVA36" s="188"/>
      <c r="BVB36" s="188"/>
      <c r="BVC36" s="188"/>
      <c r="BVD36" s="188"/>
      <c r="BVE36" s="188"/>
      <c r="BVF36" s="188"/>
      <c r="BVG36" s="188"/>
      <c r="BVH36" s="188"/>
      <c r="BVI36" s="188"/>
      <c r="BVJ36" s="188"/>
      <c r="BVK36" s="188"/>
      <c r="BVL36" s="188"/>
      <c r="BVM36" s="188"/>
      <c r="BVN36" s="188"/>
      <c r="BVO36" s="188"/>
      <c r="BVP36" s="188"/>
      <c r="BVQ36" s="188"/>
      <c r="BVR36" s="188"/>
      <c r="BVS36" s="188"/>
      <c r="BVT36" s="188"/>
      <c r="BVU36" s="188"/>
      <c r="BVV36" s="188"/>
      <c r="BVW36" s="188"/>
      <c r="BVX36" s="188"/>
      <c r="BVY36" s="188"/>
      <c r="BVZ36" s="188"/>
      <c r="BWA36" s="188"/>
      <c r="BWB36" s="188"/>
      <c r="BWC36" s="188"/>
      <c r="BWD36" s="188"/>
      <c r="BWE36" s="188"/>
      <c r="BWF36" s="188"/>
      <c r="BWG36" s="188"/>
      <c r="BWH36" s="188"/>
      <c r="BWI36" s="188"/>
      <c r="BWJ36" s="188"/>
      <c r="BWK36" s="188"/>
      <c r="BWL36" s="188"/>
      <c r="BWM36" s="188"/>
      <c r="BWN36" s="188"/>
      <c r="BWO36" s="188"/>
      <c r="BWP36" s="188"/>
      <c r="BWQ36" s="188"/>
      <c r="BWR36" s="188"/>
      <c r="BWS36" s="188"/>
      <c r="BWT36" s="188"/>
      <c r="BWU36" s="188"/>
      <c r="BWV36" s="188"/>
      <c r="BWW36" s="188"/>
      <c r="BWX36" s="188"/>
      <c r="BWY36" s="188"/>
      <c r="BWZ36" s="188"/>
      <c r="BXA36" s="188"/>
      <c r="BXB36" s="188"/>
      <c r="BXC36" s="188"/>
      <c r="BXD36" s="188"/>
      <c r="BXE36" s="188"/>
      <c r="BXF36" s="188"/>
      <c r="BXG36" s="188"/>
      <c r="BXH36" s="188"/>
      <c r="BXI36" s="188"/>
      <c r="BXJ36" s="188"/>
      <c r="BXK36" s="188"/>
      <c r="BXL36" s="188"/>
      <c r="BXM36" s="188"/>
      <c r="BXN36" s="188"/>
      <c r="BXO36" s="188"/>
      <c r="BXP36" s="188"/>
      <c r="BXQ36" s="188"/>
      <c r="BXR36" s="188"/>
      <c r="BXS36" s="188"/>
      <c r="BXT36" s="188"/>
      <c r="BXU36" s="188"/>
      <c r="BXV36" s="188"/>
      <c r="BXW36" s="188"/>
      <c r="BXX36" s="188"/>
      <c r="BXY36" s="188"/>
      <c r="BXZ36" s="188"/>
      <c r="BYA36" s="188"/>
      <c r="BYB36" s="188"/>
      <c r="BYC36" s="188"/>
      <c r="BYD36" s="188"/>
      <c r="BYE36" s="188"/>
      <c r="BYF36" s="188"/>
      <c r="BYG36" s="188"/>
      <c r="BYH36" s="188"/>
      <c r="BYI36" s="188"/>
      <c r="BYJ36" s="188"/>
      <c r="BYK36" s="188"/>
      <c r="BYL36" s="188"/>
      <c r="BYM36" s="188"/>
      <c r="BYN36" s="188"/>
      <c r="BYO36" s="188"/>
      <c r="BYP36" s="188"/>
      <c r="BYQ36" s="188"/>
      <c r="BYR36" s="188"/>
      <c r="BYS36" s="188"/>
      <c r="BYT36" s="188"/>
      <c r="BYU36" s="188"/>
      <c r="BYV36" s="188"/>
      <c r="BYW36" s="188"/>
      <c r="BYX36" s="188"/>
      <c r="BYY36" s="188"/>
      <c r="BYZ36" s="188"/>
      <c r="BZA36" s="188"/>
      <c r="BZB36" s="188"/>
      <c r="BZC36" s="188"/>
      <c r="BZD36" s="188"/>
      <c r="BZE36" s="188"/>
      <c r="BZF36" s="188"/>
      <c r="BZG36" s="188"/>
      <c r="BZH36" s="188"/>
      <c r="BZI36" s="188"/>
      <c r="BZJ36" s="188"/>
      <c r="BZK36" s="188"/>
      <c r="BZL36" s="188"/>
      <c r="BZM36" s="188"/>
      <c r="BZN36" s="188"/>
      <c r="BZO36" s="188"/>
      <c r="BZP36" s="188"/>
      <c r="BZQ36" s="188"/>
      <c r="BZR36" s="188"/>
      <c r="BZS36" s="188"/>
      <c r="BZT36" s="188"/>
      <c r="BZU36" s="188"/>
      <c r="BZV36" s="188"/>
      <c r="BZW36" s="188"/>
      <c r="BZX36" s="188"/>
      <c r="BZY36" s="188"/>
      <c r="BZZ36" s="188"/>
      <c r="CAA36" s="188"/>
      <c r="CAB36" s="188"/>
      <c r="CAC36" s="188"/>
      <c r="CAD36" s="188"/>
      <c r="CAE36" s="188"/>
      <c r="CAF36" s="188"/>
      <c r="CAG36" s="188"/>
      <c r="CAH36" s="188"/>
      <c r="CAI36" s="188"/>
      <c r="CAJ36" s="188"/>
      <c r="CAK36" s="188"/>
      <c r="CAL36" s="188"/>
      <c r="CAM36" s="188"/>
      <c r="CAN36" s="188"/>
      <c r="CAO36" s="188"/>
      <c r="CAP36" s="188"/>
      <c r="CAQ36" s="188"/>
      <c r="CAR36" s="188"/>
      <c r="CAS36" s="188"/>
      <c r="CAT36" s="188"/>
      <c r="CAU36" s="188"/>
      <c r="CAV36" s="188"/>
      <c r="CAW36" s="188"/>
      <c r="CAX36" s="188"/>
      <c r="CAY36" s="188"/>
      <c r="CAZ36" s="188"/>
      <c r="CBA36" s="188"/>
      <c r="CBB36" s="188"/>
      <c r="CBC36" s="188"/>
      <c r="CBD36" s="188"/>
      <c r="CBE36" s="188"/>
      <c r="CBF36" s="188"/>
      <c r="CBG36" s="188"/>
      <c r="CBH36" s="188"/>
      <c r="CBI36" s="188"/>
      <c r="CBJ36" s="188"/>
      <c r="CBK36" s="188"/>
      <c r="CBL36" s="188"/>
      <c r="CBM36" s="188"/>
      <c r="CBN36" s="188"/>
      <c r="CBO36" s="188"/>
      <c r="CBP36" s="188"/>
      <c r="CBQ36" s="188"/>
      <c r="CBR36" s="188"/>
      <c r="CBS36" s="188"/>
      <c r="CBT36" s="188"/>
      <c r="CBU36" s="188"/>
      <c r="CBV36" s="188"/>
      <c r="CBW36" s="188"/>
      <c r="CBX36" s="188"/>
      <c r="CBY36" s="188"/>
      <c r="CBZ36" s="188"/>
      <c r="CCA36" s="188"/>
      <c r="CCB36" s="188"/>
      <c r="CCC36" s="188"/>
      <c r="CCD36" s="188"/>
      <c r="CCE36" s="188"/>
      <c r="CCF36" s="188"/>
      <c r="CCG36" s="188"/>
      <c r="CCH36" s="188"/>
      <c r="CCI36" s="188"/>
      <c r="CCJ36" s="188"/>
      <c r="CCK36" s="188"/>
      <c r="CCL36" s="188"/>
      <c r="CCM36" s="188"/>
      <c r="CCN36" s="188"/>
      <c r="CCO36" s="188"/>
      <c r="CCP36" s="188"/>
      <c r="CCQ36" s="188"/>
      <c r="CCR36" s="188"/>
      <c r="CCS36" s="188"/>
      <c r="CCT36" s="188"/>
      <c r="CCU36" s="188"/>
      <c r="CCV36" s="188"/>
      <c r="CCW36" s="188"/>
      <c r="CCX36" s="188"/>
      <c r="CCY36" s="188"/>
      <c r="CCZ36" s="188"/>
      <c r="CDA36" s="188"/>
      <c r="CDB36" s="188"/>
      <c r="CDC36" s="188"/>
      <c r="CDD36" s="188"/>
      <c r="CDE36" s="188"/>
      <c r="CDF36" s="188"/>
      <c r="CDG36" s="188"/>
      <c r="CDH36" s="188"/>
      <c r="CDI36" s="188"/>
      <c r="CDJ36" s="188"/>
      <c r="CDK36" s="188"/>
      <c r="CDL36" s="188"/>
      <c r="CDM36" s="188"/>
      <c r="CDN36" s="188"/>
      <c r="CDO36" s="188"/>
      <c r="CDP36" s="188"/>
      <c r="CDQ36" s="188"/>
      <c r="CDR36" s="188"/>
      <c r="CDS36" s="188"/>
      <c r="CDT36" s="188"/>
      <c r="CDU36" s="188"/>
      <c r="CDV36" s="188"/>
      <c r="CDW36" s="188"/>
      <c r="CDX36" s="188"/>
      <c r="CDY36" s="188"/>
      <c r="CDZ36" s="188"/>
      <c r="CEA36" s="188"/>
      <c r="CEB36" s="188"/>
      <c r="CEC36" s="188"/>
      <c r="CED36" s="188"/>
      <c r="CEE36" s="188"/>
      <c r="CEF36" s="188"/>
      <c r="CEG36" s="188"/>
      <c r="CEH36" s="188"/>
      <c r="CEI36" s="188"/>
      <c r="CEJ36" s="188"/>
      <c r="CEK36" s="188"/>
      <c r="CEL36" s="188"/>
      <c r="CEM36" s="188"/>
      <c r="CEN36" s="188"/>
      <c r="CEO36" s="188"/>
      <c r="CEP36" s="188"/>
      <c r="CEQ36" s="188"/>
      <c r="CER36" s="188"/>
      <c r="CES36" s="188"/>
      <c r="CET36" s="188"/>
      <c r="CEU36" s="188"/>
      <c r="CEV36" s="188"/>
      <c r="CEW36" s="188"/>
      <c r="CEX36" s="188"/>
      <c r="CEY36" s="188"/>
      <c r="CEZ36" s="188"/>
      <c r="CFA36" s="188"/>
      <c r="CFB36" s="188"/>
      <c r="CFC36" s="188"/>
      <c r="CFD36" s="188"/>
      <c r="CFE36" s="188"/>
      <c r="CFF36" s="188"/>
      <c r="CFG36" s="188"/>
      <c r="CFH36" s="188"/>
      <c r="CFI36" s="188"/>
      <c r="CFJ36" s="188"/>
      <c r="CFK36" s="188"/>
      <c r="CFL36" s="188"/>
      <c r="CFM36" s="188"/>
      <c r="CFN36" s="188"/>
      <c r="CFO36" s="188"/>
      <c r="CFP36" s="188"/>
      <c r="CFQ36" s="188"/>
      <c r="CFR36" s="188"/>
      <c r="CFS36" s="188"/>
      <c r="CFT36" s="188"/>
      <c r="CFU36" s="188"/>
      <c r="CFV36" s="188"/>
      <c r="CFW36" s="188"/>
      <c r="CFX36" s="188"/>
      <c r="CFY36" s="188"/>
      <c r="CFZ36" s="188"/>
      <c r="CGA36" s="188"/>
      <c r="CGB36" s="188"/>
      <c r="CGC36" s="188"/>
      <c r="CGD36" s="188"/>
      <c r="CGE36" s="188"/>
      <c r="CGF36" s="188"/>
      <c r="CGG36" s="188"/>
      <c r="CGH36" s="188"/>
      <c r="CGI36" s="188"/>
      <c r="CGJ36" s="188"/>
      <c r="CGK36" s="188"/>
      <c r="CGL36" s="188"/>
      <c r="CGM36" s="188"/>
      <c r="CGN36" s="188"/>
      <c r="CGO36" s="188"/>
      <c r="CGP36" s="188"/>
      <c r="CGQ36" s="188"/>
      <c r="CGR36" s="188"/>
      <c r="CGS36" s="188"/>
      <c r="CGT36" s="188"/>
      <c r="CGU36" s="188"/>
      <c r="CGV36" s="188"/>
      <c r="CGW36" s="188"/>
      <c r="CGX36" s="188"/>
      <c r="CGY36" s="188"/>
      <c r="CGZ36" s="188"/>
      <c r="CHA36" s="188"/>
      <c r="CHB36" s="188"/>
      <c r="CHC36" s="188"/>
      <c r="CHD36" s="188"/>
      <c r="CHE36" s="188"/>
      <c r="CHF36" s="188"/>
      <c r="CHG36" s="188"/>
      <c r="CHH36" s="188"/>
      <c r="CHI36" s="188"/>
      <c r="CHJ36" s="188"/>
      <c r="CHK36" s="188"/>
      <c r="CHL36" s="188"/>
      <c r="CHM36" s="188"/>
      <c r="CHN36" s="188"/>
      <c r="CHO36" s="188"/>
      <c r="CHP36" s="188"/>
      <c r="CHQ36" s="188"/>
      <c r="CHR36" s="188"/>
      <c r="CHS36" s="188"/>
      <c r="CHT36" s="188"/>
      <c r="CHU36" s="188"/>
      <c r="CHV36" s="188"/>
      <c r="CHW36" s="188"/>
      <c r="CHX36" s="188"/>
      <c r="CHY36" s="188"/>
      <c r="CHZ36" s="188"/>
      <c r="CIA36" s="188"/>
      <c r="CIB36" s="188"/>
      <c r="CIC36" s="188"/>
      <c r="CID36" s="188"/>
      <c r="CIE36" s="188"/>
      <c r="CIF36" s="188"/>
      <c r="CIG36" s="188"/>
      <c r="CIH36" s="188"/>
      <c r="CII36" s="188"/>
      <c r="CIJ36" s="188"/>
      <c r="CIK36" s="188"/>
      <c r="CIL36" s="188"/>
      <c r="CIM36" s="188"/>
      <c r="CIN36" s="188"/>
      <c r="CIO36" s="188"/>
      <c r="CIP36" s="188"/>
      <c r="CIQ36" s="188"/>
      <c r="CIR36" s="188"/>
      <c r="CIS36" s="188"/>
      <c r="CIT36" s="188"/>
      <c r="CIU36" s="188"/>
      <c r="CIV36" s="188"/>
      <c r="CIW36" s="188"/>
      <c r="CIX36" s="188"/>
      <c r="CIY36" s="188"/>
      <c r="CIZ36" s="188"/>
      <c r="CJA36" s="188"/>
      <c r="CJB36" s="188"/>
      <c r="CJC36" s="188"/>
      <c r="CJD36" s="188"/>
      <c r="CJE36" s="188"/>
      <c r="CJF36" s="188"/>
      <c r="CJG36" s="188"/>
      <c r="CJH36" s="188"/>
      <c r="CJI36" s="188"/>
      <c r="CJJ36" s="188"/>
      <c r="CJK36" s="188"/>
      <c r="CJL36" s="188"/>
      <c r="CJM36" s="188"/>
      <c r="CJN36" s="188"/>
      <c r="CJO36" s="188"/>
      <c r="CJP36" s="188"/>
      <c r="CJQ36" s="188"/>
      <c r="CJR36" s="188"/>
      <c r="CJS36" s="188"/>
      <c r="CJT36" s="188"/>
      <c r="CJU36" s="188"/>
      <c r="CJV36" s="188"/>
      <c r="CJW36" s="188"/>
      <c r="CJX36" s="188"/>
      <c r="CJY36" s="188"/>
      <c r="CJZ36" s="188"/>
      <c r="CKA36" s="188"/>
      <c r="CKB36" s="188"/>
      <c r="CKC36" s="188"/>
      <c r="CKD36" s="188"/>
      <c r="CKE36" s="188"/>
      <c r="CKF36" s="188"/>
      <c r="CKG36" s="188"/>
      <c r="CKH36" s="188"/>
      <c r="CKI36" s="188"/>
      <c r="CKJ36" s="188"/>
      <c r="CKK36" s="188"/>
      <c r="CKL36" s="188"/>
      <c r="CKM36" s="188"/>
      <c r="CKN36" s="188"/>
      <c r="CKO36" s="188"/>
      <c r="CKP36" s="188"/>
      <c r="CKQ36" s="188"/>
      <c r="CKR36" s="188"/>
      <c r="CKS36" s="188"/>
      <c r="CKT36" s="188"/>
      <c r="CKU36" s="188"/>
      <c r="CKV36" s="188"/>
      <c r="CKW36" s="188"/>
      <c r="CKX36" s="188"/>
      <c r="CKY36" s="188"/>
      <c r="CKZ36" s="188"/>
      <c r="CLA36" s="188"/>
      <c r="CLB36" s="188"/>
      <c r="CLC36" s="188"/>
      <c r="CLD36" s="188"/>
      <c r="CLE36" s="188"/>
      <c r="CLF36" s="188"/>
      <c r="CLG36" s="188"/>
      <c r="CLH36" s="188"/>
      <c r="CLI36" s="188"/>
      <c r="CLJ36" s="188"/>
      <c r="CLK36" s="188"/>
      <c r="CLL36" s="188"/>
      <c r="CLM36" s="188"/>
      <c r="CLN36" s="188"/>
      <c r="CLO36" s="188"/>
      <c r="CLP36" s="188"/>
      <c r="CLQ36" s="188"/>
      <c r="CLR36" s="188"/>
      <c r="CLS36" s="188"/>
      <c r="CLT36" s="188"/>
      <c r="CLU36" s="188"/>
      <c r="CLV36" s="188"/>
      <c r="CLW36" s="188"/>
      <c r="CLX36" s="188"/>
      <c r="CLY36" s="188"/>
      <c r="CLZ36" s="188"/>
      <c r="CMA36" s="188"/>
      <c r="CMB36" s="188"/>
      <c r="CMC36" s="188"/>
      <c r="CMD36" s="188"/>
      <c r="CME36" s="188"/>
      <c r="CMF36" s="188"/>
      <c r="CMG36" s="188"/>
      <c r="CMH36" s="188"/>
      <c r="CMI36" s="188"/>
      <c r="CMJ36" s="188"/>
      <c r="CMK36" s="188"/>
      <c r="CML36" s="188"/>
      <c r="CMM36" s="188"/>
      <c r="CMN36" s="188"/>
      <c r="CMO36" s="188"/>
      <c r="CMP36" s="188"/>
      <c r="CMQ36" s="188"/>
      <c r="CMR36" s="188"/>
      <c r="CMS36" s="188"/>
      <c r="CMT36" s="188"/>
      <c r="CMU36" s="188"/>
      <c r="CMV36" s="188"/>
      <c r="CMW36" s="188"/>
      <c r="CMX36" s="188"/>
      <c r="CMY36" s="188"/>
      <c r="CMZ36" s="188"/>
      <c r="CNA36" s="188"/>
      <c r="CNB36" s="188"/>
      <c r="CNC36" s="188"/>
      <c r="CND36" s="188"/>
      <c r="CNE36" s="188"/>
      <c r="CNF36" s="188"/>
      <c r="CNG36" s="188"/>
      <c r="CNH36" s="188"/>
      <c r="CNI36" s="188"/>
      <c r="CNJ36" s="188"/>
      <c r="CNK36" s="188"/>
      <c r="CNL36" s="188"/>
      <c r="CNM36" s="188"/>
      <c r="CNN36" s="188"/>
      <c r="CNO36" s="188"/>
      <c r="CNP36" s="188"/>
      <c r="CNQ36" s="188"/>
      <c r="CNR36" s="188"/>
      <c r="CNS36" s="188"/>
      <c r="CNT36" s="188"/>
      <c r="CNU36" s="188"/>
      <c r="CNV36" s="188"/>
      <c r="CNW36" s="188"/>
      <c r="CNX36" s="188"/>
      <c r="CNY36" s="188"/>
      <c r="CNZ36" s="188"/>
      <c r="COA36" s="188"/>
      <c r="COB36" s="188"/>
      <c r="COC36" s="188"/>
      <c r="COD36" s="188"/>
      <c r="COE36" s="188"/>
      <c r="COF36" s="188"/>
      <c r="COG36" s="188"/>
      <c r="COH36" s="188"/>
      <c r="COI36" s="188"/>
      <c r="COJ36" s="188"/>
      <c r="COK36" s="188"/>
      <c r="COL36" s="188"/>
      <c r="COM36" s="188"/>
      <c r="CON36" s="188"/>
      <c r="COO36" s="188"/>
      <c r="COP36" s="188"/>
      <c r="COQ36" s="188"/>
      <c r="COR36" s="188"/>
      <c r="COS36" s="188"/>
      <c r="COT36" s="188"/>
      <c r="COU36" s="188"/>
      <c r="COV36" s="188"/>
      <c r="COW36" s="188"/>
      <c r="COX36" s="188"/>
      <c r="COY36" s="188"/>
      <c r="COZ36" s="188"/>
      <c r="CPA36" s="188"/>
      <c r="CPB36" s="188"/>
      <c r="CPC36" s="188"/>
      <c r="CPD36" s="188"/>
      <c r="CPE36" s="188"/>
      <c r="CPF36" s="188"/>
      <c r="CPG36" s="188"/>
      <c r="CPH36" s="188"/>
      <c r="CPI36" s="188"/>
      <c r="CPJ36" s="188"/>
      <c r="CPK36" s="188"/>
      <c r="CPL36" s="188"/>
      <c r="CPM36" s="188"/>
      <c r="CPN36" s="188"/>
      <c r="CPO36" s="188"/>
      <c r="CPP36" s="188"/>
      <c r="CPQ36" s="188"/>
      <c r="CPR36" s="188"/>
      <c r="CPS36" s="188"/>
      <c r="CPT36" s="188"/>
      <c r="CPU36" s="188"/>
      <c r="CPV36" s="188"/>
      <c r="CPW36" s="188"/>
      <c r="CPX36" s="188"/>
      <c r="CPY36" s="188"/>
      <c r="CPZ36" s="188"/>
      <c r="CQA36" s="188"/>
      <c r="CQB36" s="188"/>
      <c r="CQC36" s="188"/>
      <c r="CQD36" s="188"/>
      <c r="CQE36" s="188"/>
      <c r="CQF36" s="188"/>
      <c r="CQG36" s="188"/>
      <c r="CQH36" s="188"/>
      <c r="CQI36" s="188"/>
      <c r="CQJ36" s="188"/>
      <c r="CQK36" s="188"/>
      <c r="CQL36" s="188"/>
      <c r="CQM36" s="188"/>
      <c r="CQN36" s="188"/>
      <c r="CQO36" s="188"/>
      <c r="CQP36" s="188"/>
      <c r="CQQ36" s="188"/>
      <c r="CQR36" s="188"/>
      <c r="CQS36" s="188"/>
      <c r="CQT36" s="188"/>
      <c r="CQU36" s="188"/>
      <c r="CQV36" s="188"/>
      <c r="CQW36" s="188"/>
      <c r="CQX36" s="188"/>
      <c r="CQY36" s="188"/>
      <c r="CQZ36" s="188"/>
      <c r="CRA36" s="188"/>
      <c r="CRB36" s="188"/>
      <c r="CRC36" s="188"/>
      <c r="CRD36" s="188"/>
      <c r="CRE36" s="188"/>
      <c r="CRF36" s="188"/>
      <c r="CRG36" s="188"/>
      <c r="CRH36" s="188"/>
      <c r="CRI36" s="188"/>
      <c r="CRJ36" s="188"/>
      <c r="CRK36" s="188"/>
      <c r="CRL36" s="188"/>
      <c r="CRM36" s="188"/>
      <c r="CRN36" s="188"/>
      <c r="CRO36" s="188"/>
      <c r="CRP36" s="188"/>
      <c r="CRQ36" s="188"/>
      <c r="CRR36" s="188"/>
      <c r="CRS36" s="188"/>
      <c r="CRT36" s="188"/>
      <c r="CRU36" s="188"/>
      <c r="CRV36" s="188"/>
      <c r="CRW36" s="188"/>
      <c r="CRX36" s="188"/>
      <c r="CRY36" s="188"/>
      <c r="CRZ36" s="188"/>
      <c r="CSA36" s="188"/>
      <c r="CSB36" s="188"/>
      <c r="CSC36" s="188"/>
      <c r="CSD36" s="188"/>
      <c r="CSE36" s="188"/>
      <c r="CSF36" s="188"/>
      <c r="CSG36" s="188"/>
      <c r="CSH36" s="188"/>
      <c r="CSI36" s="188"/>
      <c r="CSJ36" s="188"/>
      <c r="CSK36" s="188"/>
      <c r="CSL36" s="188"/>
      <c r="CSM36" s="188"/>
      <c r="CSN36" s="188"/>
      <c r="CSO36" s="188"/>
      <c r="CSP36" s="188"/>
      <c r="CSQ36" s="188"/>
      <c r="CSR36" s="188"/>
      <c r="CSS36" s="188"/>
      <c r="CST36" s="188"/>
      <c r="CSU36" s="188"/>
      <c r="CSV36" s="188"/>
      <c r="CSW36" s="188"/>
      <c r="CSX36" s="188"/>
      <c r="CSY36" s="188"/>
      <c r="CSZ36" s="188"/>
      <c r="CTA36" s="188"/>
      <c r="CTB36" s="188"/>
      <c r="CTC36" s="188"/>
      <c r="CTD36" s="188"/>
      <c r="CTE36" s="188"/>
      <c r="CTF36" s="188"/>
      <c r="CTG36" s="188"/>
      <c r="CTH36" s="188"/>
      <c r="CTI36" s="188"/>
      <c r="CTJ36" s="188"/>
      <c r="CTK36" s="188"/>
      <c r="CTL36" s="188"/>
      <c r="CTM36" s="188"/>
      <c r="CTN36" s="188"/>
      <c r="CTO36" s="188"/>
      <c r="CTP36" s="188"/>
      <c r="CTQ36" s="188"/>
      <c r="CTR36" s="188"/>
      <c r="CTS36" s="188"/>
      <c r="CTT36" s="188"/>
      <c r="CTU36" s="188"/>
      <c r="CTV36" s="188"/>
      <c r="CTW36" s="188"/>
      <c r="CTX36" s="188"/>
      <c r="CTY36" s="188"/>
      <c r="CTZ36" s="188"/>
      <c r="CUA36" s="188"/>
    </row>
    <row r="37" s="189" customFormat="1" ht="13" customHeight="1" spans="1:1024 1025:2575">
      <c r="A37" s="216" t="s">
        <v>37</v>
      </c>
      <c r="B37" s="84" t="s">
        <v>50</v>
      </c>
      <c r="C37" s="217">
        <f t="shared" si="26"/>
        <v>45496</v>
      </c>
      <c r="D37" s="218">
        <f t="shared" si="22"/>
        <v>45502</v>
      </c>
      <c r="E37" s="219">
        <v>1148</v>
      </c>
      <c r="F37" s="220">
        <f t="shared" si="27"/>
        <v>45516</v>
      </c>
      <c r="G37" s="219">
        <v>773</v>
      </c>
      <c r="H37" s="54">
        <f t="shared" si="10"/>
        <v>0.673344947735192</v>
      </c>
      <c r="I37" s="218">
        <f t="shared" si="28"/>
        <v>45533</v>
      </c>
      <c r="J37" s="219">
        <v>740</v>
      </c>
      <c r="K37" s="54">
        <f t="shared" si="0"/>
        <v>0.644599303135889</v>
      </c>
      <c r="L37" s="218">
        <f t="shared" si="29"/>
        <v>45536</v>
      </c>
      <c r="M37" s="219">
        <v>707</v>
      </c>
      <c r="N37" s="219">
        <v>5083</v>
      </c>
      <c r="O37" s="54">
        <f t="shared" si="1"/>
        <v>0.615853658536585</v>
      </c>
      <c r="P37" s="54">
        <f t="shared" si="7"/>
        <v>0.0574912891986062</v>
      </c>
      <c r="Q37" s="221">
        <f t="shared" si="2"/>
        <v>7.18953323903819</v>
      </c>
      <c r="R37" s="218">
        <f t="shared" si="30"/>
        <v>45568</v>
      </c>
      <c r="S37" s="203">
        <v>4843</v>
      </c>
      <c r="T37" s="84">
        <v>762</v>
      </c>
      <c r="U37" s="54">
        <f t="shared" si="3"/>
        <v>0.952783789100925</v>
      </c>
      <c r="V37" s="218">
        <f t="shared" si="19"/>
        <v>45603</v>
      </c>
      <c r="W37" s="203">
        <v>4667</v>
      </c>
      <c r="X37" s="54">
        <f t="shared" si="4"/>
        <v>0.963658889118315</v>
      </c>
      <c r="Y37" s="84">
        <v>11231</v>
      </c>
      <c r="Z37" s="226">
        <v>14</v>
      </c>
      <c r="AA37" s="8">
        <v>2.42</v>
      </c>
      <c r="AB37" s="8">
        <f t="shared" si="5"/>
        <v>4.06533101045296</v>
      </c>
      <c r="AC37" s="8">
        <v>4.17</v>
      </c>
      <c r="AD37" s="203">
        <v>3.47</v>
      </c>
      <c r="AE37" s="8">
        <v>57</v>
      </c>
      <c r="AF37" s="203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88"/>
      <c r="BG37" s="188"/>
      <c r="BH37" s="188"/>
      <c r="BI37" s="188"/>
      <c r="BJ37" s="188"/>
      <c r="BK37" s="188"/>
      <c r="BL37" s="188"/>
      <c r="BM37" s="188"/>
      <c r="BN37" s="188"/>
      <c r="BO37" s="188"/>
      <c r="BP37" s="188"/>
      <c r="BQ37" s="188"/>
      <c r="BR37" s="188"/>
      <c r="BS37" s="188"/>
      <c r="BT37" s="188"/>
      <c r="BU37" s="188"/>
      <c r="BV37" s="188"/>
      <c r="BW37" s="188"/>
      <c r="BX37" s="188"/>
      <c r="BY37" s="188"/>
      <c r="BZ37" s="188"/>
      <c r="CA37" s="188"/>
      <c r="CB37" s="188"/>
      <c r="CC37" s="188"/>
      <c r="CD37" s="188"/>
      <c r="CE37" s="188"/>
      <c r="CF37" s="188"/>
      <c r="CG37" s="188"/>
      <c r="CH37" s="188"/>
      <c r="CI37" s="188"/>
      <c r="CJ37" s="188"/>
      <c r="CK37" s="188"/>
      <c r="CL37" s="188"/>
      <c r="CM37" s="188"/>
      <c r="CN37" s="188"/>
      <c r="CO37" s="188"/>
      <c r="CP37" s="188"/>
      <c r="CQ37" s="188"/>
      <c r="CR37" s="188"/>
      <c r="CS37" s="188"/>
      <c r="CT37" s="188"/>
      <c r="CU37" s="188"/>
      <c r="CV37" s="188"/>
      <c r="CW37" s="188"/>
      <c r="CX37" s="188"/>
      <c r="CY37" s="188"/>
      <c r="CZ37" s="188"/>
      <c r="DA37" s="188"/>
      <c r="DB37" s="188"/>
      <c r="DC37" s="188"/>
      <c r="DD37" s="188"/>
      <c r="DE37" s="188"/>
      <c r="DF37" s="188"/>
      <c r="DG37" s="188"/>
      <c r="DH37" s="188"/>
      <c r="DI37" s="188"/>
      <c r="DJ37" s="188"/>
      <c r="DK37" s="188"/>
      <c r="DL37" s="188"/>
      <c r="DM37" s="188"/>
      <c r="DN37" s="188"/>
      <c r="DO37" s="188"/>
      <c r="DP37" s="188"/>
      <c r="DQ37" s="188"/>
      <c r="DR37" s="188"/>
      <c r="DS37" s="188"/>
      <c r="DT37" s="188"/>
      <c r="DU37" s="188"/>
      <c r="DV37" s="188"/>
      <c r="DW37" s="188"/>
      <c r="DX37" s="188"/>
      <c r="DY37" s="188"/>
      <c r="DZ37" s="188"/>
      <c r="EA37" s="188"/>
      <c r="EB37" s="188"/>
      <c r="EC37" s="188"/>
      <c r="ED37" s="188"/>
      <c r="EE37" s="188"/>
      <c r="EF37" s="188"/>
      <c r="EG37" s="188"/>
      <c r="EH37" s="188"/>
      <c r="EI37" s="188"/>
      <c r="EJ37" s="188"/>
      <c r="EK37" s="188"/>
      <c r="EL37" s="188"/>
      <c r="EM37" s="188"/>
      <c r="EN37" s="188"/>
      <c r="EO37" s="188"/>
      <c r="EP37" s="188"/>
      <c r="EQ37" s="188"/>
      <c r="ER37" s="188"/>
      <c r="ES37" s="188"/>
      <c r="ET37" s="188"/>
      <c r="EU37" s="188"/>
      <c r="EV37" s="188"/>
      <c r="EW37" s="188"/>
      <c r="EX37" s="188"/>
      <c r="EY37" s="188"/>
      <c r="EZ37" s="188"/>
      <c r="FA37" s="188"/>
      <c r="FB37" s="188"/>
      <c r="FC37" s="188"/>
      <c r="FD37" s="188"/>
      <c r="FE37" s="188"/>
      <c r="FF37" s="188"/>
      <c r="FG37" s="188"/>
      <c r="FH37" s="188"/>
      <c r="FI37" s="188"/>
      <c r="FJ37" s="188"/>
      <c r="FK37" s="188"/>
      <c r="FL37" s="188"/>
      <c r="FM37" s="188"/>
      <c r="FN37" s="188"/>
      <c r="FO37" s="188"/>
      <c r="FP37" s="188"/>
      <c r="FQ37" s="188"/>
      <c r="FR37" s="188"/>
      <c r="FS37" s="188"/>
      <c r="FT37" s="188"/>
      <c r="FU37" s="188"/>
      <c r="FV37" s="188"/>
      <c r="FW37" s="188"/>
      <c r="FX37" s="188"/>
      <c r="FY37" s="188"/>
      <c r="FZ37" s="188"/>
      <c r="GA37" s="188"/>
      <c r="GB37" s="188"/>
      <c r="GC37" s="188"/>
      <c r="GD37" s="188"/>
      <c r="GE37" s="188"/>
      <c r="GF37" s="188"/>
      <c r="GG37" s="188"/>
      <c r="GH37" s="188"/>
      <c r="GI37" s="188"/>
      <c r="GJ37" s="188"/>
      <c r="GK37" s="188"/>
      <c r="GL37" s="188"/>
      <c r="GM37" s="188"/>
      <c r="GN37" s="188"/>
      <c r="GO37" s="188"/>
      <c r="GP37" s="188"/>
      <c r="GQ37" s="188"/>
      <c r="GR37" s="188"/>
      <c r="GS37" s="188"/>
      <c r="GT37" s="188"/>
      <c r="GU37" s="188"/>
      <c r="GV37" s="188"/>
      <c r="GW37" s="188"/>
      <c r="GX37" s="188"/>
      <c r="GY37" s="188"/>
      <c r="GZ37" s="188"/>
      <c r="HA37" s="188"/>
      <c r="HB37" s="188"/>
      <c r="HC37" s="188"/>
      <c r="HD37" s="188"/>
      <c r="HE37" s="188"/>
      <c r="HF37" s="188"/>
      <c r="HG37" s="188"/>
      <c r="HH37" s="188"/>
      <c r="HI37" s="188"/>
      <c r="HJ37" s="188"/>
      <c r="HK37" s="188"/>
      <c r="HL37" s="188"/>
      <c r="HM37" s="188"/>
      <c r="HN37" s="188"/>
      <c r="HO37" s="188"/>
      <c r="HP37" s="188"/>
      <c r="HQ37" s="188"/>
      <c r="HR37" s="188"/>
      <c r="HS37" s="188"/>
      <c r="HT37" s="188"/>
      <c r="HU37" s="188"/>
      <c r="HV37" s="188"/>
      <c r="HW37" s="188"/>
      <c r="HX37" s="188"/>
      <c r="HY37" s="188"/>
      <c r="HZ37" s="188"/>
      <c r="IA37" s="188"/>
      <c r="IB37" s="188"/>
      <c r="IC37" s="188"/>
      <c r="ID37" s="188"/>
      <c r="IE37" s="188"/>
      <c r="IF37" s="188"/>
      <c r="IG37" s="188"/>
      <c r="IH37" s="188"/>
      <c r="II37" s="188"/>
      <c r="IJ37" s="188"/>
      <c r="IK37" s="188"/>
      <c r="IL37" s="188"/>
      <c r="IM37" s="188"/>
      <c r="IN37" s="188"/>
      <c r="IO37" s="188"/>
      <c r="IP37" s="188"/>
      <c r="IQ37" s="188"/>
      <c r="IR37" s="188"/>
      <c r="IS37" s="188"/>
      <c r="IT37" s="188"/>
      <c r="IU37" s="188"/>
      <c r="IV37" s="188"/>
      <c r="IW37" s="188"/>
      <c r="IX37" s="188"/>
      <c r="IY37" s="188"/>
      <c r="IZ37" s="188"/>
      <c r="JA37" s="188"/>
      <c r="JB37" s="188"/>
      <c r="JC37" s="188"/>
      <c r="JD37" s="188"/>
      <c r="JE37" s="188"/>
      <c r="JF37" s="188"/>
      <c r="JG37" s="188"/>
      <c r="JH37" s="188"/>
      <c r="JI37" s="188"/>
      <c r="JJ37" s="188"/>
      <c r="JK37" s="188"/>
      <c r="JL37" s="188"/>
      <c r="JM37" s="188"/>
      <c r="JN37" s="188"/>
      <c r="JO37" s="188"/>
      <c r="JP37" s="188"/>
      <c r="JQ37" s="188"/>
      <c r="JR37" s="188"/>
      <c r="JS37" s="188"/>
      <c r="JT37" s="188"/>
      <c r="JU37" s="188"/>
      <c r="JV37" s="188"/>
      <c r="JW37" s="188"/>
      <c r="JX37" s="188"/>
      <c r="JY37" s="188"/>
      <c r="JZ37" s="188"/>
      <c r="KA37" s="188"/>
      <c r="KB37" s="188"/>
      <c r="KC37" s="188"/>
      <c r="KD37" s="188"/>
      <c r="KE37" s="188"/>
      <c r="KF37" s="188"/>
      <c r="KG37" s="188"/>
      <c r="KH37" s="188"/>
      <c r="KI37" s="188"/>
      <c r="KJ37" s="188"/>
      <c r="KK37" s="188"/>
      <c r="KL37" s="188"/>
      <c r="KM37" s="188"/>
      <c r="KN37" s="188"/>
      <c r="KO37" s="188"/>
      <c r="KP37" s="188"/>
      <c r="KQ37" s="188"/>
      <c r="KR37" s="188"/>
      <c r="KS37" s="188"/>
      <c r="KT37" s="188"/>
      <c r="KU37" s="188"/>
      <c r="KV37" s="188"/>
      <c r="KW37" s="188"/>
      <c r="KX37" s="188"/>
      <c r="KY37" s="188"/>
      <c r="KZ37" s="188"/>
      <c r="LA37" s="188"/>
      <c r="LB37" s="188"/>
      <c r="LC37" s="188"/>
      <c r="LD37" s="188"/>
      <c r="LE37" s="188"/>
      <c r="LF37" s="188"/>
      <c r="LG37" s="188"/>
      <c r="LH37" s="188"/>
      <c r="LI37" s="188"/>
      <c r="LJ37" s="188"/>
      <c r="LK37" s="188"/>
      <c r="LL37" s="188"/>
      <c r="LM37" s="188"/>
      <c r="LN37" s="188"/>
      <c r="LO37" s="188"/>
      <c r="LP37" s="188"/>
      <c r="LQ37" s="188"/>
      <c r="LR37" s="188"/>
      <c r="LS37" s="188"/>
      <c r="LT37" s="188"/>
      <c r="LU37" s="188"/>
      <c r="LV37" s="188"/>
      <c r="LW37" s="188"/>
      <c r="LX37" s="188"/>
      <c r="LY37" s="188"/>
      <c r="LZ37" s="188"/>
      <c r="MA37" s="188"/>
      <c r="MB37" s="188"/>
      <c r="MC37" s="188"/>
      <c r="MD37" s="188"/>
      <c r="ME37" s="188"/>
      <c r="MF37" s="188"/>
      <c r="MG37" s="188"/>
      <c r="MH37" s="188"/>
      <c r="MI37" s="188"/>
      <c r="MJ37" s="188"/>
      <c r="MK37" s="188"/>
      <c r="ML37" s="188"/>
      <c r="MM37" s="188"/>
      <c r="MN37" s="188"/>
      <c r="MO37" s="188"/>
      <c r="MP37" s="188"/>
      <c r="MQ37" s="188"/>
      <c r="MR37" s="188"/>
      <c r="MS37" s="188"/>
      <c r="MT37" s="188"/>
      <c r="MU37" s="188"/>
      <c r="MV37" s="188"/>
      <c r="MW37" s="188"/>
      <c r="MX37" s="188"/>
      <c r="MY37" s="188"/>
      <c r="MZ37" s="188"/>
      <c r="NA37" s="188"/>
      <c r="NB37" s="188"/>
      <c r="NC37" s="188"/>
      <c r="ND37" s="188"/>
      <c r="NE37" s="188"/>
      <c r="NF37" s="188"/>
      <c r="NG37" s="188"/>
      <c r="NH37" s="188"/>
      <c r="NI37" s="188"/>
      <c r="NJ37" s="188"/>
      <c r="NK37" s="188"/>
      <c r="NL37" s="188"/>
      <c r="NM37" s="188"/>
      <c r="NN37" s="188"/>
      <c r="NO37" s="188"/>
      <c r="NP37" s="188"/>
      <c r="NQ37" s="188"/>
      <c r="NR37" s="188"/>
      <c r="NS37" s="188"/>
      <c r="NT37" s="188"/>
      <c r="NU37" s="188"/>
      <c r="NV37" s="188"/>
      <c r="NW37" s="188"/>
      <c r="NX37" s="188"/>
      <c r="NY37" s="188"/>
      <c r="NZ37" s="188"/>
      <c r="OA37" s="188"/>
      <c r="OB37" s="188"/>
      <c r="OC37" s="188"/>
      <c r="OD37" s="188"/>
      <c r="OE37" s="188"/>
      <c r="OF37" s="188"/>
      <c r="OG37" s="188"/>
      <c r="OH37" s="188"/>
      <c r="OI37" s="188"/>
      <c r="OJ37" s="188"/>
      <c r="OK37" s="188"/>
      <c r="OL37" s="188"/>
      <c r="OM37" s="188"/>
      <c r="ON37" s="188"/>
      <c r="OO37" s="188"/>
      <c r="OP37" s="188"/>
      <c r="OQ37" s="188"/>
      <c r="OR37" s="188"/>
      <c r="OS37" s="188"/>
      <c r="OT37" s="188"/>
      <c r="OU37" s="188"/>
      <c r="OV37" s="188"/>
      <c r="OW37" s="188"/>
      <c r="OX37" s="188"/>
      <c r="OY37" s="188"/>
      <c r="OZ37" s="188"/>
      <c r="PA37" s="188"/>
      <c r="PB37" s="188"/>
      <c r="PC37" s="188"/>
      <c r="PD37" s="188"/>
      <c r="PE37" s="188"/>
      <c r="PF37" s="188"/>
      <c r="PG37" s="188"/>
      <c r="PH37" s="188"/>
      <c r="PI37" s="188"/>
      <c r="PJ37" s="188"/>
      <c r="PK37" s="188"/>
      <c r="PL37" s="188"/>
      <c r="PM37" s="188"/>
      <c r="PN37" s="188"/>
      <c r="PO37" s="188"/>
      <c r="PP37" s="188"/>
      <c r="PQ37" s="188"/>
      <c r="PR37" s="188"/>
      <c r="PS37" s="188"/>
      <c r="PT37" s="188"/>
      <c r="PU37" s="188"/>
      <c r="PV37" s="188"/>
      <c r="PW37" s="188"/>
      <c r="PX37" s="188"/>
      <c r="PY37" s="188"/>
      <c r="PZ37" s="188"/>
      <c r="QA37" s="188"/>
      <c r="QB37" s="188"/>
      <c r="QC37" s="188"/>
      <c r="QD37" s="188"/>
      <c r="QE37" s="188"/>
      <c r="QF37" s="188"/>
      <c r="QG37" s="188"/>
      <c r="QH37" s="188"/>
      <c r="QI37" s="188"/>
      <c r="QJ37" s="188"/>
      <c r="QK37" s="188"/>
      <c r="QL37" s="188"/>
      <c r="QM37" s="188"/>
      <c r="QN37" s="188"/>
      <c r="QO37" s="188"/>
      <c r="QP37" s="188"/>
      <c r="QQ37" s="188"/>
      <c r="QR37" s="188"/>
      <c r="QS37" s="188"/>
      <c r="QT37" s="188"/>
      <c r="QU37" s="188"/>
      <c r="QV37" s="188"/>
      <c r="QW37" s="188"/>
      <c r="QX37" s="188"/>
      <c r="QY37" s="188"/>
      <c r="QZ37" s="188"/>
      <c r="RA37" s="188"/>
      <c r="RB37" s="188"/>
      <c r="RC37" s="188"/>
      <c r="RD37" s="188"/>
      <c r="RE37" s="188"/>
      <c r="RF37" s="188"/>
      <c r="RG37" s="188"/>
      <c r="RH37" s="188"/>
      <c r="RI37" s="188"/>
      <c r="RJ37" s="188"/>
      <c r="RK37" s="188"/>
      <c r="RL37" s="188"/>
      <c r="RM37" s="188"/>
      <c r="RN37" s="188"/>
      <c r="RO37" s="188"/>
      <c r="RP37" s="188"/>
      <c r="RQ37" s="188"/>
      <c r="RR37" s="188"/>
      <c r="RS37" s="188"/>
      <c r="RT37" s="188"/>
      <c r="RU37" s="188"/>
      <c r="RV37" s="188"/>
      <c r="RW37" s="188"/>
      <c r="RX37" s="188"/>
      <c r="RY37" s="188"/>
      <c r="RZ37" s="188"/>
      <c r="SA37" s="188"/>
      <c r="SB37" s="188"/>
      <c r="SC37" s="188"/>
      <c r="SD37" s="188"/>
      <c r="SE37" s="188"/>
      <c r="SF37" s="188"/>
      <c r="SG37" s="188"/>
      <c r="SH37" s="188"/>
      <c r="SI37" s="188"/>
      <c r="SJ37" s="188"/>
      <c r="SK37" s="188"/>
      <c r="SL37" s="188"/>
      <c r="SM37" s="188"/>
      <c r="SN37" s="188"/>
      <c r="SO37" s="188"/>
      <c r="SP37" s="188"/>
      <c r="SQ37" s="188"/>
      <c r="SR37" s="188"/>
      <c r="SS37" s="188"/>
      <c r="ST37" s="188"/>
      <c r="SU37" s="188"/>
      <c r="SV37" s="188"/>
      <c r="SW37" s="188"/>
      <c r="SX37" s="188"/>
      <c r="SY37" s="188"/>
      <c r="SZ37" s="188"/>
      <c r="TA37" s="188"/>
      <c r="TB37" s="188"/>
      <c r="TC37" s="188"/>
      <c r="TD37" s="188"/>
      <c r="TE37" s="188"/>
      <c r="TF37" s="188"/>
      <c r="TG37" s="188"/>
      <c r="TH37" s="188"/>
      <c r="TI37" s="188"/>
      <c r="TJ37" s="188"/>
      <c r="TK37" s="188"/>
      <c r="TL37" s="188"/>
      <c r="TM37" s="188"/>
      <c r="TN37" s="188"/>
      <c r="TO37" s="188"/>
      <c r="TP37" s="188"/>
      <c r="TQ37" s="188"/>
      <c r="TR37" s="188"/>
      <c r="TS37" s="188"/>
      <c r="TT37" s="188"/>
      <c r="TU37" s="188"/>
      <c r="TV37" s="188"/>
      <c r="TW37" s="188"/>
      <c r="TX37" s="188"/>
      <c r="TY37" s="188"/>
      <c r="TZ37" s="188"/>
      <c r="UA37" s="188"/>
      <c r="UB37" s="188"/>
      <c r="UC37" s="188"/>
      <c r="UD37" s="188"/>
      <c r="UE37" s="188"/>
      <c r="UF37" s="188"/>
      <c r="UG37" s="188"/>
      <c r="UH37" s="188"/>
      <c r="UI37" s="188"/>
      <c r="UJ37" s="188"/>
      <c r="UK37" s="188"/>
      <c r="UL37" s="188"/>
      <c r="UM37" s="188"/>
      <c r="UN37" s="188"/>
      <c r="UO37" s="188"/>
      <c r="UP37" s="188"/>
      <c r="UQ37" s="188"/>
      <c r="UR37" s="188"/>
      <c r="US37" s="188"/>
      <c r="UT37" s="188"/>
      <c r="UU37" s="188"/>
      <c r="UV37" s="188"/>
      <c r="UW37" s="188"/>
      <c r="UX37" s="188"/>
      <c r="UY37" s="188"/>
      <c r="UZ37" s="188"/>
      <c r="VA37" s="188"/>
      <c r="VB37" s="188"/>
      <c r="VC37" s="188"/>
      <c r="VD37" s="188"/>
      <c r="VE37" s="188"/>
      <c r="VF37" s="188"/>
      <c r="VG37" s="188"/>
      <c r="VH37" s="188"/>
      <c r="VI37" s="188"/>
      <c r="VJ37" s="188"/>
      <c r="VK37" s="188"/>
      <c r="VL37" s="188"/>
      <c r="VM37" s="188"/>
      <c r="VN37" s="188"/>
      <c r="VO37" s="188"/>
      <c r="VP37" s="188"/>
      <c r="VQ37" s="188"/>
      <c r="VR37" s="188"/>
      <c r="VS37" s="188"/>
      <c r="VT37" s="188"/>
      <c r="VU37" s="188"/>
      <c r="VV37" s="188"/>
      <c r="VW37" s="188"/>
      <c r="VX37" s="188"/>
      <c r="VY37" s="188"/>
      <c r="VZ37" s="188"/>
      <c r="WA37" s="188"/>
      <c r="WB37" s="188"/>
      <c r="WC37" s="188"/>
      <c r="WD37" s="188"/>
      <c r="WE37" s="188"/>
      <c r="WF37" s="188"/>
      <c r="WG37" s="188"/>
      <c r="WH37" s="188"/>
      <c r="WI37" s="188"/>
      <c r="WJ37" s="188"/>
      <c r="WK37" s="188"/>
      <c r="WL37" s="188"/>
      <c r="WM37" s="188"/>
      <c r="WN37" s="188"/>
      <c r="WO37" s="188"/>
      <c r="WP37" s="188"/>
      <c r="WQ37" s="188"/>
      <c r="WR37" s="188"/>
      <c r="WS37" s="188"/>
      <c r="WT37" s="188"/>
      <c r="WU37" s="188"/>
      <c r="WV37" s="188"/>
      <c r="WW37" s="188"/>
      <c r="WX37" s="188"/>
      <c r="WY37" s="188"/>
      <c r="WZ37" s="188"/>
      <c r="XA37" s="188"/>
      <c r="XB37" s="188"/>
      <c r="XC37" s="188"/>
      <c r="XD37" s="188"/>
      <c r="XE37" s="188"/>
      <c r="XF37" s="188"/>
      <c r="XG37" s="188"/>
      <c r="XH37" s="188"/>
      <c r="XI37" s="188"/>
      <c r="XJ37" s="188"/>
      <c r="XK37" s="188"/>
      <c r="XL37" s="188"/>
      <c r="XM37" s="188"/>
      <c r="XN37" s="188"/>
      <c r="XO37" s="188"/>
      <c r="XP37" s="188"/>
      <c r="XQ37" s="188"/>
      <c r="XR37" s="188"/>
      <c r="XS37" s="188"/>
      <c r="XT37" s="188"/>
      <c r="XU37" s="188"/>
      <c r="XV37" s="188"/>
      <c r="XW37" s="188"/>
      <c r="XX37" s="188"/>
      <c r="XY37" s="188"/>
      <c r="XZ37" s="188"/>
      <c r="YA37" s="188"/>
      <c r="YB37" s="188"/>
      <c r="YC37" s="188"/>
      <c r="YD37" s="188"/>
      <c r="YE37" s="188"/>
      <c r="YF37" s="188"/>
      <c r="YG37" s="188"/>
      <c r="YH37" s="188"/>
      <c r="YI37" s="188"/>
      <c r="YJ37" s="188"/>
      <c r="YK37" s="188"/>
      <c r="YL37" s="188"/>
      <c r="YM37" s="188"/>
      <c r="YN37" s="188"/>
      <c r="YO37" s="188"/>
      <c r="YP37" s="188"/>
      <c r="YQ37" s="188"/>
      <c r="YR37" s="188"/>
      <c r="YS37" s="188"/>
      <c r="YT37" s="188"/>
      <c r="YU37" s="188"/>
      <c r="YV37" s="188"/>
      <c r="YW37" s="188"/>
      <c r="YX37" s="188"/>
      <c r="YY37" s="188"/>
      <c r="YZ37" s="188"/>
      <c r="ZA37" s="188"/>
      <c r="ZB37" s="188"/>
      <c r="ZC37" s="188"/>
      <c r="ZD37" s="188"/>
      <c r="ZE37" s="188"/>
      <c r="ZF37" s="188"/>
      <c r="ZG37" s="188"/>
      <c r="ZH37" s="188"/>
      <c r="ZI37" s="188"/>
      <c r="ZJ37" s="188"/>
      <c r="ZK37" s="188"/>
      <c r="ZL37" s="188"/>
      <c r="ZM37" s="188"/>
      <c r="ZN37" s="188"/>
      <c r="ZO37" s="188"/>
      <c r="ZP37" s="188"/>
      <c r="ZQ37" s="188"/>
      <c r="ZR37" s="188"/>
      <c r="ZS37" s="188"/>
      <c r="ZT37" s="188"/>
      <c r="ZU37" s="188"/>
      <c r="ZV37" s="188"/>
      <c r="ZW37" s="188"/>
      <c r="ZX37" s="188"/>
      <c r="ZY37" s="188"/>
      <c r="ZZ37" s="188"/>
      <c r="AAA37" s="188"/>
      <c r="AAB37" s="188"/>
      <c r="AAC37" s="188"/>
      <c r="AAD37" s="188"/>
      <c r="AAE37" s="188"/>
      <c r="AAF37" s="188"/>
      <c r="AAG37" s="188"/>
      <c r="AAH37" s="188"/>
      <c r="AAI37" s="188"/>
      <c r="AAJ37" s="188"/>
      <c r="AAK37" s="188"/>
      <c r="AAL37" s="188"/>
      <c r="AAM37" s="188"/>
      <c r="AAN37" s="188"/>
      <c r="AAO37" s="188"/>
      <c r="AAP37" s="188"/>
      <c r="AAQ37" s="188"/>
      <c r="AAR37" s="188"/>
      <c r="AAS37" s="188"/>
      <c r="AAT37" s="188"/>
      <c r="AAU37" s="188"/>
      <c r="AAV37" s="188"/>
      <c r="AAW37" s="188"/>
      <c r="AAX37" s="188"/>
      <c r="AAY37" s="188"/>
      <c r="AAZ37" s="188"/>
      <c r="ABA37" s="188"/>
      <c r="ABB37" s="188"/>
      <c r="ABC37" s="188"/>
      <c r="ABD37" s="188"/>
      <c r="ABE37" s="188"/>
      <c r="ABF37" s="188"/>
      <c r="ABG37" s="188"/>
      <c r="ABH37" s="188"/>
      <c r="ABI37" s="188"/>
      <c r="ABJ37" s="188"/>
      <c r="ABK37" s="188"/>
      <c r="ABL37" s="188"/>
      <c r="ABM37" s="188"/>
      <c r="ABN37" s="188"/>
      <c r="ABO37" s="188"/>
      <c r="ABP37" s="188"/>
      <c r="ABQ37" s="188"/>
      <c r="ABR37" s="188"/>
      <c r="ABS37" s="188"/>
      <c r="ABT37" s="188"/>
      <c r="ABU37" s="188"/>
      <c r="ABV37" s="188"/>
      <c r="ABW37" s="188"/>
      <c r="ABX37" s="188"/>
      <c r="ABY37" s="188"/>
      <c r="ABZ37" s="188"/>
      <c r="ACA37" s="188"/>
      <c r="ACB37" s="188"/>
      <c r="ACC37" s="188"/>
      <c r="ACD37" s="188"/>
      <c r="ACE37" s="188"/>
      <c r="ACF37" s="188"/>
      <c r="ACG37" s="188"/>
      <c r="ACH37" s="188"/>
      <c r="ACI37" s="188"/>
      <c r="ACJ37" s="188"/>
      <c r="ACK37" s="188"/>
      <c r="ACL37" s="188"/>
      <c r="ACM37" s="188"/>
      <c r="ACN37" s="188"/>
      <c r="ACO37" s="188"/>
      <c r="ACP37" s="188"/>
      <c r="ACQ37" s="188"/>
      <c r="ACR37" s="188"/>
      <c r="ACS37" s="188"/>
      <c r="ACT37" s="188"/>
      <c r="ACU37" s="188"/>
      <c r="ACV37" s="188"/>
      <c r="ACW37" s="188"/>
      <c r="ACX37" s="188"/>
      <c r="ACY37" s="188"/>
      <c r="ACZ37" s="188"/>
      <c r="ADA37" s="188"/>
      <c r="ADB37" s="188"/>
      <c r="ADC37" s="188"/>
      <c r="ADD37" s="188"/>
      <c r="ADE37" s="188"/>
      <c r="ADF37" s="188"/>
      <c r="ADG37" s="188"/>
      <c r="ADH37" s="188"/>
      <c r="ADI37" s="188"/>
      <c r="ADJ37" s="188"/>
      <c r="ADK37" s="188"/>
      <c r="ADL37" s="188"/>
      <c r="ADM37" s="188"/>
      <c r="ADN37" s="188"/>
      <c r="ADO37" s="188"/>
      <c r="ADP37" s="188"/>
      <c r="ADQ37" s="188"/>
      <c r="ADR37" s="188"/>
      <c r="ADS37" s="188"/>
      <c r="ADT37" s="188"/>
      <c r="ADU37" s="188"/>
      <c r="ADV37" s="188"/>
      <c r="ADW37" s="188"/>
      <c r="ADX37" s="188"/>
      <c r="ADY37" s="188"/>
      <c r="ADZ37" s="188"/>
      <c r="AEA37" s="188"/>
      <c r="AEB37" s="188"/>
      <c r="AEC37" s="188"/>
      <c r="AED37" s="188"/>
      <c r="AEE37" s="188"/>
      <c r="AEF37" s="188"/>
      <c r="AEG37" s="188"/>
      <c r="AEH37" s="188"/>
      <c r="AEI37" s="188"/>
      <c r="AEJ37" s="188"/>
      <c r="AEK37" s="188"/>
      <c r="AEL37" s="188"/>
      <c r="AEM37" s="188"/>
      <c r="AEN37" s="188"/>
      <c r="AEO37" s="188"/>
      <c r="AEP37" s="188"/>
      <c r="AEQ37" s="188"/>
      <c r="AER37" s="188"/>
      <c r="AES37" s="188"/>
      <c r="AET37" s="188"/>
      <c r="AEU37" s="188"/>
      <c r="AEV37" s="188"/>
      <c r="AEW37" s="188"/>
      <c r="AEX37" s="188"/>
      <c r="AEY37" s="188"/>
      <c r="AEZ37" s="188"/>
      <c r="AFA37" s="188"/>
      <c r="AFB37" s="188"/>
      <c r="AFC37" s="188"/>
      <c r="AFD37" s="188"/>
      <c r="AFE37" s="188"/>
      <c r="AFF37" s="188"/>
      <c r="AFG37" s="188"/>
      <c r="AFH37" s="188"/>
      <c r="AFI37" s="188"/>
      <c r="AFJ37" s="188"/>
      <c r="AFK37" s="188"/>
      <c r="AFL37" s="188"/>
      <c r="AFM37" s="188"/>
      <c r="AFN37" s="188"/>
      <c r="AFO37" s="188"/>
      <c r="AFP37" s="188"/>
      <c r="AFQ37" s="188"/>
      <c r="AFR37" s="188"/>
      <c r="AFS37" s="188"/>
      <c r="AFT37" s="188"/>
      <c r="AFU37" s="188"/>
      <c r="AFV37" s="188"/>
      <c r="AFW37" s="188"/>
      <c r="AFX37" s="188"/>
      <c r="AFY37" s="188"/>
      <c r="AFZ37" s="188"/>
      <c r="AGA37" s="188"/>
      <c r="AGB37" s="188"/>
      <c r="AGC37" s="188"/>
      <c r="AGD37" s="188"/>
      <c r="AGE37" s="188"/>
      <c r="AGF37" s="188"/>
      <c r="AGG37" s="188"/>
      <c r="AGH37" s="188"/>
      <c r="AGI37" s="188"/>
      <c r="AGJ37" s="188"/>
      <c r="AGK37" s="188"/>
      <c r="AGL37" s="188"/>
      <c r="AGM37" s="188"/>
      <c r="AGN37" s="188"/>
      <c r="AGO37" s="188"/>
      <c r="AGP37" s="188"/>
      <c r="AGQ37" s="188"/>
      <c r="AGR37" s="188"/>
      <c r="AGS37" s="188"/>
      <c r="AGT37" s="188"/>
      <c r="AGU37" s="188"/>
      <c r="AGV37" s="188"/>
      <c r="AGW37" s="188"/>
      <c r="AGX37" s="188"/>
      <c r="AGY37" s="188"/>
      <c r="AGZ37" s="188"/>
      <c r="AHA37" s="188"/>
      <c r="AHB37" s="188"/>
      <c r="AHC37" s="188"/>
      <c r="AHD37" s="188"/>
      <c r="AHE37" s="188"/>
      <c r="AHF37" s="188"/>
      <c r="AHG37" s="188"/>
      <c r="AHH37" s="188"/>
      <c r="AHI37" s="188"/>
      <c r="AHJ37" s="188"/>
      <c r="AHK37" s="188"/>
      <c r="AHL37" s="188"/>
      <c r="AHM37" s="188"/>
      <c r="AHN37" s="188"/>
      <c r="AHO37" s="188"/>
      <c r="AHP37" s="188"/>
      <c r="AHQ37" s="188"/>
      <c r="AHR37" s="188"/>
      <c r="AHS37" s="188"/>
      <c r="AHT37" s="188"/>
      <c r="AHU37" s="188"/>
      <c r="AHV37" s="188"/>
      <c r="AHW37" s="188"/>
      <c r="AHX37" s="188"/>
      <c r="AHY37" s="188"/>
      <c r="AHZ37" s="188"/>
      <c r="AIA37" s="188"/>
      <c r="AIB37" s="188"/>
      <c r="AIC37" s="188"/>
      <c r="AID37" s="188"/>
      <c r="AIE37" s="188"/>
      <c r="AIF37" s="188"/>
      <c r="AIG37" s="188"/>
      <c r="AIH37" s="188"/>
      <c r="AII37" s="188"/>
      <c r="AIJ37" s="188"/>
      <c r="AIK37" s="188"/>
      <c r="AIL37" s="188"/>
      <c r="AIM37" s="188"/>
      <c r="AIN37" s="188"/>
      <c r="AIO37" s="188"/>
      <c r="AIP37" s="188"/>
      <c r="AIQ37" s="188"/>
      <c r="AIR37" s="188"/>
      <c r="AIS37" s="188"/>
      <c r="AIT37" s="188"/>
      <c r="AIU37" s="188"/>
      <c r="AIV37" s="188"/>
      <c r="AIW37" s="188"/>
      <c r="AIX37" s="188"/>
      <c r="AIY37" s="188"/>
      <c r="AIZ37" s="188"/>
      <c r="AJA37" s="188"/>
      <c r="AJB37" s="188"/>
      <c r="AJC37" s="188"/>
      <c r="AJD37" s="188"/>
      <c r="AJE37" s="188"/>
      <c r="AJF37" s="188"/>
      <c r="AJG37" s="188"/>
      <c r="AJH37" s="188"/>
      <c r="AJI37" s="188"/>
      <c r="AJJ37" s="188"/>
      <c r="AJK37" s="188"/>
      <c r="AJL37" s="188"/>
      <c r="AJM37" s="188"/>
      <c r="AJN37" s="188"/>
      <c r="AJO37" s="188"/>
      <c r="AJP37" s="188"/>
      <c r="AJQ37" s="188"/>
      <c r="AJR37" s="188"/>
      <c r="AJS37" s="188"/>
      <c r="AJT37" s="188"/>
      <c r="AJU37" s="188"/>
      <c r="AJV37" s="188"/>
      <c r="AJW37" s="188"/>
      <c r="AJX37" s="188"/>
      <c r="AJY37" s="188"/>
      <c r="AJZ37" s="188"/>
      <c r="AKA37" s="188"/>
      <c r="AKB37" s="188"/>
      <c r="AKC37" s="188"/>
      <c r="AKD37" s="188"/>
      <c r="AKE37" s="188"/>
      <c r="AKF37" s="188"/>
      <c r="AKG37" s="188"/>
      <c r="AKH37" s="188"/>
      <c r="AKI37" s="188"/>
      <c r="AKJ37" s="188"/>
      <c r="AKK37" s="188"/>
      <c r="AKL37" s="188"/>
      <c r="AKM37" s="188"/>
      <c r="AKN37" s="188"/>
      <c r="AKO37" s="188"/>
      <c r="AKP37" s="188"/>
      <c r="AKQ37" s="188"/>
      <c r="AKR37" s="188"/>
      <c r="AKS37" s="188"/>
      <c r="AKT37" s="188"/>
      <c r="AKU37" s="188"/>
      <c r="AKV37" s="188"/>
      <c r="AKW37" s="188"/>
      <c r="AKX37" s="188"/>
      <c r="AKY37" s="188"/>
      <c r="AKZ37" s="188"/>
      <c r="ALA37" s="188"/>
      <c r="ALB37" s="188"/>
      <c r="ALC37" s="188"/>
      <c r="ALD37" s="188"/>
      <c r="ALE37" s="188"/>
      <c r="ALF37" s="188"/>
      <c r="ALG37" s="188"/>
      <c r="ALH37" s="188"/>
      <c r="ALI37" s="188"/>
      <c r="ALJ37" s="188"/>
      <c r="ALK37" s="188"/>
      <c r="ALL37" s="188"/>
      <c r="ALM37" s="188"/>
      <c r="ALN37" s="188"/>
      <c r="ALO37" s="188"/>
      <c r="ALP37" s="188"/>
      <c r="ALQ37" s="188"/>
      <c r="ALR37" s="188"/>
      <c r="ALS37" s="188"/>
      <c r="ALT37" s="188"/>
      <c r="ALU37" s="188"/>
      <c r="ALV37" s="188"/>
      <c r="ALW37" s="188"/>
      <c r="ALX37" s="188"/>
      <c r="ALY37" s="188"/>
      <c r="ALZ37" s="188"/>
      <c r="AMA37" s="188"/>
      <c r="AMB37" s="188"/>
      <c r="AMC37" s="188"/>
      <c r="AMD37" s="188"/>
      <c r="AME37" s="188"/>
      <c r="AMF37" s="188"/>
      <c r="AMG37" s="188"/>
      <c r="AMH37" s="188"/>
      <c r="AMI37" s="188"/>
      <c r="AMJ37" s="188"/>
      <c r="AMK37" s="188"/>
      <c r="AML37" s="188"/>
      <c r="AMM37" s="188"/>
      <c r="AMN37" s="188"/>
      <c r="AMO37" s="188"/>
      <c r="AMP37" s="188"/>
      <c r="AMQ37" s="188"/>
      <c r="AMR37" s="188"/>
      <c r="AMS37" s="188"/>
      <c r="AMT37" s="188"/>
      <c r="AMU37" s="188"/>
      <c r="AMV37" s="188"/>
      <c r="AMW37" s="188"/>
      <c r="AMX37" s="188"/>
      <c r="AMY37" s="188"/>
      <c r="AMZ37" s="188"/>
      <c r="ANA37" s="188"/>
      <c r="ANB37" s="188"/>
      <c r="ANC37" s="188"/>
      <c r="AND37" s="188"/>
      <c r="ANE37" s="188"/>
      <c r="ANF37" s="188"/>
      <c r="ANG37" s="188"/>
      <c r="ANH37" s="188"/>
      <c r="ANI37" s="188"/>
      <c r="ANJ37" s="188"/>
      <c r="ANK37" s="188"/>
      <c r="ANL37" s="188"/>
      <c r="ANM37" s="188"/>
      <c r="ANN37" s="188"/>
      <c r="ANO37" s="188"/>
      <c r="ANP37" s="188"/>
      <c r="ANQ37" s="188"/>
      <c r="ANR37" s="188"/>
      <c r="ANS37" s="188"/>
      <c r="ANT37" s="188"/>
      <c r="ANU37" s="188"/>
      <c r="ANV37" s="188"/>
      <c r="ANW37" s="188"/>
      <c r="ANX37" s="188"/>
      <c r="ANY37" s="188"/>
      <c r="ANZ37" s="188"/>
      <c r="AOA37" s="188"/>
      <c r="AOB37" s="188"/>
      <c r="AOC37" s="188"/>
      <c r="AOD37" s="188"/>
      <c r="AOE37" s="188"/>
      <c r="AOF37" s="188"/>
      <c r="AOG37" s="188"/>
      <c r="AOH37" s="188"/>
      <c r="AOI37" s="188"/>
      <c r="AOJ37" s="188"/>
      <c r="AOK37" s="188"/>
      <c r="AOL37" s="188"/>
      <c r="AOM37" s="188"/>
      <c r="AON37" s="188"/>
      <c r="AOO37" s="188"/>
      <c r="AOP37" s="188"/>
      <c r="AOQ37" s="188"/>
      <c r="AOR37" s="188"/>
      <c r="AOS37" s="188"/>
      <c r="AOT37" s="188"/>
      <c r="AOU37" s="188"/>
      <c r="AOV37" s="188"/>
      <c r="AOW37" s="188"/>
      <c r="AOX37" s="188"/>
      <c r="AOY37" s="188"/>
      <c r="AOZ37" s="188"/>
      <c r="APA37" s="188"/>
      <c r="APB37" s="188"/>
      <c r="APC37" s="188"/>
      <c r="APD37" s="188"/>
      <c r="APE37" s="188"/>
      <c r="APF37" s="188"/>
      <c r="APG37" s="188"/>
      <c r="APH37" s="188"/>
      <c r="API37" s="188"/>
      <c r="APJ37" s="188"/>
      <c r="APK37" s="188"/>
      <c r="APL37" s="188"/>
      <c r="APM37" s="188"/>
      <c r="APN37" s="188"/>
      <c r="APO37" s="188"/>
      <c r="APP37" s="188"/>
      <c r="APQ37" s="188"/>
      <c r="APR37" s="188"/>
      <c r="APS37" s="188"/>
      <c r="APT37" s="188"/>
      <c r="APU37" s="188"/>
      <c r="APV37" s="188"/>
      <c r="APW37" s="188"/>
      <c r="APX37" s="188"/>
      <c r="APY37" s="188"/>
      <c r="APZ37" s="188"/>
      <c r="AQA37" s="188"/>
      <c r="AQB37" s="188"/>
      <c r="AQC37" s="188"/>
      <c r="AQD37" s="188"/>
      <c r="AQE37" s="188"/>
      <c r="AQF37" s="188"/>
      <c r="AQG37" s="188"/>
      <c r="AQH37" s="188"/>
      <c r="AQI37" s="188"/>
      <c r="AQJ37" s="188"/>
      <c r="AQK37" s="188"/>
      <c r="AQL37" s="188"/>
      <c r="AQM37" s="188"/>
      <c r="AQN37" s="188"/>
      <c r="AQO37" s="188"/>
      <c r="AQP37" s="188"/>
      <c r="AQQ37" s="188"/>
      <c r="AQR37" s="188"/>
      <c r="AQS37" s="188"/>
      <c r="AQT37" s="188"/>
      <c r="AQU37" s="188"/>
      <c r="AQV37" s="188"/>
      <c r="AQW37" s="188"/>
      <c r="AQX37" s="188"/>
      <c r="AQY37" s="188"/>
      <c r="AQZ37" s="188"/>
      <c r="ARA37" s="188"/>
      <c r="ARB37" s="188"/>
      <c r="ARC37" s="188"/>
      <c r="ARD37" s="188"/>
      <c r="ARE37" s="188"/>
      <c r="ARF37" s="188"/>
      <c r="ARG37" s="188"/>
      <c r="ARH37" s="188"/>
      <c r="ARI37" s="188"/>
      <c r="ARJ37" s="188"/>
      <c r="ARK37" s="188"/>
      <c r="ARL37" s="188"/>
      <c r="ARM37" s="188"/>
      <c r="ARN37" s="188"/>
      <c r="ARO37" s="188"/>
      <c r="ARP37" s="188"/>
      <c r="ARQ37" s="188"/>
      <c r="ARR37" s="188"/>
      <c r="ARS37" s="188"/>
      <c r="ART37" s="188"/>
      <c r="ARU37" s="188"/>
      <c r="ARV37" s="188"/>
      <c r="ARW37" s="188"/>
      <c r="ARX37" s="188"/>
      <c r="ARY37" s="188"/>
      <c r="ARZ37" s="188"/>
      <c r="ASA37" s="188"/>
      <c r="ASB37" s="188"/>
      <c r="ASC37" s="188"/>
      <c r="ASD37" s="188"/>
      <c r="ASE37" s="188"/>
      <c r="ASF37" s="188"/>
      <c r="ASG37" s="188"/>
      <c r="ASH37" s="188"/>
      <c r="ASI37" s="188"/>
      <c r="ASJ37" s="188"/>
      <c r="ASK37" s="188"/>
      <c r="ASL37" s="188"/>
      <c r="ASM37" s="188"/>
      <c r="ASN37" s="188"/>
      <c r="ASO37" s="188"/>
      <c r="ASP37" s="188"/>
      <c r="ASQ37" s="188"/>
      <c r="ASR37" s="188"/>
      <c r="ASS37" s="188"/>
      <c r="AST37" s="188"/>
      <c r="ASU37" s="188"/>
      <c r="ASV37" s="188"/>
      <c r="ASW37" s="188"/>
      <c r="ASX37" s="188"/>
      <c r="ASY37" s="188"/>
      <c r="ASZ37" s="188"/>
      <c r="ATA37" s="188"/>
      <c r="ATB37" s="188"/>
      <c r="ATC37" s="188"/>
      <c r="ATD37" s="188"/>
      <c r="ATE37" s="188"/>
      <c r="ATF37" s="188"/>
      <c r="ATG37" s="188"/>
      <c r="ATH37" s="188"/>
      <c r="ATI37" s="188"/>
      <c r="ATJ37" s="188"/>
      <c r="ATK37" s="188"/>
      <c r="ATL37" s="188"/>
      <c r="ATM37" s="188"/>
      <c r="ATN37" s="188"/>
      <c r="ATO37" s="188"/>
      <c r="ATP37" s="188"/>
      <c r="ATQ37" s="188"/>
      <c r="ATR37" s="188"/>
      <c r="ATS37" s="188"/>
      <c r="ATT37" s="188"/>
      <c r="ATU37" s="188"/>
      <c r="ATV37" s="188"/>
      <c r="ATW37" s="188"/>
      <c r="ATX37" s="188"/>
      <c r="ATY37" s="188"/>
      <c r="ATZ37" s="188"/>
      <c r="AUA37" s="188"/>
      <c r="AUB37" s="188"/>
      <c r="AUC37" s="188"/>
      <c r="AUD37" s="188"/>
      <c r="AUE37" s="188"/>
      <c r="AUF37" s="188"/>
      <c r="AUG37" s="188"/>
      <c r="AUH37" s="188"/>
      <c r="AUI37" s="188"/>
      <c r="AUJ37" s="188"/>
      <c r="AUK37" s="188"/>
      <c r="AUL37" s="188"/>
      <c r="AUM37" s="188"/>
      <c r="AUN37" s="188"/>
      <c r="AUO37" s="188"/>
      <c r="AUP37" s="188"/>
      <c r="AUQ37" s="188"/>
      <c r="AUR37" s="188"/>
      <c r="AUS37" s="188"/>
      <c r="AUT37" s="188"/>
      <c r="AUU37" s="188"/>
      <c r="AUV37" s="188"/>
      <c r="AUW37" s="188"/>
      <c r="AUX37" s="188"/>
      <c r="AUY37" s="188"/>
      <c r="AUZ37" s="188"/>
      <c r="AVA37" s="188"/>
      <c r="AVB37" s="188"/>
      <c r="AVC37" s="188"/>
      <c r="AVD37" s="188"/>
      <c r="AVE37" s="188"/>
      <c r="AVF37" s="188"/>
      <c r="AVG37" s="188"/>
      <c r="AVH37" s="188"/>
      <c r="AVI37" s="188"/>
      <c r="AVJ37" s="188"/>
      <c r="AVK37" s="188"/>
      <c r="AVL37" s="188"/>
      <c r="AVM37" s="188"/>
      <c r="AVN37" s="188"/>
      <c r="AVO37" s="188"/>
      <c r="AVP37" s="188"/>
      <c r="AVQ37" s="188"/>
      <c r="AVR37" s="188"/>
      <c r="AVS37" s="188"/>
      <c r="AVT37" s="188"/>
      <c r="AVU37" s="188"/>
      <c r="AVV37" s="188"/>
      <c r="AVW37" s="188"/>
      <c r="AVX37" s="188"/>
      <c r="AVY37" s="188"/>
      <c r="AVZ37" s="188"/>
      <c r="AWA37" s="188"/>
      <c r="AWB37" s="188"/>
      <c r="AWC37" s="188"/>
      <c r="AWD37" s="188"/>
      <c r="AWE37" s="188"/>
      <c r="AWF37" s="188"/>
      <c r="AWG37" s="188"/>
      <c r="AWH37" s="188"/>
      <c r="AWI37" s="188"/>
      <c r="AWJ37" s="188"/>
      <c r="AWK37" s="188"/>
      <c r="AWL37" s="188"/>
      <c r="AWM37" s="188"/>
      <c r="AWN37" s="188"/>
      <c r="AWO37" s="188"/>
      <c r="AWP37" s="188"/>
      <c r="AWQ37" s="188"/>
      <c r="AWR37" s="188"/>
      <c r="AWS37" s="188"/>
      <c r="AWT37" s="188"/>
      <c r="AWU37" s="188"/>
      <c r="AWV37" s="188"/>
      <c r="AWW37" s="188"/>
      <c r="AWX37" s="188"/>
      <c r="AWY37" s="188"/>
      <c r="AWZ37" s="188"/>
      <c r="AXA37" s="188"/>
      <c r="AXB37" s="188"/>
      <c r="AXC37" s="188"/>
      <c r="AXD37" s="188"/>
      <c r="AXE37" s="188"/>
      <c r="AXF37" s="188"/>
      <c r="AXG37" s="188"/>
      <c r="AXH37" s="188"/>
      <c r="AXI37" s="188"/>
      <c r="AXJ37" s="188"/>
      <c r="AXK37" s="188"/>
      <c r="AXL37" s="188"/>
      <c r="AXM37" s="188"/>
      <c r="AXN37" s="188"/>
      <c r="AXO37" s="188"/>
      <c r="AXP37" s="188"/>
      <c r="AXQ37" s="188"/>
      <c r="AXR37" s="188"/>
      <c r="AXS37" s="188"/>
      <c r="AXT37" s="188"/>
      <c r="AXU37" s="188"/>
      <c r="AXV37" s="188"/>
      <c r="AXW37" s="188"/>
      <c r="AXX37" s="188"/>
      <c r="AXY37" s="188"/>
      <c r="AXZ37" s="188"/>
      <c r="AYA37" s="188"/>
      <c r="AYB37" s="188"/>
      <c r="AYC37" s="188"/>
      <c r="AYD37" s="188"/>
      <c r="AYE37" s="188"/>
      <c r="AYF37" s="188"/>
      <c r="AYG37" s="188"/>
      <c r="AYH37" s="188"/>
      <c r="AYI37" s="188"/>
      <c r="AYJ37" s="188"/>
      <c r="AYK37" s="188"/>
      <c r="AYL37" s="188"/>
      <c r="AYM37" s="188"/>
      <c r="AYN37" s="188"/>
      <c r="AYO37" s="188"/>
      <c r="AYP37" s="188"/>
      <c r="AYQ37" s="188"/>
      <c r="AYR37" s="188"/>
      <c r="AYS37" s="188"/>
      <c r="AYT37" s="188"/>
      <c r="AYU37" s="188"/>
      <c r="AYV37" s="188"/>
      <c r="AYW37" s="188"/>
      <c r="AYX37" s="188"/>
      <c r="AYY37" s="188"/>
      <c r="AYZ37" s="188"/>
      <c r="AZA37" s="188"/>
      <c r="AZB37" s="188"/>
      <c r="AZC37" s="188"/>
      <c r="AZD37" s="188"/>
      <c r="AZE37" s="188"/>
      <c r="AZF37" s="188"/>
      <c r="AZG37" s="188"/>
      <c r="AZH37" s="188"/>
      <c r="AZI37" s="188"/>
      <c r="AZJ37" s="188"/>
      <c r="AZK37" s="188"/>
      <c r="AZL37" s="188"/>
      <c r="AZM37" s="188"/>
      <c r="AZN37" s="188"/>
      <c r="AZO37" s="188"/>
      <c r="AZP37" s="188"/>
      <c r="AZQ37" s="188"/>
      <c r="AZR37" s="188"/>
      <c r="AZS37" s="188"/>
      <c r="AZT37" s="188"/>
      <c r="AZU37" s="188"/>
      <c r="AZV37" s="188"/>
      <c r="AZW37" s="188"/>
      <c r="AZX37" s="188"/>
      <c r="AZY37" s="188"/>
      <c r="AZZ37" s="188"/>
      <c r="BAA37" s="188"/>
      <c r="BAB37" s="188"/>
      <c r="BAC37" s="188"/>
      <c r="BAD37" s="188"/>
      <c r="BAE37" s="188"/>
      <c r="BAF37" s="188"/>
      <c r="BAG37" s="188"/>
      <c r="BAH37" s="188"/>
      <c r="BAI37" s="188"/>
      <c r="BAJ37" s="188"/>
      <c r="BAK37" s="188"/>
      <c r="BAL37" s="188"/>
      <c r="BAM37" s="188"/>
      <c r="BAN37" s="188"/>
      <c r="BAO37" s="188"/>
      <c r="BAP37" s="188"/>
      <c r="BAQ37" s="188"/>
      <c r="BAR37" s="188"/>
      <c r="BAS37" s="188"/>
      <c r="BAT37" s="188"/>
      <c r="BAU37" s="188"/>
      <c r="BAV37" s="188"/>
      <c r="BAW37" s="188"/>
      <c r="BAX37" s="188"/>
      <c r="BAY37" s="188"/>
      <c r="BAZ37" s="188"/>
      <c r="BBA37" s="188"/>
      <c r="BBB37" s="188"/>
      <c r="BBC37" s="188"/>
      <c r="BBD37" s="188"/>
      <c r="BBE37" s="188"/>
      <c r="BBF37" s="188"/>
      <c r="BBG37" s="188"/>
      <c r="BBH37" s="188"/>
      <c r="BBI37" s="188"/>
      <c r="BBJ37" s="188"/>
      <c r="BBK37" s="188"/>
      <c r="BBL37" s="188"/>
      <c r="BBM37" s="188"/>
      <c r="BBN37" s="188"/>
      <c r="BBO37" s="188"/>
      <c r="BBP37" s="188"/>
      <c r="BBQ37" s="188"/>
      <c r="BBR37" s="188"/>
      <c r="BBS37" s="188"/>
      <c r="BBT37" s="188"/>
      <c r="BBU37" s="188"/>
      <c r="BBV37" s="188"/>
      <c r="BBW37" s="188"/>
      <c r="BBX37" s="188"/>
      <c r="BBY37" s="188"/>
      <c r="BBZ37" s="188"/>
      <c r="BCA37" s="188"/>
      <c r="BCB37" s="188"/>
      <c r="BCC37" s="188"/>
      <c r="BCD37" s="188"/>
      <c r="BCE37" s="188"/>
      <c r="BCF37" s="188"/>
      <c r="BCG37" s="188"/>
      <c r="BCH37" s="188"/>
      <c r="BCI37" s="188"/>
      <c r="BCJ37" s="188"/>
      <c r="BCK37" s="188"/>
      <c r="BCL37" s="188"/>
      <c r="BCM37" s="188"/>
      <c r="BCN37" s="188"/>
      <c r="BCO37" s="188"/>
      <c r="BCP37" s="188"/>
      <c r="BCQ37" s="188"/>
      <c r="BCR37" s="188"/>
      <c r="BCS37" s="188"/>
      <c r="BCT37" s="188"/>
      <c r="BCU37" s="188"/>
      <c r="BCV37" s="188"/>
      <c r="BCW37" s="188"/>
      <c r="BCX37" s="188"/>
      <c r="BCY37" s="188"/>
      <c r="BCZ37" s="188"/>
      <c r="BDA37" s="188"/>
      <c r="BDB37" s="188"/>
      <c r="BDC37" s="188"/>
      <c r="BDD37" s="188"/>
      <c r="BDE37" s="188"/>
      <c r="BDF37" s="188"/>
      <c r="BDG37" s="188"/>
      <c r="BDH37" s="188"/>
      <c r="BDI37" s="188"/>
      <c r="BDJ37" s="188"/>
      <c r="BDK37" s="188"/>
      <c r="BDL37" s="188"/>
      <c r="BDM37" s="188"/>
      <c r="BDN37" s="188"/>
      <c r="BDO37" s="188"/>
      <c r="BDP37" s="188"/>
      <c r="BDQ37" s="188"/>
      <c r="BDR37" s="188"/>
      <c r="BDS37" s="188"/>
      <c r="BDT37" s="188"/>
      <c r="BDU37" s="188"/>
      <c r="BDV37" s="188"/>
      <c r="BDW37" s="188"/>
      <c r="BDX37" s="188"/>
      <c r="BDY37" s="188"/>
      <c r="BDZ37" s="188"/>
      <c r="BEA37" s="188"/>
      <c r="BEB37" s="188"/>
      <c r="BEC37" s="188"/>
      <c r="BED37" s="188"/>
      <c r="BEE37" s="188"/>
      <c r="BEF37" s="188"/>
      <c r="BEG37" s="188"/>
      <c r="BEH37" s="188"/>
      <c r="BEI37" s="188"/>
      <c r="BEJ37" s="188"/>
      <c r="BEK37" s="188"/>
      <c r="BEL37" s="188"/>
      <c r="BEM37" s="188"/>
      <c r="BEN37" s="188"/>
      <c r="BEO37" s="188"/>
      <c r="BEP37" s="188"/>
      <c r="BEQ37" s="188"/>
      <c r="BER37" s="188"/>
      <c r="BES37" s="188"/>
      <c r="BET37" s="188"/>
      <c r="BEU37" s="188"/>
      <c r="BEV37" s="188"/>
      <c r="BEW37" s="188"/>
      <c r="BEX37" s="188"/>
      <c r="BEY37" s="188"/>
      <c r="BEZ37" s="188"/>
      <c r="BFA37" s="188"/>
      <c r="BFB37" s="188"/>
      <c r="BFC37" s="188"/>
      <c r="BFD37" s="188"/>
      <c r="BFE37" s="188"/>
      <c r="BFF37" s="188"/>
      <c r="BFG37" s="188"/>
      <c r="BFH37" s="188"/>
      <c r="BFI37" s="188"/>
      <c r="BFJ37" s="188"/>
      <c r="BFK37" s="188"/>
      <c r="BFL37" s="188"/>
      <c r="BFM37" s="188"/>
      <c r="BFN37" s="188"/>
      <c r="BFO37" s="188"/>
      <c r="BFP37" s="188"/>
      <c r="BFQ37" s="188"/>
      <c r="BFR37" s="188"/>
      <c r="BFS37" s="188"/>
      <c r="BFT37" s="188"/>
      <c r="BFU37" s="188"/>
      <c r="BFV37" s="188"/>
      <c r="BFW37" s="188"/>
      <c r="BFX37" s="188"/>
      <c r="BFY37" s="188"/>
      <c r="BFZ37" s="188"/>
      <c r="BGA37" s="188"/>
      <c r="BGB37" s="188"/>
      <c r="BGC37" s="188"/>
      <c r="BGD37" s="188"/>
      <c r="BGE37" s="188"/>
      <c r="BGF37" s="188"/>
      <c r="BGG37" s="188"/>
      <c r="BGH37" s="188"/>
      <c r="BGI37" s="188"/>
      <c r="BGJ37" s="188"/>
      <c r="BGK37" s="188"/>
      <c r="BGL37" s="188"/>
      <c r="BGM37" s="188"/>
      <c r="BGN37" s="188"/>
      <c r="BGO37" s="188"/>
      <c r="BGP37" s="188"/>
      <c r="BGQ37" s="188"/>
      <c r="BGR37" s="188"/>
      <c r="BGS37" s="188"/>
      <c r="BGT37" s="188"/>
      <c r="BGU37" s="188"/>
      <c r="BGV37" s="188"/>
      <c r="BGW37" s="188"/>
      <c r="BGX37" s="188"/>
      <c r="BGY37" s="188"/>
      <c r="BGZ37" s="188"/>
      <c r="BHA37" s="188"/>
      <c r="BHB37" s="188"/>
      <c r="BHC37" s="188"/>
      <c r="BHD37" s="188"/>
      <c r="BHE37" s="188"/>
      <c r="BHF37" s="188"/>
      <c r="BHG37" s="188"/>
      <c r="BHH37" s="188"/>
      <c r="BHI37" s="188"/>
      <c r="BHJ37" s="188"/>
      <c r="BHK37" s="188"/>
      <c r="BHL37" s="188"/>
      <c r="BHM37" s="188"/>
      <c r="BHN37" s="188"/>
      <c r="BHO37" s="188"/>
      <c r="BHP37" s="188"/>
      <c r="BHQ37" s="188"/>
      <c r="BHR37" s="188"/>
      <c r="BHS37" s="188"/>
      <c r="BHT37" s="188"/>
      <c r="BHU37" s="188"/>
      <c r="BHV37" s="188"/>
      <c r="BHW37" s="188"/>
      <c r="BHX37" s="188"/>
      <c r="BHY37" s="188"/>
      <c r="BHZ37" s="188"/>
      <c r="BIA37" s="188"/>
      <c r="BIB37" s="188"/>
      <c r="BIC37" s="188"/>
      <c r="BID37" s="188"/>
      <c r="BIE37" s="188"/>
      <c r="BIF37" s="188"/>
      <c r="BIG37" s="188"/>
      <c r="BIH37" s="188"/>
      <c r="BII37" s="188"/>
      <c r="BIJ37" s="188"/>
      <c r="BIK37" s="188"/>
      <c r="BIL37" s="188"/>
      <c r="BIM37" s="188"/>
      <c r="BIN37" s="188"/>
      <c r="BIO37" s="188"/>
      <c r="BIP37" s="188"/>
      <c r="BIQ37" s="188"/>
      <c r="BIR37" s="188"/>
      <c r="BIS37" s="188"/>
      <c r="BIT37" s="188"/>
      <c r="BIU37" s="188"/>
      <c r="BIV37" s="188"/>
      <c r="BIW37" s="188"/>
      <c r="BIX37" s="188"/>
      <c r="BIY37" s="188"/>
      <c r="BIZ37" s="188"/>
      <c r="BJA37" s="188"/>
      <c r="BJB37" s="188"/>
      <c r="BJC37" s="188"/>
      <c r="BJD37" s="188"/>
      <c r="BJE37" s="188"/>
      <c r="BJF37" s="188"/>
      <c r="BJG37" s="188"/>
      <c r="BJH37" s="188"/>
      <c r="BJI37" s="188"/>
      <c r="BJJ37" s="188"/>
      <c r="BJK37" s="188"/>
      <c r="BJL37" s="188"/>
      <c r="BJM37" s="188"/>
      <c r="BJN37" s="188"/>
      <c r="BJO37" s="188"/>
      <c r="BJP37" s="188"/>
      <c r="BJQ37" s="188"/>
      <c r="BJR37" s="188"/>
      <c r="BJS37" s="188"/>
      <c r="BJT37" s="188"/>
      <c r="BJU37" s="188"/>
      <c r="BJV37" s="188"/>
      <c r="BJW37" s="188"/>
      <c r="BJX37" s="188"/>
      <c r="BJY37" s="188"/>
      <c r="BJZ37" s="188"/>
      <c r="BKA37" s="188"/>
      <c r="BKB37" s="188"/>
      <c r="BKC37" s="188"/>
      <c r="BKD37" s="188"/>
      <c r="BKE37" s="188"/>
      <c r="BKF37" s="188"/>
      <c r="BKG37" s="188"/>
      <c r="BKH37" s="188"/>
      <c r="BKI37" s="188"/>
      <c r="BKJ37" s="188"/>
      <c r="BKK37" s="188"/>
      <c r="BKL37" s="188"/>
      <c r="BKM37" s="188"/>
      <c r="BKN37" s="188"/>
      <c r="BKO37" s="188"/>
      <c r="BKP37" s="188"/>
      <c r="BKQ37" s="188"/>
      <c r="BKR37" s="188"/>
      <c r="BKS37" s="188"/>
      <c r="BKT37" s="188"/>
      <c r="BKU37" s="188"/>
      <c r="BKV37" s="188"/>
      <c r="BKW37" s="188"/>
      <c r="BKX37" s="188"/>
      <c r="BKY37" s="188"/>
      <c r="BKZ37" s="188"/>
      <c r="BLA37" s="188"/>
      <c r="BLB37" s="188"/>
      <c r="BLC37" s="188"/>
      <c r="BLD37" s="188"/>
      <c r="BLE37" s="188"/>
      <c r="BLF37" s="188"/>
      <c r="BLG37" s="188"/>
      <c r="BLH37" s="188"/>
      <c r="BLI37" s="188"/>
      <c r="BLJ37" s="188"/>
      <c r="BLK37" s="188"/>
      <c r="BLL37" s="188"/>
      <c r="BLM37" s="188"/>
      <c r="BLN37" s="188"/>
      <c r="BLO37" s="188"/>
      <c r="BLP37" s="188"/>
      <c r="BLQ37" s="188"/>
      <c r="BLR37" s="188"/>
      <c r="BLS37" s="188"/>
      <c r="BLT37" s="188"/>
      <c r="BLU37" s="188"/>
      <c r="BLV37" s="188"/>
      <c r="BLW37" s="188"/>
      <c r="BLX37" s="188"/>
      <c r="BLY37" s="188"/>
      <c r="BLZ37" s="188"/>
      <c r="BMA37" s="188"/>
      <c r="BMB37" s="188"/>
      <c r="BMC37" s="188"/>
      <c r="BMD37" s="188"/>
      <c r="BME37" s="188"/>
      <c r="BMF37" s="188"/>
      <c r="BMG37" s="188"/>
      <c r="BMH37" s="188"/>
      <c r="BMI37" s="188"/>
      <c r="BMJ37" s="188"/>
      <c r="BMK37" s="188"/>
      <c r="BML37" s="188"/>
      <c r="BMM37" s="188"/>
      <c r="BMN37" s="188"/>
      <c r="BMO37" s="188"/>
      <c r="BMP37" s="188"/>
      <c r="BMQ37" s="188"/>
      <c r="BMR37" s="188"/>
      <c r="BMS37" s="188"/>
      <c r="BMT37" s="188"/>
      <c r="BMU37" s="188"/>
      <c r="BMV37" s="188"/>
      <c r="BMW37" s="188"/>
      <c r="BMX37" s="188"/>
      <c r="BMY37" s="188"/>
      <c r="BMZ37" s="188"/>
      <c r="BNA37" s="188"/>
      <c r="BNB37" s="188"/>
      <c r="BNC37" s="188"/>
      <c r="BND37" s="188"/>
      <c r="BNE37" s="188"/>
      <c r="BNF37" s="188"/>
      <c r="BNG37" s="188"/>
      <c r="BNH37" s="188"/>
      <c r="BNI37" s="188"/>
      <c r="BNJ37" s="188"/>
      <c r="BNK37" s="188"/>
      <c r="BNL37" s="188"/>
      <c r="BNM37" s="188"/>
      <c r="BNN37" s="188"/>
      <c r="BNO37" s="188"/>
      <c r="BNP37" s="188"/>
      <c r="BNQ37" s="188"/>
      <c r="BNR37" s="188"/>
      <c r="BNS37" s="188"/>
      <c r="BNT37" s="188"/>
      <c r="BNU37" s="188"/>
      <c r="BNV37" s="188"/>
      <c r="BNW37" s="188"/>
      <c r="BNX37" s="188"/>
      <c r="BNY37" s="188"/>
      <c r="BNZ37" s="188"/>
      <c r="BOA37" s="188"/>
      <c r="BOB37" s="188"/>
      <c r="BOC37" s="188"/>
      <c r="BOD37" s="188"/>
      <c r="BOE37" s="188"/>
      <c r="BOF37" s="188"/>
      <c r="BOG37" s="188"/>
      <c r="BOH37" s="188"/>
      <c r="BOI37" s="188"/>
      <c r="BOJ37" s="188"/>
      <c r="BOK37" s="188"/>
      <c r="BOL37" s="188"/>
      <c r="BOM37" s="188"/>
      <c r="BON37" s="188"/>
      <c r="BOO37" s="188"/>
      <c r="BOP37" s="188"/>
      <c r="BOQ37" s="188"/>
      <c r="BOR37" s="188"/>
      <c r="BOS37" s="188"/>
      <c r="BOT37" s="188"/>
      <c r="BOU37" s="188"/>
      <c r="BOV37" s="188"/>
      <c r="BOW37" s="188"/>
      <c r="BOX37" s="188"/>
      <c r="BOY37" s="188"/>
      <c r="BOZ37" s="188"/>
      <c r="BPA37" s="188"/>
      <c r="BPB37" s="188"/>
      <c r="BPC37" s="188"/>
      <c r="BPD37" s="188"/>
      <c r="BPE37" s="188"/>
      <c r="BPF37" s="188"/>
      <c r="BPG37" s="188"/>
      <c r="BPH37" s="188"/>
      <c r="BPI37" s="188"/>
      <c r="BPJ37" s="188"/>
      <c r="BPK37" s="188"/>
      <c r="BPL37" s="188"/>
      <c r="BPM37" s="188"/>
      <c r="BPN37" s="188"/>
      <c r="BPO37" s="188"/>
      <c r="BPP37" s="188"/>
      <c r="BPQ37" s="188"/>
      <c r="BPR37" s="188"/>
      <c r="BPS37" s="188"/>
      <c r="BPT37" s="188"/>
      <c r="BPU37" s="188"/>
      <c r="BPV37" s="188"/>
      <c r="BPW37" s="188"/>
      <c r="BPX37" s="188"/>
      <c r="BPY37" s="188"/>
      <c r="BPZ37" s="188"/>
      <c r="BQA37" s="188"/>
      <c r="BQB37" s="188"/>
      <c r="BQC37" s="188"/>
      <c r="BQD37" s="188"/>
      <c r="BQE37" s="188"/>
      <c r="BQF37" s="188"/>
      <c r="BQG37" s="188"/>
      <c r="BQH37" s="188"/>
      <c r="BQI37" s="188"/>
      <c r="BQJ37" s="188"/>
      <c r="BQK37" s="188"/>
      <c r="BQL37" s="188"/>
      <c r="BQM37" s="188"/>
      <c r="BQN37" s="188"/>
      <c r="BQO37" s="188"/>
      <c r="BQP37" s="188"/>
      <c r="BQQ37" s="188"/>
      <c r="BQR37" s="188"/>
      <c r="BQS37" s="188"/>
      <c r="BQT37" s="188"/>
      <c r="BQU37" s="188"/>
      <c r="BQV37" s="188"/>
      <c r="BQW37" s="188"/>
      <c r="BQX37" s="188"/>
      <c r="BQY37" s="188"/>
      <c r="BQZ37" s="188"/>
      <c r="BRA37" s="188"/>
      <c r="BRB37" s="188"/>
      <c r="BRC37" s="188"/>
      <c r="BRD37" s="188"/>
      <c r="BRE37" s="188"/>
      <c r="BRF37" s="188"/>
      <c r="BRG37" s="188"/>
      <c r="BRH37" s="188"/>
      <c r="BRI37" s="188"/>
      <c r="BRJ37" s="188"/>
      <c r="BRK37" s="188"/>
      <c r="BRL37" s="188"/>
      <c r="BRM37" s="188"/>
      <c r="BRN37" s="188"/>
      <c r="BRO37" s="188"/>
      <c r="BRP37" s="188"/>
      <c r="BRQ37" s="188"/>
      <c r="BRR37" s="188"/>
      <c r="BRS37" s="188"/>
      <c r="BRT37" s="188"/>
      <c r="BRU37" s="188"/>
      <c r="BRV37" s="188"/>
      <c r="BRW37" s="188"/>
      <c r="BRX37" s="188"/>
      <c r="BRY37" s="188"/>
      <c r="BRZ37" s="188"/>
      <c r="BSA37" s="188"/>
      <c r="BSB37" s="188"/>
      <c r="BSC37" s="188"/>
      <c r="BSD37" s="188"/>
      <c r="BSE37" s="188"/>
      <c r="BSF37" s="188"/>
      <c r="BSG37" s="188"/>
      <c r="BSH37" s="188"/>
      <c r="BSI37" s="188"/>
      <c r="BSJ37" s="188"/>
      <c r="BSK37" s="188"/>
      <c r="BSL37" s="188"/>
      <c r="BSM37" s="188"/>
      <c r="BSN37" s="188"/>
      <c r="BSO37" s="188"/>
      <c r="BSP37" s="188"/>
      <c r="BSQ37" s="188"/>
      <c r="BSR37" s="188"/>
      <c r="BSS37" s="188"/>
      <c r="BST37" s="188"/>
      <c r="BSU37" s="188"/>
      <c r="BSV37" s="188"/>
      <c r="BSW37" s="188"/>
      <c r="BSX37" s="188"/>
      <c r="BSY37" s="188"/>
      <c r="BSZ37" s="188"/>
      <c r="BTA37" s="188"/>
      <c r="BTB37" s="188"/>
      <c r="BTC37" s="188"/>
      <c r="BTD37" s="188"/>
      <c r="BTE37" s="188"/>
      <c r="BTF37" s="188"/>
      <c r="BTG37" s="188"/>
      <c r="BTH37" s="188"/>
      <c r="BTI37" s="188"/>
      <c r="BTJ37" s="188"/>
      <c r="BTK37" s="188"/>
      <c r="BTL37" s="188"/>
      <c r="BTM37" s="188"/>
      <c r="BTN37" s="188"/>
      <c r="BTO37" s="188"/>
      <c r="BTP37" s="188"/>
      <c r="BTQ37" s="188"/>
      <c r="BTR37" s="188"/>
      <c r="BTS37" s="188"/>
      <c r="BTT37" s="188"/>
      <c r="BTU37" s="188"/>
      <c r="BTV37" s="188"/>
      <c r="BTW37" s="188"/>
      <c r="BTX37" s="188"/>
      <c r="BTY37" s="188"/>
      <c r="BTZ37" s="188"/>
      <c r="BUA37" s="188"/>
      <c r="BUB37" s="188"/>
      <c r="BUC37" s="188"/>
      <c r="BUD37" s="188"/>
      <c r="BUE37" s="188"/>
      <c r="BUF37" s="188"/>
      <c r="BUG37" s="188"/>
      <c r="BUH37" s="188"/>
      <c r="BUI37" s="188"/>
      <c r="BUJ37" s="188"/>
      <c r="BUK37" s="188"/>
      <c r="BUL37" s="188"/>
      <c r="BUM37" s="188"/>
      <c r="BUN37" s="188"/>
      <c r="BUO37" s="188"/>
      <c r="BUP37" s="188"/>
      <c r="BUQ37" s="188"/>
      <c r="BUR37" s="188"/>
      <c r="BUS37" s="188"/>
      <c r="BUT37" s="188"/>
      <c r="BUU37" s="188"/>
      <c r="BUV37" s="188"/>
      <c r="BUW37" s="188"/>
      <c r="BUX37" s="188"/>
      <c r="BUY37" s="188"/>
      <c r="BUZ37" s="188"/>
      <c r="BVA37" s="188"/>
      <c r="BVB37" s="188"/>
      <c r="BVC37" s="188"/>
      <c r="BVD37" s="188"/>
      <c r="BVE37" s="188"/>
      <c r="BVF37" s="188"/>
      <c r="BVG37" s="188"/>
      <c r="BVH37" s="188"/>
      <c r="BVI37" s="188"/>
      <c r="BVJ37" s="188"/>
      <c r="BVK37" s="188"/>
      <c r="BVL37" s="188"/>
      <c r="BVM37" s="188"/>
      <c r="BVN37" s="188"/>
      <c r="BVO37" s="188"/>
      <c r="BVP37" s="188"/>
      <c r="BVQ37" s="188"/>
      <c r="BVR37" s="188"/>
      <c r="BVS37" s="188"/>
      <c r="BVT37" s="188"/>
      <c r="BVU37" s="188"/>
      <c r="BVV37" s="188"/>
      <c r="BVW37" s="188"/>
      <c r="BVX37" s="188"/>
      <c r="BVY37" s="188"/>
      <c r="BVZ37" s="188"/>
      <c r="BWA37" s="188"/>
      <c r="BWB37" s="188"/>
      <c r="BWC37" s="188"/>
      <c r="BWD37" s="188"/>
      <c r="BWE37" s="188"/>
      <c r="BWF37" s="188"/>
      <c r="BWG37" s="188"/>
      <c r="BWH37" s="188"/>
      <c r="BWI37" s="188"/>
      <c r="BWJ37" s="188"/>
      <c r="BWK37" s="188"/>
      <c r="BWL37" s="188"/>
      <c r="BWM37" s="188"/>
      <c r="BWN37" s="188"/>
      <c r="BWO37" s="188"/>
      <c r="BWP37" s="188"/>
      <c r="BWQ37" s="188"/>
      <c r="BWR37" s="188"/>
      <c r="BWS37" s="188"/>
      <c r="BWT37" s="188"/>
      <c r="BWU37" s="188"/>
      <c r="BWV37" s="188"/>
      <c r="BWW37" s="188"/>
      <c r="BWX37" s="188"/>
      <c r="BWY37" s="188"/>
      <c r="BWZ37" s="188"/>
      <c r="BXA37" s="188"/>
      <c r="BXB37" s="188"/>
      <c r="BXC37" s="188"/>
      <c r="BXD37" s="188"/>
      <c r="BXE37" s="188"/>
      <c r="BXF37" s="188"/>
      <c r="BXG37" s="188"/>
      <c r="BXH37" s="188"/>
      <c r="BXI37" s="188"/>
      <c r="BXJ37" s="188"/>
      <c r="BXK37" s="188"/>
      <c r="BXL37" s="188"/>
      <c r="BXM37" s="188"/>
      <c r="BXN37" s="188"/>
      <c r="BXO37" s="188"/>
      <c r="BXP37" s="188"/>
      <c r="BXQ37" s="188"/>
      <c r="BXR37" s="188"/>
      <c r="BXS37" s="188"/>
      <c r="BXT37" s="188"/>
      <c r="BXU37" s="188"/>
      <c r="BXV37" s="188"/>
      <c r="BXW37" s="188"/>
      <c r="BXX37" s="188"/>
      <c r="BXY37" s="188"/>
      <c r="BXZ37" s="188"/>
      <c r="BYA37" s="188"/>
      <c r="BYB37" s="188"/>
      <c r="BYC37" s="188"/>
      <c r="BYD37" s="188"/>
      <c r="BYE37" s="188"/>
      <c r="BYF37" s="188"/>
      <c r="BYG37" s="188"/>
      <c r="BYH37" s="188"/>
      <c r="BYI37" s="188"/>
      <c r="BYJ37" s="188"/>
      <c r="BYK37" s="188"/>
      <c r="BYL37" s="188"/>
      <c r="BYM37" s="188"/>
      <c r="BYN37" s="188"/>
      <c r="BYO37" s="188"/>
      <c r="BYP37" s="188"/>
      <c r="BYQ37" s="188"/>
      <c r="BYR37" s="188"/>
      <c r="BYS37" s="188"/>
      <c r="BYT37" s="188"/>
      <c r="BYU37" s="188"/>
      <c r="BYV37" s="188"/>
      <c r="BYW37" s="188"/>
      <c r="BYX37" s="188"/>
      <c r="BYY37" s="188"/>
      <c r="BYZ37" s="188"/>
      <c r="BZA37" s="188"/>
      <c r="BZB37" s="188"/>
      <c r="BZC37" s="188"/>
      <c r="BZD37" s="188"/>
      <c r="BZE37" s="188"/>
      <c r="BZF37" s="188"/>
      <c r="BZG37" s="188"/>
      <c r="BZH37" s="188"/>
      <c r="BZI37" s="188"/>
      <c r="BZJ37" s="188"/>
      <c r="BZK37" s="188"/>
      <c r="BZL37" s="188"/>
      <c r="BZM37" s="188"/>
      <c r="BZN37" s="188"/>
      <c r="BZO37" s="188"/>
      <c r="BZP37" s="188"/>
      <c r="BZQ37" s="188"/>
      <c r="BZR37" s="188"/>
      <c r="BZS37" s="188"/>
      <c r="BZT37" s="188"/>
      <c r="BZU37" s="188"/>
      <c r="BZV37" s="188"/>
      <c r="BZW37" s="188"/>
      <c r="BZX37" s="188"/>
      <c r="BZY37" s="188"/>
      <c r="BZZ37" s="188"/>
      <c r="CAA37" s="188"/>
      <c r="CAB37" s="188"/>
      <c r="CAC37" s="188"/>
      <c r="CAD37" s="188"/>
      <c r="CAE37" s="188"/>
      <c r="CAF37" s="188"/>
      <c r="CAG37" s="188"/>
      <c r="CAH37" s="188"/>
      <c r="CAI37" s="188"/>
      <c r="CAJ37" s="188"/>
      <c r="CAK37" s="188"/>
      <c r="CAL37" s="188"/>
      <c r="CAM37" s="188"/>
      <c r="CAN37" s="188"/>
      <c r="CAO37" s="188"/>
      <c r="CAP37" s="188"/>
      <c r="CAQ37" s="188"/>
      <c r="CAR37" s="188"/>
      <c r="CAS37" s="188"/>
      <c r="CAT37" s="188"/>
      <c r="CAU37" s="188"/>
      <c r="CAV37" s="188"/>
      <c r="CAW37" s="188"/>
      <c r="CAX37" s="188"/>
      <c r="CAY37" s="188"/>
      <c r="CAZ37" s="188"/>
      <c r="CBA37" s="188"/>
      <c r="CBB37" s="188"/>
      <c r="CBC37" s="188"/>
      <c r="CBD37" s="188"/>
      <c r="CBE37" s="188"/>
      <c r="CBF37" s="188"/>
      <c r="CBG37" s="188"/>
      <c r="CBH37" s="188"/>
      <c r="CBI37" s="188"/>
      <c r="CBJ37" s="188"/>
      <c r="CBK37" s="188"/>
      <c r="CBL37" s="188"/>
      <c r="CBM37" s="188"/>
      <c r="CBN37" s="188"/>
      <c r="CBO37" s="188"/>
      <c r="CBP37" s="188"/>
      <c r="CBQ37" s="188"/>
      <c r="CBR37" s="188"/>
      <c r="CBS37" s="188"/>
      <c r="CBT37" s="188"/>
      <c r="CBU37" s="188"/>
      <c r="CBV37" s="188"/>
      <c r="CBW37" s="188"/>
      <c r="CBX37" s="188"/>
      <c r="CBY37" s="188"/>
      <c r="CBZ37" s="188"/>
      <c r="CCA37" s="188"/>
      <c r="CCB37" s="188"/>
      <c r="CCC37" s="188"/>
      <c r="CCD37" s="188"/>
      <c r="CCE37" s="188"/>
      <c r="CCF37" s="188"/>
      <c r="CCG37" s="188"/>
      <c r="CCH37" s="188"/>
      <c r="CCI37" s="188"/>
      <c r="CCJ37" s="188"/>
      <c r="CCK37" s="188"/>
      <c r="CCL37" s="188"/>
      <c r="CCM37" s="188"/>
      <c r="CCN37" s="188"/>
      <c r="CCO37" s="188"/>
      <c r="CCP37" s="188"/>
      <c r="CCQ37" s="188"/>
      <c r="CCR37" s="188"/>
      <c r="CCS37" s="188"/>
      <c r="CCT37" s="188"/>
      <c r="CCU37" s="188"/>
      <c r="CCV37" s="188"/>
      <c r="CCW37" s="188"/>
      <c r="CCX37" s="188"/>
      <c r="CCY37" s="188"/>
      <c r="CCZ37" s="188"/>
      <c r="CDA37" s="188"/>
      <c r="CDB37" s="188"/>
      <c r="CDC37" s="188"/>
      <c r="CDD37" s="188"/>
      <c r="CDE37" s="188"/>
      <c r="CDF37" s="188"/>
      <c r="CDG37" s="188"/>
      <c r="CDH37" s="188"/>
      <c r="CDI37" s="188"/>
      <c r="CDJ37" s="188"/>
      <c r="CDK37" s="188"/>
      <c r="CDL37" s="188"/>
      <c r="CDM37" s="188"/>
      <c r="CDN37" s="188"/>
      <c r="CDO37" s="188"/>
      <c r="CDP37" s="188"/>
      <c r="CDQ37" s="188"/>
      <c r="CDR37" s="188"/>
      <c r="CDS37" s="188"/>
      <c r="CDT37" s="188"/>
      <c r="CDU37" s="188"/>
      <c r="CDV37" s="188"/>
      <c r="CDW37" s="188"/>
      <c r="CDX37" s="188"/>
      <c r="CDY37" s="188"/>
      <c r="CDZ37" s="188"/>
      <c r="CEA37" s="188"/>
      <c r="CEB37" s="188"/>
      <c r="CEC37" s="188"/>
      <c r="CED37" s="188"/>
      <c r="CEE37" s="188"/>
      <c r="CEF37" s="188"/>
      <c r="CEG37" s="188"/>
      <c r="CEH37" s="188"/>
      <c r="CEI37" s="188"/>
      <c r="CEJ37" s="188"/>
      <c r="CEK37" s="188"/>
      <c r="CEL37" s="188"/>
      <c r="CEM37" s="188"/>
      <c r="CEN37" s="188"/>
      <c r="CEO37" s="188"/>
      <c r="CEP37" s="188"/>
      <c r="CEQ37" s="188"/>
      <c r="CER37" s="188"/>
      <c r="CES37" s="188"/>
      <c r="CET37" s="188"/>
      <c r="CEU37" s="188"/>
      <c r="CEV37" s="188"/>
      <c r="CEW37" s="188"/>
      <c r="CEX37" s="188"/>
      <c r="CEY37" s="188"/>
      <c r="CEZ37" s="188"/>
      <c r="CFA37" s="188"/>
      <c r="CFB37" s="188"/>
      <c r="CFC37" s="188"/>
      <c r="CFD37" s="188"/>
      <c r="CFE37" s="188"/>
      <c r="CFF37" s="188"/>
      <c r="CFG37" s="188"/>
      <c r="CFH37" s="188"/>
      <c r="CFI37" s="188"/>
      <c r="CFJ37" s="188"/>
      <c r="CFK37" s="188"/>
      <c r="CFL37" s="188"/>
      <c r="CFM37" s="188"/>
      <c r="CFN37" s="188"/>
      <c r="CFO37" s="188"/>
      <c r="CFP37" s="188"/>
      <c r="CFQ37" s="188"/>
      <c r="CFR37" s="188"/>
      <c r="CFS37" s="188"/>
      <c r="CFT37" s="188"/>
      <c r="CFU37" s="188"/>
      <c r="CFV37" s="188"/>
      <c r="CFW37" s="188"/>
      <c r="CFX37" s="188"/>
      <c r="CFY37" s="188"/>
      <c r="CFZ37" s="188"/>
      <c r="CGA37" s="188"/>
      <c r="CGB37" s="188"/>
      <c r="CGC37" s="188"/>
      <c r="CGD37" s="188"/>
      <c r="CGE37" s="188"/>
      <c r="CGF37" s="188"/>
      <c r="CGG37" s="188"/>
      <c r="CGH37" s="188"/>
      <c r="CGI37" s="188"/>
      <c r="CGJ37" s="188"/>
      <c r="CGK37" s="188"/>
      <c r="CGL37" s="188"/>
      <c r="CGM37" s="188"/>
      <c r="CGN37" s="188"/>
      <c r="CGO37" s="188"/>
      <c r="CGP37" s="188"/>
      <c r="CGQ37" s="188"/>
      <c r="CGR37" s="188"/>
      <c r="CGS37" s="188"/>
      <c r="CGT37" s="188"/>
      <c r="CGU37" s="188"/>
      <c r="CGV37" s="188"/>
      <c r="CGW37" s="188"/>
      <c r="CGX37" s="188"/>
      <c r="CGY37" s="188"/>
      <c r="CGZ37" s="188"/>
      <c r="CHA37" s="188"/>
      <c r="CHB37" s="188"/>
      <c r="CHC37" s="188"/>
      <c r="CHD37" s="188"/>
      <c r="CHE37" s="188"/>
      <c r="CHF37" s="188"/>
      <c r="CHG37" s="188"/>
      <c r="CHH37" s="188"/>
      <c r="CHI37" s="188"/>
      <c r="CHJ37" s="188"/>
      <c r="CHK37" s="188"/>
      <c r="CHL37" s="188"/>
      <c r="CHM37" s="188"/>
      <c r="CHN37" s="188"/>
      <c r="CHO37" s="188"/>
      <c r="CHP37" s="188"/>
      <c r="CHQ37" s="188"/>
      <c r="CHR37" s="188"/>
      <c r="CHS37" s="188"/>
      <c r="CHT37" s="188"/>
      <c r="CHU37" s="188"/>
      <c r="CHV37" s="188"/>
      <c r="CHW37" s="188"/>
      <c r="CHX37" s="188"/>
      <c r="CHY37" s="188"/>
      <c r="CHZ37" s="188"/>
      <c r="CIA37" s="188"/>
      <c r="CIB37" s="188"/>
      <c r="CIC37" s="188"/>
      <c r="CID37" s="188"/>
      <c r="CIE37" s="188"/>
      <c r="CIF37" s="188"/>
      <c r="CIG37" s="188"/>
      <c r="CIH37" s="188"/>
      <c r="CII37" s="188"/>
      <c r="CIJ37" s="188"/>
      <c r="CIK37" s="188"/>
      <c r="CIL37" s="188"/>
      <c r="CIM37" s="188"/>
      <c r="CIN37" s="188"/>
      <c r="CIO37" s="188"/>
      <c r="CIP37" s="188"/>
      <c r="CIQ37" s="188"/>
      <c r="CIR37" s="188"/>
      <c r="CIS37" s="188"/>
      <c r="CIT37" s="188"/>
      <c r="CIU37" s="188"/>
      <c r="CIV37" s="188"/>
      <c r="CIW37" s="188"/>
      <c r="CIX37" s="188"/>
      <c r="CIY37" s="188"/>
      <c r="CIZ37" s="188"/>
      <c r="CJA37" s="188"/>
      <c r="CJB37" s="188"/>
      <c r="CJC37" s="188"/>
      <c r="CJD37" s="188"/>
      <c r="CJE37" s="188"/>
      <c r="CJF37" s="188"/>
      <c r="CJG37" s="188"/>
      <c r="CJH37" s="188"/>
      <c r="CJI37" s="188"/>
      <c r="CJJ37" s="188"/>
      <c r="CJK37" s="188"/>
      <c r="CJL37" s="188"/>
      <c r="CJM37" s="188"/>
      <c r="CJN37" s="188"/>
      <c r="CJO37" s="188"/>
      <c r="CJP37" s="188"/>
      <c r="CJQ37" s="188"/>
      <c r="CJR37" s="188"/>
      <c r="CJS37" s="188"/>
      <c r="CJT37" s="188"/>
      <c r="CJU37" s="188"/>
      <c r="CJV37" s="188"/>
      <c r="CJW37" s="188"/>
      <c r="CJX37" s="188"/>
      <c r="CJY37" s="188"/>
      <c r="CJZ37" s="188"/>
      <c r="CKA37" s="188"/>
      <c r="CKB37" s="188"/>
      <c r="CKC37" s="188"/>
      <c r="CKD37" s="188"/>
      <c r="CKE37" s="188"/>
      <c r="CKF37" s="188"/>
      <c r="CKG37" s="188"/>
      <c r="CKH37" s="188"/>
      <c r="CKI37" s="188"/>
      <c r="CKJ37" s="188"/>
      <c r="CKK37" s="188"/>
      <c r="CKL37" s="188"/>
      <c r="CKM37" s="188"/>
      <c r="CKN37" s="188"/>
      <c r="CKO37" s="188"/>
      <c r="CKP37" s="188"/>
      <c r="CKQ37" s="188"/>
      <c r="CKR37" s="188"/>
      <c r="CKS37" s="188"/>
      <c r="CKT37" s="188"/>
      <c r="CKU37" s="188"/>
      <c r="CKV37" s="188"/>
      <c r="CKW37" s="188"/>
      <c r="CKX37" s="188"/>
      <c r="CKY37" s="188"/>
      <c r="CKZ37" s="188"/>
      <c r="CLA37" s="188"/>
      <c r="CLB37" s="188"/>
      <c r="CLC37" s="188"/>
      <c r="CLD37" s="188"/>
      <c r="CLE37" s="188"/>
      <c r="CLF37" s="188"/>
      <c r="CLG37" s="188"/>
      <c r="CLH37" s="188"/>
      <c r="CLI37" s="188"/>
      <c r="CLJ37" s="188"/>
      <c r="CLK37" s="188"/>
      <c r="CLL37" s="188"/>
      <c r="CLM37" s="188"/>
      <c r="CLN37" s="188"/>
      <c r="CLO37" s="188"/>
      <c r="CLP37" s="188"/>
      <c r="CLQ37" s="188"/>
      <c r="CLR37" s="188"/>
      <c r="CLS37" s="188"/>
      <c r="CLT37" s="188"/>
      <c r="CLU37" s="188"/>
      <c r="CLV37" s="188"/>
      <c r="CLW37" s="188"/>
      <c r="CLX37" s="188"/>
      <c r="CLY37" s="188"/>
      <c r="CLZ37" s="188"/>
      <c r="CMA37" s="188"/>
      <c r="CMB37" s="188"/>
      <c r="CMC37" s="188"/>
      <c r="CMD37" s="188"/>
      <c r="CME37" s="188"/>
      <c r="CMF37" s="188"/>
      <c r="CMG37" s="188"/>
      <c r="CMH37" s="188"/>
      <c r="CMI37" s="188"/>
      <c r="CMJ37" s="188"/>
      <c r="CMK37" s="188"/>
      <c r="CML37" s="188"/>
      <c r="CMM37" s="188"/>
      <c r="CMN37" s="188"/>
      <c r="CMO37" s="188"/>
      <c r="CMP37" s="188"/>
      <c r="CMQ37" s="188"/>
      <c r="CMR37" s="188"/>
      <c r="CMS37" s="188"/>
      <c r="CMT37" s="188"/>
      <c r="CMU37" s="188"/>
      <c r="CMV37" s="188"/>
      <c r="CMW37" s="188"/>
      <c r="CMX37" s="188"/>
      <c r="CMY37" s="188"/>
      <c r="CMZ37" s="188"/>
      <c r="CNA37" s="188"/>
      <c r="CNB37" s="188"/>
      <c r="CNC37" s="188"/>
      <c r="CND37" s="188"/>
      <c r="CNE37" s="188"/>
      <c r="CNF37" s="188"/>
      <c r="CNG37" s="188"/>
      <c r="CNH37" s="188"/>
      <c r="CNI37" s="188"/>
      <c r="CNJ37" s="188"/>
      <c r="CNK37" s="188"/>
      <c r="CNL37" s="188"/>
      <c r="CNM37" s="188"/>
      <c r="CNN37" s="188"/>
      <c r="CNO37" s="188"/>
      <c r="CNP37" s="188"/>
      <c r="CNQ37" s="188"/>
      <c r="CNR37" s="188"/>
      <c r="CNS37" s="188"/>
      <c r="CNT37" s="188"/>
      <c r="CNU37" s="188"/>
      <c r="CNV37" s="188"/>
      <c r="CNW37" s="188"/>
      <c r="CNX37" s="188"/>
      <c r="CNY37" s="188"/>
      <c r="CNZ37" s="188"/>
      <c r="COA37" s="188"/>
      <c r="COB37" s="188"/>
      <c r="COC37" s="188"/>
      <c r="COD37" s="188"/>
      <c r="COE37" s="188"/>
      <c r="COF37" s="188"/>
      <c r="COG37" s="188"/>
      <c r="COH37" s="188"/>
      <c r="COI37" s="188"/>
      <c r="COJ37" s="188"/>
      <c r="COK37" s="188"/>
      <c r="COL37" s="188"/>
      <c r="COM37" s="188"/>
      <c r="CON37" s="188"/>
      <c r="COO37" s="188"/>
      <c r="COP37" s="188"/>
      <c r="COQ37" s="188"/>
      <c r="COR37" s="188"/>
      <c r="COS37" s="188"/>
      <c r="COT37" s="188"/>
      <c r="COU37" s="188"/>
      <c r="COV37" s="188"/>
      <c r="COW37" s="188"/>
      <c r="COX37" s="188"/>
      <c r="COY37" s="188"/>
      <c r="COZ37" s="188"/>
      <c r="CPA37" s="188"/>
      <c r="CPB37" s="188"/>
      <c r="CPC37" s="188"/>
      <c r="CPD37" s="188"/>
      <c r="CPE37" s="188"/>
      <c r="CPF37" s="188"/>
      <c r="CPG37" s="188"/>
      <c r="CPH37" s="188"/>
      <c r="CPI37" s="188"/>
      <c r="CPJ37" s="188"/>
      <c r="CPK37" s="188"/>
      <c r="CPL37" s="188"/>
      <c r="CPM37" s="188"/>
      <c r="CPN37" s="188"/>
      <c r="CPO37" s="188"/>
      <c r="CPP37" s="188"/>
      <c r="CPQ37" s="188"/>
      <c r="CPR37" s="188"/>
      <c r="CPS37" s="188"/>
      <c r="CPT37" s="188"/>
      <c r="CPU37" s="188"/>
      <c r="CPV37" s="188"/>
      <c r="CPW37" s="188"/>
      <c r="CPX37" s="188"/>
      <c r="CPY37" s="188"/>
      <c r="CPZ37" s="188"/>
      <c r="CQA37" s="188"/>
      <c r="CQB37" s="188"/>
      <c r="CQC37" s="188"/>
      <c r="CQD37" s="188"/>
      <c r="CQE37" s="188"/>
      <c r="CQF37" s="188"/>
      <c r="CQG37" s="188"/>
      <c r="CQH37" s="188"/>
      <c r="CQI37" s="188"/>
      <c r="CQJ37" s="188"/>
      <c r="CQK37" s="188"/>
      <c r="CQL37" s="188"/>
      <c r="CQM37" s="188"/>
      <c r="CQN37" s="188"/>
      <c r="CQO37" s="188"/>
      <c r="CQP37" s="188"/>
      <c r="CQQ37" s="188"/>
      <c r="CQR37" s="188"/>
      <c r="CQS37" s="188"/>
      <c r="CQT37" s="188"/>
      <c r="CQU37" s="188"/>
      <c r="CQV37" s="188"/>
      <c r="CQW37" s="188"/>
      <c r="CQX37" s="188"/>
      <c r="CQY37" s="188"/>
      <c r="CQZ37" s="188"/>
      <c r="CRA37" s="188"/>
      <c r="CRB37" s="188"/>
      <c r="CRC37" s="188"/>
      <c r="CRD37" s="188"/>
      <c r="CRE37" s="188"/>
      <c r="CRF37" s="188"/>
      <c r="CRG37" s="188"/>
      <c r="CRH37" s="188"/>
      <c r="CRI37" s="188"/>
      <c r="CRJ37" s="188"/>
      <c r="CRK37" s="188"/>
      <c r="CRL37" s="188"/>
      <c r="CRM37" s="188"/>
      <c r="CRN37" s="188"/>
      <c r="CRO37" s="188"/>
      <c r="CRP37" s="188"/>
      <c r="CRQ37" s="188"/>
      <c r="CRR37" s="188"/>
      <c r="CRS37" s="188"/>
      <c r="CRT37" s="188"/>
      <c r="CRU37" s="188"/>
      <c r="CRV37" s="188"/>
      <c r="CRW37" s="188"/>
      <c r="CRX37" s="188"/>
      <c r="CRY37" s="188"/>
      <c r="CRZ37" s="188"/>
      <c r="CSA37" s="188"/>
      <c r="CSB37" s="188"/>
      <c r="CSC37" s="188"/>
      <c r="CSD37" s="188"/>
      <c r="CSE37" s="188"/>
      <c r="CSF37" s="188"/>
      <c r="CSG37" s="188"/>
      <c r="CSH37" s="188"/>
      <c r="CSI37" s="188"/>
      <c r="CSJ37" s="188"/>
      <c r="CSK37" s="188"/>
      <c r="CSL37" s="188"/>
      <c r="CSM37" s="188"/>
      <c r="CSN37" s="188"/>
      <c r="CSO37" s="188"/>
      <c r="CSP37" s="188"/>
      <c r="CSQ37" s="188"/>
      <c r="CSR37" s="188"/>
      <c r="CSS37" s="188"/>
      <c r="CST37" s="188"/>
      <c r="CSU37" s="188"/>
      <c r="CSV37" s="188"/>
      <c r="CSW37" s="188"/>
      <c r="CSX37" s="188"/>
      <c r="CSY37" s="188"/>
      <c r="CSZ37" s="188"/>
      <c r="CTA37" s="188"/>
      <c r="CTB37" s="188"/>
      <c r="CTC37" s="188"/>
      <c r="CTD37" s="188"/>
      <c r="CTE37" s="188"/>
      <c r="CTF37" s="188"/>
      <c r="CTG37" s="188"/>
      <c r="CTH37" s="188"/>
      <c r="CTI37" s="188"/>
      <c r="CTJ37" s="188"/>
      <c r="CTK37" s="188"/>
      <c r="CTL37" s="188"/>
      <c r="CTM37" s="188"/>
      <c r="CTN37" s="188"/>
      <c r="CTO37" s="188"/>
      <c r="CTP37" s="188"/>
      <c r="CTQ37" s="188"/>
      <c r="CTR37" s="188"/>
      <c r="CTS37" s="188"/>
      <c r="CTT37" s="188"/>
      <c r="CTU37" s="188"/>
      <c r="CTV37" s="188"/>
      <c r="CTW37" s="188"/>
      <c r="CTX37" s="188"/>
      <c r="CTY37" s="188"/>
      <c r="CTZ37" s="188"/>
      <c r="CUA37" s="188"/>
    </row>
    <row r="38" s="189" customFormat="1" spans="1:1024 1025:2575">
      <c r="A38" s="216" t="s">
        <v>40</v>
      </c>
      <c r="B38" s="84" t="s">
        <v>46</v>
      </c>
      <c r="C38" s="217">
        <f t="shared" si="26"/>
        <v>45503</v>
      </c>
      <c r="D38" s="218">
        <f t="shared" si="22"/>
        <v>45509</v>
      </c>
      <c r="E38" s="219">
        <v>1184</v>
      </c>
      <c r="F38" s="220">
        <f t="shared" si="27"/>
        <v>45523</v>
      </c>
      <c r="G38" s="219">
        <v>865</v>
      </c>
      <c r="H38" s="54">
        <f t="shared" si="10"/>
        <v>0.730574324324324</v>
      </c>
      <c r="I38" s="218">
        <f t="shared" si="28"/>
        <v>45540</v>
      </c>
      <c r="J38" s="219">
        <v>862</v>
      </c>
      <c r="K38" s="54">
        <f t="shared" si="0"/>
        <v>0.728040540540541</v>
      </c>
      <c r="L38" s="218">
        <f t="shared" si="29"/>
        <v>45543</v>
      </c>
      <c r="M38" s="219">
        <v>862</v>
      </c>
      <c r="N38" s="219">
        <v>6600</v>
      </c>
      <c r="O38" s="54">
        <f t="shared" si="1"/>
        <v>0.728040540540541</v>
      </c>
      <c r="P38" s="54">
        <f t="shared" si="7"/>
        <v>0.00253378378378377</v>
      </c>
      <c r="Q38" s="221">
        <f t="shared" si="2"/>
        <v>7.65661252900232</v>
      </c>
      <c r="R38" s="218">
        <f t="shared" si="30"/>
        <v>45575</v>
      </c>
      <c r="S38" s="203">
        <v>6394</v>
      </c>
      <c r="T38" s="84">
        <v>889</v>
      </c>
      <c r="U38" s="54">
        <f t="shared" si="3"/>
        <v>0.968787878787879</v>
      </c>
      <c r="V38" s="218">
        <f t="shared" si="19"/>
        <v>45610</v>
      </c>
      <c r="W38" s="203">
        <v>6187</v>
      </c>
      <c r="X38" s="54">
        <f t="shared" si="4"/>
        <v>0.967625899280576</v>
      </c>
      <c r="Y38" s="84">
        <v>14705</v>
      </c>
      <c r="Z38" s="203">
        <v>14.2</v>
      </c>
      <c r="AA38" s="8">
        <v>2.4</v>
      </c>
      <c r="AB38" s="8">
        <f t="shared" si="5"/>
        <v>5.22550675675676</v>
      </c>
      <c r="AC38" s="8">
        <v>3.55</v>
      </c>
      <c r="AD38" s="203">
        <v>3.26</v>
      </c>
      <c r="AE38" s="8">
        <v>57.8</v>
      </c>
      <c r="AF38" s="203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88"/>
      <c r="BG38" s="188"/>
      <c r="BH38" s="188"/>
      <c r="BI38" s="188"/>
      <c r="BJ38" s="188"/>
      <c r="BK38" s="188"/>
      <c r="BL38" s="188"/>
      <c r="BM38" s="188"/>
      <c r="BN38" s="188"/>
      <c r="BO38" s="188"/>
      <c r="BP38" s="188"/>
      <c r="BQ38" s="188"/>
      <c r="BR38" s="188"/>
      <c r="BS38" s="188"/>
      <c r="BT38" s="188"/>
      <c r="BU38" s="188"/>
      <c r="BV38" s="188"/>
      <c r="BW38" s="188"/>
      <c r="BX38" s="188"/>
      <c r="BY38" s="188"/>
      <c r="BZ38" s="188"/>
      <c r="CA38" s="188"/>
      <c r="CB38" s="188"/>
      <c r="CC38" s="188"/>
      <c r="CD38" s="188"/>
      <c r="CE38" s="188"/>
      <c r="CF38" s="188"/>
      <c r="CG38" s="188"/>
      <c r="CH38" s="188"/>
      <c r="CI38" s="188"/>
      <c r="CJ38" s="188"/>
      <c r="CK38" s="188"/>
      <c r="CL38" s="188"/>
      <c r="CM38" s="188"/>
      <c r="CN38" s="188"/>
      <c r="CO38" s="188"/>
      <c r="CP38" s="188"/>
      <c r="CQ38" s="188"/>
      <c r="CR38" s="188"/>
      <c r="CS38" s="188"/>
      <c r="CT38" s="188"/>
      <c r="CU38" s="188"/>
      <c r="CV38" s="188"/>
      <c r="CW38" s="188"/>
      <c r="CX38" s="188"/>
      <c r="CY38" s="188"/>
      <c r="CZ38" s="188"/>
      <c r="DA38" s="188"/>
      <c r="DB38" s="188"/>
      <c r="DC38" s="188"/>
      <c r="DD38" s="188"/>
      <c r="DE38" s="188"/>
      <c r="DF38" s="188"/>
      <c r="DG38" s="188"/>
      <c r="DH38" s="188"/>
      <c r="DI38" s="188"/>
      <c r="DJ38" s="188"/>
      <c r="DK38" s="188"/>
      <c r="DL38" s="188"/>
      <c r="DM38" s="188"/>
      <c r="DN38" s="188"/>
      <c r="DO38" s="188"/>
      <c r="DP38" s="188"/>
      <c r="DQ38" s="188"/>
      <c r="DR38" s="188"/>
      <c r="DS38" s="188"/>
      <c r="DT38" s="188"/>
      <c r="DU38" s="188"/>
      <c r="DV38" s="188"/>
      <c r="DW38" s="188"/>
      <c r="DX38" s="188"/>
      <c r="DY38" s="188"/>
      <c r="DZ38" s="188"/>
      <c r="EA38" s="188"/>
      <c r="EB38" s="188"/>
      <c r="EC38" s="188"/>
      <c r="ED38" s="188"/>
      <c r="EE38" s="188"/>
      <c r="EF38" s="188"/>
      <c r="EG38" s="188"/>
      <c r="EH38" s="188"/>
      <c r="EI38" s="188"/>
      <c r="EJ38" s="188"/>
      <c r="EK38" s="188"/>
      <c r="EL38" s="188"/>
      <c r="EM38" s="188"/>
      <c r="EN38" s="188"/>
      <c r="EO38" s="188"/>
      <c r="EP38" s="188"/>
      <c r="EQ38" s="188"/>
      <c r="ER38" s="188"/>
      <c r="ES38" s="188"/>
      <c r="ET38" s="188"/>
      <c r="EU38" s="188"/>
      <c r="EV38" s="188"/>
      <c r="EW38" s="188"/>
      <c r="EX38" s="188"/>
      <c r="EY38" s="188"/>
      <c r="EZ38" s="188"/>
      <c r="FA38" s="188"/>
      <c r="FB38" s="188"/>
      <c r="FC38" s="188"/>
      <c r="FD38" s="188"/>
      <c r="FE38" s="188"/>
      <c r="FF38" s="188"/>
      <c r="FG38" s="188"/>
      <c r="FH38" s="188"/>
      <c r="FI38" s="188"/>
      <c r="FJ38" s="188"/>
      <c r="FK38" s="188"/>
      <c r="FL38" s="188"/>
      <c r="FM38" s="188"/>
      <c r="FN38" s="188"/>
      <c r="FO38" s="188"/>
      <c r="FP38" s="188"/>
      <c r="FQ38" s="188"/>
      <c r="FR38" s="188"/>
      <c r="FS38" s="188"/>
      <c r="FT38" s="188"/>
      <c r="FU38" s="188"/>
      <c r="FV38" s="188"/>
      <c r="FW38" s="188"/>
      <c r="FX38" s="188"/>
      <c r="FY38" s="188"/>
      <c r="FZ38" s="188"/>
      <c r="GA38" s="188"/>
      <c r="GB38" s="188"/>
      <c r="GC38" s="188"/>
      <c r="GD38" s="188"/>
      <c r="GE38" s="188"/>
      <c r="GF38" s="188"/>
      <c r="GG38" s="188"/>
      <c r="GH38" s="188"/>
      <c r="GI38" s="188"/>
      <c r="GJ38" s="188"/>
      <c r="GK38" s="188"/>
      <c r="GL38" s="188"/>
      <c r="GM38" s="188"/>
      <c r="GN38" s="188"/>
      <c r="GO38" s="188"/>
      <c r="GP38" s="188"/>
      <c r="GQ38" s="188"/>
      <c r="GR38" s="188"/>
      <c r="GS38" s="188"/>
      <c r="GT38" s="188"/>
      <c r="GU38" s="188"/>
      <c r="GV38" s="188"/>
      <c r="GW38" s="188"/>
      <c r="GX38" s="188"/>
      <c r="GY38" s="188"/>
      <c r="GZ38" s="188"/>
      <c r="HA38" s="188"/>
      <c r="HB38" s="188"/>
      <c r="HC38" s="188"/>
      <c r="HD38" s="188"/>
      <c r="HE38" s="188"/>
      <c r="HF38" s="188"/>
      <c r="HG38" s="188"/>
      <c r="HH38" s="188"/>
      <c r="HI38" s="188"/>
      <c r="HJ38" s="188"/>
      <c r="HK38" s="188"/>
      <c r="HL38" s="188"/>
      <c r="HM38" s="188"/>
      <c r="HN38" s="188"/>
      <c r="HO38" s="188"/>
      <c r="HP38" s="188"/>
      <c r="HQ38" s="188"/>
      <c r="HR38" s="188"/>
      <c r="HS38" s="188"/>
      <c r="HT38" s="188"/>
      <c r="HU38" s="188"/>
      <c r="HV38" s="188"/>
      <c r="HW38" s="188"/>
      <c r="HX38" s="188"/>
      <c r="HY38" s="188"/>
      <c r="HZ38" s="188"/>
      <c r="IA38" s="188"/>
      <c r="IB38" s="188"/>
      <c r="IC38" s="188"/>
      <c r="ID38" s="188"/>
      <c r="IE38" s="188"/>
      <c r="IF38" s="188"/>
      <c r="IG38" s="188"/>
      <c r="IH38" s="188"/>
      <c r="II38" s="188"/>
      <c r="IJ38" s="188"/>
      <c r="IK38" s="188"/>
      <c r="IL38" s="188"/>
      <c r="IM38" s="188"/>
      <c r="IN38" s="188"/>
      <c r="IO38" s="188"/>
      <c r="IP38" s="188"/>
      <c r="IQ38" s="188"/>
      <c r="IR38" s="188"/>
      <c r="IS38" s="188"/>
      <c r="IT38" s="188"/>
      <c r="IU38" s="188"/>
      <c r="IV38" s="188"/>
      <c r="IW38" s="188"/>
      <c r="IX38" s="188"/>
      <c r="IY38" s="188"/>
      <c r="IZ38" s="188"/>
      <c r="JA38" s="188"/>
      <c r="JB38" s="188"/>
      <c r="JC38" s="188"/>
      <c r="JD38" s="188"/>
      <c r="JE38" s="188"/>
      <c r="JF38" s="188"/>
      <c r="JG38" s="188"/>
      <c r="JH38" s="188"/>
      <c r="JI38" s="188"/>
      <c r="JJ38" s="188"/>
      <c r="JK38" s="188"/>
      <c r="JL38" s="188"/>
      <c r="JM38" s="188"/>
      <c r="JN38" s="188"/>
      <c r="JO38" s="188"/>
      <c r="JP38" s="188"/>
      <c r="JQ38" s="188"/>
      <c r="JR38" s="188"/>
      <c r="JS38" s="188"/>
      <c r="JT38" s="188"/>
      <c r="JU38" s="188"/>
      <c r="JV38" s="188"/>
      <c r="JW38" s="188"/>
      <c r="JX38" s="188"/>
      <c r="JY38" s="188"/>
      <c r="JZ38" s="188"/>
      <c r="KA38" s="188"/>
      <c r="KB38" s="188"/>
      <c r="KC38" s="188"/>
      <c r="KD38" s="188"/>
      <c r="KE38" s="188"/>
      <c r="KF38" s="188"/>
      <c r="KG38" s="188"/>
      <c r="KH38" s="188"/>
      <c r="KI38" s="188"/>
      <c r="KJ38" s="188"/>
      <c r="KK38" s="188"/>
      <c r="KL38" s="188"/>
      <c r="KM38" s="188"/>
      <c r="KN38" s="188"/>
      <c r="KO38" s="188"/>
      <c r="KP38" s="188"/>
      <c r="KQ38" s="188"/>
      <c r="KR38" s="188"/>
      <c r="KS38" s="188"/>
      <c r="KT38" s="188"/>
      <c r="KU38" s="188"/>
      <c r="KV38" s="188"/>
      <c r="KW38" s="188"/>
      <c r="KX38" s="188"/>
      <c r="KY38" s="188"/>
      <c r="KZ38" s="188"/>
      <c r="LA38" s="188"/>
      <c r="LB38" s="188"/>
      <c r="LC38" s="188"/>
      <c r="LD38" s="188"/>
      <c r="LE38" s="188"/>
      <c r="LF38" s="188"/>
      <c r="LG38" s="188"/>
      <c r="LH38" s="188"/>
      <c r="LI38" s="188"/>
      <c r="LJ38" s="188"/>
      <c r="LK38" s="188"/>
      <c r="LL38" s="188"/>
      <c r="LM38" s="188"/>
      <c r="LN38" s="188"/>
      <c r="LO38" s="188"/>
      <c r="LP38" s="188"/>
      <c r="LQ38" s="188"/>
      <c r="LR38" s="188"/>
      <c r="LS38" s="188"/>
      <c r="LT38" s="188"/>
      <c r="LU38" s="188"/>
      <c r="LV38" s="188"/>
      <c r="LW38" s="188"/>
      <c r="LX38" s="188"/>
      <c r="LY38" s="188"/>
      <c r="LZ38" s="188"/>
      <c r="MA38" s="188"/>
      <c r="MB38" s="188"/>
      <c r="MC38" s="188"/>
      <c r="MD38" s="188"/>
      <c r="ME38" s="188"/>
      <c r="MF38" s="188"/>
      <c r="MG38" s="188"/>
      <c r="MH38" s="188"/>
      <c r="MI38" s="188"/>
      <c r="MJ38" s="188"/>
      <c r="MK38" s="188"/>
      <c r="ML38" s="188"/>
      <c r="MM38" s="188"/>
      <c r="MN38" s="188"/>
      <c r="MO38" s="188"/>
      <c r="MP38" s="188"/>
      <c r="MQ38" s="188"/>
      <c r="MR38" s="188"/>
      <c r="MS38" s="188"/>
      <c r="MT38" s="188"/>
      <c r="MU38" s="188"/>
      <c r="MV38" s="188"/>
      <c r="MW38" s="188"/>
      <c r="MX38" s="188"/>
      <c r="MY38" s="188"/>
      <c r="MZ38" s="188"/>
      <c r="NA38" s="188"/>
      <c r="NB38" s="188"/>
      <c r="NC38" s="188"/>
      <c r="ND38" s="188"/>
      <c r="NE38" s="188"/>
      <c r="NF38" s="188"/>
      <c r="NG38" s="188"/>
      <c r="NH38" s="188"/>
      <c r="NI38" s="188"/>
      <c r="NJ38" s="188"/>
      <c r="NK38" s="188"/>
      <c r="NL38" s="188"/>
      <c r="NM38" s="188"/>
      <c r="NN38" s="188"/>
      <c r="NO38" s="188"/>
      <c r="NP38" s="188"/>
      <c r="NQ38" s="188"/>
      <c r="NR38" s="188"/>
      <c r="NS38" s="188"/>
      <c r="NT38" s="188"/>
      <c r="NU38" s="188"/>
      <c r="NV38" s="188"/>
      <c r="NW38" s="188"/>
      <c r="NX38" s="188"/>
      <c r="NY38" s="188"/>
      <c r="NZ38" s="188"/>
      <c r="OA38" s="188"/>
      <c r="OB38" s="188"/>
      <c r="OC38" s="188"/>
      <c r="OD38" s="188"/>
      <c r="OE38" s="188"/>
      <c r="OF38" s="188"/>
      <c r="OG38" s="188"/>
      <c r="OH38" s="188"/>
      <c r="OI38" s="188"/>
      <c r="OJ38" s="188"/>
      <c r="OK38" s="188"/>
      <c r="OL38" s="188"/>
      <c r="OM38" s="188"/>
      <c r="ON38" s="188"/>
      <c r="OO38" s="188"/>
      <c r="OP38" s="188"/>
      <c r="OQ38" s="188"/>
      <c r="OR38" s="188"/>
      <c r="OS38" s="188"/>
      <c r="OT38" s="188"/>
      <c r="OU38" s="188"/>
      <c r="OV38" s="188"/>
      <c r="OW38" s="188"/>
      <c r="OX38" s="188"/>
      <c r="OY38" s="188"/>
      <c r="OZ38" s="188"/>
      <c r="PA38" s="188"/>
      <c r="PB38" s="188"/>
      <c r="PC38" s="188"/>
      <c r="PD38" s="188"/>
      <c r="PE38" s="188"/>
      <c r="PF38" s="188"/>
      <c r="PG38" s="188"/>
      <c r="PH38" s="188"/>
      <c r="PI38" s="188"/>
      <c r="PJ38" s="188"/>
      <c r="PK38" s="188"/>
      <c r="PL38" s="188"/>
      <c r="PM38" s="188"/>
      <c r="PN38" s="188"/>
      <c r="PO38" s="188"/>
      <c r="PP38" s="188"/>
      <c r="PQ38" s="188"/>
      <c r="PR38" s="188"/>
      <c r="PS38" s="188"/>
      <c r="PT38" s="188"/>
      <c r="PU38" s="188"/>
      <c r="PV38" s="188"/>
      <c r="PW38" s="188"/>
      <c r="PX38" s="188"/>
      <c r="PY38" s="188"/>
      <c r="PZ38" s="188"/>
      <c r="QA38" s="188"/>
      <c r="QB38" s="188"/>
      <c r="QC38" s="188"/>
      <c r="QD38" s="188"/>
      <c r="QE38" s="188"/>
      <c r="QF38" s="188"/>
      <c r="QG38" s="188"/>
      <c r="QH38" s="188"/>
      <c r="QI38" s="188"/>
      <c r="QJ38" s="188"/>
      <c r="QK38" s="188"/>
      <c r="QL38" s="188"/>
      <c r="QM38" s="188"/>
      <c r="QN38" s="188"/>
      <c r="QO38" s="188"/>
      <c r="QP38" s="188"/>
      <c r="QQ38" s="188"/>
      <c r="QR38" s="188"/>
      <c r="QS38" s="188"/>
      <c r="QT38" s="188"/>
      <c r="QU38" s="188"/>
      <c r="QV38" s="188"/>
      <c r="QW38" s="188"/>
      <c r="QX38" s="188"/>
      <c r="QY38" s="188"/>
      <c r="QZ38" s="188"/>
      <c r="RA38" s="188"/>
      <c r="RB38" s="188"/>
      <c r="RC38" s="188"/>
      <c r="RD38" s="188"/>
      <c r="RE38" s="188"/>
      <c r="RF38" s="188"/>
      <c r="RG38" s="188"/>
      <c r="RH38" s="188"/>
      <c r="RI38" s="188"/>
      <c r="RJ38" s="188"/>
      <c r="RK38" s="188"/>
      <c r="RL38" s="188"/>
      <c r="RM38" s="188"/>
      <c r="RN38" s="188"/>
      <c r="RO38" s="188"/>
      <c r="RP38" s="188"/>
      <c r="RQ38" s="188"/>
      <c r="RR38" s="188"/>
      <c r="RS38" s="188"/>
      <c r="RT38" s="188"/>
      <c r="RU38" s="188"/>
      <c r="RV38" s="188"/>
      <c r="RW38" s="188"/>
      <c r="RX38" s="188"/>
      <c r="RY38" s="188"/>
      <c r="RZ38" s="188"/>
      <c r="SA38" s="188"/>
      <c r="SB38" s="188"/>
      <c r="SC38" s="188"/>
      <c r="SD38" s="188"/>
      <c r="SE38" s="188"/>
      <c r="SF38" s="188"/>
      <c r="SG38" s="188"/>
      <c r="SH38" s="188"/>
      <c r="SI38" s="188"/>
      <c r="SJ38" s="188"/>
      <c r="SK38" s="188"/>
      <c r="SL38" s="188"/>
      <c r="SM38" s="188"/>
      <c r="SN38" s="188"/>
      <c r="SO38" s="188"/>
      <c r="SP38" s="188"/>
      <c r="SQ38" s="188"/>
      <c r="SR38" s="188"/>
      <c r="SS38" s="188"/>
      <c r="ST38" s="188"/>
      <c r="SU38" s="188"/>
      <c r="SV38" s="188"/>
      <c r="SW38" s="188"/>
      <c r="SX38" s="188"/>
      <c r="SY38" s="188"/>
      <c r="SZ38" s="188"/>
      <c r="TA38" s="188"/>
      <c r="TB38" s="188"/>
      <c r="TC38" s="188"/>
      <c r="TD38" s="188"/>
      <c r="TE38" s="188"/>
      <c r="TF38" s="188"/>
      <c r="TG38" s="188"/>
      <c r="TH38" s="188"/>
      <c r="TI38" s="188"/>
      <c r="TJ38" s="188"/>
      <c r="TK38" s="188"/>
      <c r="TL38" s="188"/>
      <c r="TM38" s="188"/>
      <c r="TN38" s="188"/>
      <c r="TO38" s="188"/>
      <c r="TP38" s="188"/>
      <c r="TQ38" s="188"/>
      <c r="TR38" s="188"/>
      <c r="TS38" s="188"/>
      <c r="TT38" s="188"/>
      <c r="TU38" s="188"/>
      <c r="TV38" s="188"/>
      <c r="TW38" s="188"/>
      <c r="TX38" s="188"/>
      <c r="TY38" s="188"/>
      <c r="TZ38" s="188"/>
      <c r="UA38" s="188"/>
      <c r="UB38" s="188"/>
      <c r="UC38" s="188"/>
      <c r="UD38" s="188"/>
      <c r="UE38" s="188"/>
      <c r="UF38" s="188"/>
      <c r="UG38" s="188"/>
      <c r="UH38" s="188"/>
      <c r="UI38" s="188"/>
      <c r="UJ38" s="188"/>
      <c r="UK38" s="188"/>
      <c r="UL38" s="188"/>
      <c r="UM38" s="188"/>
      <c r="UN38" s="188"/>
      <c r="UO38" s="188"/>
      <c r="UP38" s="188"/>
      <c r="UQ38" s="188"/>
      <c r="UR38" s="188"/>
      <c r="US38" s="188"/>
      <c r="UT38" s="188"/>
      <c r="UU38" s="188"/>
      <c r="UV38" s="188"/>
      <c r="UW38" s="188"/>
      <c r="UX38" s="188"/>
      <c r="UY38" s="188"/>
      <c r="UZ38" s="188"/>
      <c r="VA38" s="188"/>
      <c r="VB38" s="188"/>
      <c r="VC38" s="188"/>
      <c r="VD38" s="188"/>
      <c r="VE38" s="188"/>
      <c r="VF38" s="188"/>
      <c r="VG38" s="188"/>
      <c r="VH38" s="188"/>
      <c r="VI38" s="188"/>
      <c r="VJ38" s="188"/>
      <c r="VK38" s="188"/>
      <c r="VL38" s="188"/>
      <c r="VM38" s="188"/>
      <c r="VN38" s="188"/>
      <c r="VO38" s="188"/>
      <c r="VP38" s="188"/>
      <c r="VQ38" s="188"/>
      <c r="VR38" s="188"/>
      <c r="VS38" s="188"/>
      <c r="VT38" s="188"/>
      <c r="VU38" s="188"/>
      <c r="VV38" s="188"/>
      <c r="VW38" s="188"/>
      <c r="VX38" s="188"/>
      <c r="VY38" s="188"/>
      <c r="VZ38" s="188"/>
      <c r="WA38" s="188"/>
      <c r="WB38" s="188"/>
      <c r="WC38" s="188"/>
      <c r="WD38" s="188"/>
      <c r="WE38" s="188"/>
      <c r="WF38" s="188"/>
      <c r="WG38" s="188"/>
      <c r="WH38" s="188"/>
      <c r="WI38" s="188"/>
      <c r="WJ38" s="188"/>
      <c r="WK38" s="188"/>
      <c r="WL38" s="188"/>
      <c r="WM38" s="188"/>
      <c r="WN38" s="188"/>
      <c r="WO38" s="188"/>
      <c r="WP38" s="188"/>
      <c r="WQ38" s="188"/>
      <c r="WR38" s="188"/>
      <c r="WS38" s="188"/>
      <c r="WT38" s="188"/>
      <c r="WU38" s="188"/>
      <c r="WV38" s="188"/>
      <c r="WW38" s="188"/>
      <c r="WX38" s="188"/>
      <c r="WY38" s="188"/>
      <c r="WZ38" s="188"/>
      <c r="XA38" s="188"/>
      <c r="XB38" s="188"/>
      <c r="XC38" s="188"/>
      <c r="XD38" s="188"/>
      <c r="XE38" s="188"/>
      <c r="XF38" s="188"/>
      <c r="XG38" s="188"/>
      <c r="XH38" s="188"/>
      <c r="XI38" s="188"/>
      <c r="XJ38" s="188"/>
      <c r="XK38" s="188"/>
      <c r="XL38" s="188"/>
      <c r="XM38" s="188"/>
      <c r="XN38" s="188"/>
      <c r="XO38" s="188"/>
      <c r="XP38" s="188"/>
      <c r="XQ38" s="188"/>
      <c r="XR38" s="188"/>
      <c r="XS38" s="188"/>
      <c r="XT38" s="188"/>
      <c r="XU38" s="188"/>
      <c r="XV38" s="188"/>
      <c r="XW38" s="188"/>
      <c r="XX38" s="188"/>
      <c r="XY38" s="188"/>
      <c r="XZ38" s="188"/>
      <c r="YA38" s="188"/>
      <c r="YB38" s="188"/>
      <c r="YC38" s="188"/>
      <c r="YD38" s="188"/>
      <c r="YE38" s="188"/>
      <c r="YF38" s="188"/>
      <c r="YG38" s="188"/>
      <c r="YH38" s="188"/>
      <c r="YI38" s="188"/>
      <c r="YJ38" s="188"/>
      <c r="YK38" s="188"/>
      <c r="YL38" s="188"/>
      <c r="YM38" s="188"/>
      <c r="YN38" s="188"/>
      <c r="YO38" s="188"/>
      <c r="YP38" s="188"/>
      <c r="YQ38" s="188"/>
      <c r="YR38" s="188"/>
      <c r="YS38" s="188"/>
      <c r="YT38" s="188"/>
      <c r="YU38" s="188"/>
      <c r="YV38" s="188"/>
      <c r="YW38" s="188"/>
      <c r="YX38" s="188"/>
      <c r="YY38" s="188"/>
      <c r="YZ38" s="188"/>
      <c r="ZA38" s="188"/>
      <c r="ZB38" s="188"/>
      <c r="ZC38" s="188"/>
      <c r="ZD38" s="188"/>
      <c r="ZE38" s="188"/>
      <c r="ZF38" s="188"/>
      <c r="ZG38" s="188"/>
      <c r="ZH38" s="188"/>
      <c r="ZI38" s="188"/>
      <c r="ZJ38" s="188"/>
      <c r="ZK38" s="188"/>
      <c r="ZL38" s="188"/>
      <c r="ZM38" s="188"/>
      <c r="ZN38" s="188"/>
      <c r="ZO38" s="188"/>
      <c r="ZP38" s="188"/>
      <c r="ZQ38" s="188"/>
      <c r="ZR38" s="188"/>
      <c r="ZS38" s="188"/>
      <c r="ZT38" s="188"/>
      <c r="ZU38" s="188"/>
      <c r="ZV38" s="188"/>
      <c r="ZW38" s="188"/>
      <c r="ZX38" s="188"/>
      <c r="ZY38" s="188"/>
      <c r="ZZ38" s="188"/>
      <c r="AAA38" s="188"/>
      <c r="AAB38" s="188"/>
      <c r="AAC38" s="188"/>
      <c r="AAD38" s="188"/>
      <c r="AAE38" s="188"/>
      <c r="AAF38" s="188"/>
      <c r="AAG38" s="188"/>
      <c r="AAH38" s="188"/>
      <c r="AAI38" s="188"/>
      <c r="AAJ38" s="188"/>
      <c r="AAK38" s="188"/>
      <c r="AAL38" s="188"/>
      <c r="AAM38" s="188"/>
      <c r="AAN38" s="188"/>
      <c r="AAO38" s="188"/>
      <c r="AAP38" s="188"/>
      <c r="AAQ38" s="188"/>
      <c r="AAR38" s="188"/>
      <c r="AAS38" s="188"/>
      <c r="AAT38" s="188"/>
      <c r="AAU38" s="188"/>
      <c r="AAV38" s="188"/>
      <c r="AAW38" s="188"/>
      <c r="AAX38" s="188"/>
      <c r="AAY38" s="188"/>
      <c r="AAZ38" s="188"/>
      <c r="ABA38" s="188"/>
      <c r="ABB38" s="188"/>
      <c r="ABC38" s="188"/>
      <c r="ABD38" s="188"/>
      <c r="ABE38" s="188"/>
      <c r="ABF38" s="188"/>
      <c r="ABG38" s="188"/>
      <c r="ABH38" s="188"/>
      <c r="ABI38" s="188"/>
      <c r="ABJ38" s="188"/>
      <c r="ABK38" s="188"/>
      <c r="ABL38" s="188"/>
      <c r="ABM38" s="188"/>
      <c r="ABN38" s="188"/>
      <c r="ABO38" s="188"/>
      <c r="ABP38" s="188"/>
      <c r="ABQ38" s="188"/>
      <c r="ABR38" s="188"/>
      <c r="ABS38" s="188"/>
      <c r="ABT38" s="188"/>
      <c r="ABU38" s="188"/>
      <c r="ABV38" s="188"/>
      <c r="ABW38" s="188"/>
      <c r="ABX38" s="188"/>
      <c r="ABY38" s="188"/>
      <c r="ABZ38" s="188"/>
      <c r="ACA38" s="188"/>
      <c r="ACB38" s="188"/>
      <c r="ACC38" s="188"/>
      <c r="ACD38" s="188"/>
      <c r="ACE38" s="188"/>
      <c r="ACF38" s="188"/>
      <c r="ACG38" s="188"/>
      <c r="ACH38" s="188"/>
      <c r="ACI38" s="188"/>
      <c r="ACJ38" s="188"/>
      <c r="ACK38" s="188"/>
      <c r="ACL38" s="188"/>
      <c r="ACM38" s="188"/>
      <c r="ACN38" s="188"/>
      <c r="ACO38" s="188"/>
      <c r="ACP38" s="188"/>
      <c r="ACQ38" s="188"/>
      <c r="ACR38" s="188"/>
      <c r="ACS38" s="188"/>
      <c r="ACT38" s="188"/>
      <c r="ACU38" s="188"/>
      <c r="ACV38" s="188"/>
      <c r="ACW38" s="188"/>
      <c r="ACX38" s="188"/>
      <c r="ACY38" s="188"/>
      <c r="ACZ38" s="188"/>
      <c r="ADA38" s="188"/>
      <c r="ADB38" s="188"/>
      <c r="ADC38" s="188"/>
      <c r="ADD38" s="188"/>
      <c r="ADE38" s="188"/>
      <c r="ADF38" s="188"/>
      <c r="ADG38" s="188"/>
      <c r="ADH38" s="188"/>
      <c r="ADI38" s="188"/>
      <c r="ADJ38" s="188"/>
      <c r="ADK38" s="188"/>
      <c r="ADL38" s="188"/>
      <c r="ADM38" s="188"/>
      <c r="ADN38" s="188"/>
      <c r="ADO38" s="188"/>
      <c r="ADP38" s="188"/>
      <c r="ADQ38" s="188"/>
      <c r="ADR38" s="188"/>
      <c r="ADS38" s="188"/>
      <c r="ADT38" s="188"/>
      <c r="ADU38" s="188"/>
      <c r="ADV38" s="188"/>
      <c r="ADW38" s="188"/>
      <c r="ADX38" s="188"/>
      <c r="ADY38" s="188"/>
      <c r="ADZ38" s="188"/>
      <c r="AEA38" s="188"/>
      <c r="AEB38" s="188"/>
      <c r="AEC38" s="188"/>
      <c r="AED38" s="188"/>
      <c r="AEE38" s="188"/>
      <c r="AEF38" s="188"/>
      <c r="AEG38" s="188"/>
      <c r="AEH38" s="188"/>
      <c r="AEI38" s="188"/>
      <c r="AEJ38" s="188"/>
      <c r="AEK38" s="188"/>
      <c r="AEL38" s="188"/>
      <c r="AEM38" s="188"/>
      <c r="AEN38" s="188"/>
      <c r="AEO38" s="188"/>
      <c r="AEP38" s="188"/>
      <c r="AEQ38" s="188"/>
      <c r="AER38" s="188"/>
      <c r="AES38" s="188"/>
      <c r="AET38" s="188"/>
      <c r="AEU38" s="188"/>
      <c r="AEV38" s="188"/>
      <c r="AEW38" s="188"/>
      <c r="AEX38" s="188"/>
      <c r="AEY38" s="188"/>
      <c r="AEZ38" s="188"/>
      <c r="AFA38" s="188"/>
      <c r="AFB38" s="188"/>
      <c r="AFC38" s="188"/>
      <c r="AFD38" s="188"/>
      <c r="AFE38" s="188"/>
      <c r="AFF38" s="188"/>
      <c r="AFG38" s="188"/>
      <c r="AFH38" s="188"/>
      <c r="AFI38" s="188"/>
      <c r="AFJ38" s="188"/>
      <c r="AFK38" s="188"/>
      <c r="AFL38" s="188"/>
      <c r="AFM38" s="188"/>
      <c r="AFN38" s="188"/>
      <c r="AFO38" s="188"/>
      <c r="AFP38" s="188"/>
      <c r="AFQ38" s="188"/>
      <c r="AFR38" s="188"/>
      <c r="AFS38" s="188"/>
      <c r="AFT38" s="188"/>
      <c r="AFU38" s="188"/>
      <c r="AFV38" s="188"/>
      <c r="AFW38" s="188"/>
      <c r="AFX38" s="188"/>
      <c r="AFY38" s="188"/>
      <c r="AFZ38" s="188"/>
      <c r="AGA38" s="188"/>
      <c r="AGB38" s="188"/>
      <c r="AGC38" s="188"/>
      <c r="AGD38" s="188"/>
      <c r="AGE38" s="188"/>
      <c r="AGF38" s="188"/>
      <c r="AGG38" s="188"/>
      <c r="AGH38" s="188"/>
      <c r="AGI38" s="188"/>
      <c r="AGJ38" s="188"/>
      <c r="AGK38" s="188"/>
      <c r="AGL38" s="188"/>
      <c r="AGM38" s="188"/>
      <c r="AGN38" s="188"/>
      <c r="AGO38" s="188"/>
      <c r="AGP38" s="188"/>
      <c r="AGQ38" s="188"/>
      <c r="AGR38" s="188"/>
      <c r="AGS38" s="188"/>
      <c r="AGT38" s="188"/>
      <c r="AGU38" s="188"/>
      <c r="AGV38" s="188"/>
      <c r="AGW38" s="188"/>
      <c r="AGX38" s="188"/>
      <c r="AGY38" s="188"/>
      <c r="AGZ38" s="188"/>
      <c r="AHA38" s="188"/>
      <c r="AHB38" s="188"/>
      <c r="AHC38" s="188"/>
      <c r="AHD38" s="188"/>
      <c r="AHE38" s="188"/>
      <c r="AHF38" s="188"/>
      <c r="AHG38" s="188"/>
      <c r="AHH38" s="188"/>
      <c r="AHI38" s="188"/>
      <c r="AHJ38" s="188"/>
      <c r="AHK38" s="188"/>
      <c r="AHL38" s="188"/>
      <c r="AHM38" s="188"/>
      <c r="AHN38" s="188"/>
      <c r="AHO38" s="188"/>
      <c r="AHP38" s="188"/>
      <c r="AHQ38" s="188"/>
      <c r="AHR38" s="188"/>
      <c r="AHS38" s="188"/>
      <c r="AHT38" s="188"/>
      <c r="AHU38" s="188"/>
      <c r="AHV38" s="188"/>
      <c r="AHW38" s="188"/>
      <c r="AHX38" s="188"/>
      <c r="AHY38" s="188"/>
      <c r="AHZ38" s="188"/>
      <c r="AIA38" s="188"/>
      <c r="AIB38" s="188"/>
      <c r="AIC38" s="188"/>
      <c r="AID38" s="188"/>
      <c r="AIE38" s="188"/>
      <c r="AIF38" s="188"/>
      <c r="AIG38" s="188"/>
      <c r="AIH38" s="188"/>
      <c r="AII38" s="188"/>
      <c r="AIJ38" s="188"/>
      <c r="AIK38" s="188"/>
      <c r="AIL38" s="188"/>
      <c r="AIM38" s="188"/>
      <c r="AIN38" s="188"/>
      <c r="AIO38" s="188"/>
      <c r="AIP38" s="188"/>
      <c r="AIQ38" s="188"/>
      <c r="AIR38" s="188"/>
      <c r="AIS38" s="188"/>
      <c r="AIT38" s="188"/>
      <c r="AIU38" s="188"/>
      <c r="AIV38" s="188"/>
      <c r="AIW38" s="188"/>
      <c r="AIX38" s="188"/>
      <c r="AIY38" s="188"/>
      <c r="AIZ38" s="188"/>
      <c r="AJA38" s="188"/>
      <c r="AJB38" s="188"/>
      <c r="AJC38" s="188"/>
      <c r="AJD38" s="188"/>
      <c r="AJE38" s="188"/>
      <c r="AJF38" s="188"/>
      <c r="AJG38" s="188"/>
      <c r="AJH38" s="188"/>
      <c r="AJI38" s="188"/>
      <c r="AJJ38" s="188"/>
      <c r="AJK38" s="188"/>
      <c r="AJL38" s="188"/>
      <c r="AJM38" s="188"/>
      <c r="AJN38" s="188"/>
      <c r="AJO38" s="188"/>
      <c r="AJP38" s="188"/>
      <c r="AJQ38" s="188"/>
      <c r="AJR38" s="188"/>
      <c r="AJS38" s="188"/>
      <c r="AJT38" s="188"/>
      <c r="AJU38" s="188"/>
      <c r="AJV38" s="188"/>
      <c r="AJW38" s="188"/>
      <c r="AJX38" s="188"/>
      <c r="AJY38" s="188"/>
      <c r="AJZ38" s="188"/>
      <c r="AKA38" s="188"/>
      <c r="AKB38" s="188"/>
      <c r="AKC38" s="188"/>
      <c r="AKD38" s="188"/>
      <c r="AKE38" s="188"/>
      <c r="AKF38" s="188"/>
      <c r="AKG38" s="188"/>
      <c r="AKH38" s="188"/>
      <c r="AKI38" s="188"/>
      <c r="AKJ38" s="188"/>
      <c r="AKK38" s="188"/>
      <c r="AKL38" s="188"/>
      <c r="AKM38" s="188"/>
      <c r="AKN38" s="188"/>
      <c r="AKO38" s="188"/>
      <c r="AKP38" s="188"/>
      <c r="AKQ38" s="188"/>
      <c r="AKR38" s="188"/>
      <c r="AKS38" s="188"/>
      <c r="AKT38" s="188"/>
      <c r="AKU38" s="188"/>
      <c r="AKV38" s="188"/>
      <c r="AKW38" s="188"/>
      <c r="AKX38" s="188"/>
      <c r="AKY38" s="188"/>
      <c r="AKZ38" s="188"/>
      <c r="ALA38" s="188"/>
      <c r="ALB38" s="188"/>
      <c r="ALC38" s="188"/>
      <c r="ALD38" s="188"/>
      <c r="ALE38" s="188"/>
      <c r="ALF38" s="188"/>
      <c r="ALG38" s="188"/>
      <c r="ALH38" s="188"/>
      <c r="ALI38" s="188"/>
      <c r="ALJ38" s="188"/>
      <c r="ALK38" s="188"/>
      <c r="ALL38" s="188"/>
      <c r="ALM38" s="188"/>
      <c r="ALN38" s="188"/>
      <c r="ALO38" s="188"/>
      <c r="ALP38" s="188"/>
      <c r="ALQ38" s="188"/>
      <c r="ALR38" s="188"/>
      <c r="ALS38" s="188"/>
      <c r="ALT38" s="188"/>
      <c r="ALU38" s="188"/>
      <c r="ALV38" s="188"/>
      <c r="ALW38" s="188"/>
      <c r="ALX38" s="188"/>
      <c r="ALY38" s="188"/>
      <c r="ALZ38" s="188"/>
      <c r="AMA38" s="188"/>
      <c r="AMB38" s="188"/>
      <c r="AMC38" s="188"/>
      <c r="AMD38" s="188"/>
      <c r="AME38" s="188"/>
      <c r="AMF38" s="188"/>
      <c r="AMG38" s="188"/>
      <c r="AMH38" s="188"/>
      <c r="AMI38" s="188"/>
      <c r="AMJ38" s="188"/>
      <c r="AMK38" s="188"/>
      <c r="AML38" s="188"/>
      <c r="AMM38" s="188"/>
      <c r="AMN38" s="188"/>
      <c r="AMO38" s="188"/>
      <c r="AMP38" s="188"/>
      <c r="AMQ38" s="188"/>
      <c r="AMR38" s="188"/>
      <c r="AMS38" s="188"/>
      <c r="AMT38" s="188"/>
      <c r="AMU38" s="188"/>
      <c r="AMV38" s="188"/>
      <c r="AMW38" s="188"/>
      <c r="AMX38" s="188"/>
      <c r="AMY38" s="188"/>
      <c r="AMZ38" s="188"/>
      <c r="ANA38" s="188"/>
      <c r="ANB38" s="188"/>
      <c r="ANC38" s="188"/>
      <c r="AND38" s="188"/>
      <c r="ANE38" s="188"/>
      <c r="ANF38" s="188"/>
      <c r="ANG38" s="188"/>
      <c r="ANH38" s="188"/>
      <c r="ANI38" s="188"/>
      <c r="ANJ38" s="188"/>
      <c r="ANK38" s="188"/>
      <c r="ANL38" s="188"/>
      <c r="ANM38" s="188"/>
      <c r="ANN38" s="188"/>
      <c r="ANO38" s="188"/>
      <c r="ANP38" s="188"/>
      <c r="ANQ38" s="188"/>
      <c r="ANR38" s="188"/>
      <c r="ANS38" s="188"/>
      <c r="ANT38" s="188"/>
      <c r="ANU38" s="188"/>
      <c r="ANV38" s="188"/>
      <c r="ANW38" s="188"/>
      <c r="ANX38" s="188"/>
      <c r="ANY38" s="188"/>
      <c r="ANZ38" s="188"/>
      <c r="AOA38" s="188"/>
      <c r="AOB38" s="188"/>
      <c r="AOC38" s="188"/>
      <c r="AOD38" s="188"/>
      <c r="AOE38" s="188"/>
      <c r="AOF38" s="188"/>
      <c r="AOG38" s="188"/>
      <c r="AOH38" s="188"/>
      <c r="AOI38" s="188"/>
      <c r="AOJ38" s="188"/>
      <c r="AOK38" s="188"/>
      <c r="AOL38" s="188"/>
      <c r="AOM38" s="188"/>
      <c r="AON38" s="188"/>
      <c r="AOO38" s="188"/>
      <c r="AOP38" s="188"/>
      <c r="AOQ38" s="188"/>
      <c r="AOR38" s="188"/>
      <c r="AOS38" s="188"/>
      <c r="AOT38" s="188"/>
      <c r="AOU38" s="188"/>
      <c r="AOV38" s="188"/>
      <c r="AOW38" s="188"/>
      <c r="AOX38" s="188"/>
      <c r="AOY38" s="188"/>
      <c r="AOZ38" s="188"/>
      <c r="APA38" s="188"/>
      <c r="APB38" s="188"/>
      <c r="APC38" s="188"/>
      <c r="APD38" s="188"/>
      <c r="APE38" s="188"/>
      <c r="APF38" s="188"/>
      <c r="APG38" s="188"/>
      <c r="APH38" s="188"/>
      <c r="API38" s="188"/>
      <c r="APJ38" s="188"/>
      <c r="APK38" s="188"/>
      <c r="APL38" s="188"/>
      <c r="APM38" s="188"/>
      <c r="APN38" s="188"/>
      <c r="APO38" s="188"/>
      <c r="APP38" s="188"/>
      <c r="APQ38" s="188"/>
      <c r="APR38" s="188"/>
      <c r="APS38" s="188"/>
      <c r="APT38" s="188"/>
      <c r="APU38" s="188"/>
      <c r="APV38" s="188"/>
      <c r="APW38" s="188"/>
      <c r="APX38" s="188"/>
      <c r="APY38" s="188"/>
      <c r="APZ38" s="188"/>
      <c r="AQA38" s="188"/>
      <c r="AQB38" s="188"/>
      <c r="AQC38" s="188"/>
      <c r="AQD38" s="188"/>
      <c r="AQE38" s="188"/>
      <c r="AQF38" s="188"/>
      <c r="AQG38" s="188"/>
      <c r="AQH38" s="188"/>
      <c r="AQI38" s="188"/>
      <c r="AQJ38" s="188"/>
      <c r="AQK38" s="188"/>
      <c r="AQL38" s="188"/>
      <c r="AQM38" s="188"/>
      <c r="AQN38" s="188"/>
      <c r="AQO38" s="188"/>
      <c r="AQP38" s="188"/>
      <c r="AQQ38" s="188"/>
      <c r="AQR38" s="188"/>
      <c r="AQS38" s="188"/>
      <c r="AQT38" s="188"/>
      <c r="AQU38" s="188"/>
      <c r="AQV38" s="188"/>
      <c r="AQW38" s="188"/>
      <c r="AQX38" s="188"/>
      <c r="AQY38" s="188"/>
      <c r="AQZ38" s="188"/>
      <c r="ARA38" s="188"/>
      <c r="ARB38" s="188"/>
      <c r="ARC38" s="188"/>
      <c r="ARD38" s="188"/>
      <c r="ARE38" s="188"/>
      <c r="ARF38" s="188"/>
      <c r="ARG38" s="188"/>
      <c r="ARH38" s="188"/>
      <c r="ARI38" s="188"/>
      <c r="ARJ38" s="188"/>
      <c r="ARK38" s="188"/>
      <c r="ARL38" s="188"/>
      <c r="ARM38" s="188"/>
      <c r="ARN38" s="188"/>
      <c r="ARO38" s="188"/>
      <c r="ARP38" s="188"/>
      <c r="ARQ38" s="188"/>
      <c r="ARR38" s="188"/>
      <c r="ARS38" s="188"/>
      <c r="ART38" s="188"/>
      <c r="ARU38" s="188"/>
      <c r="ARV38" s="188"/>
      <c r="ARW38" s="188"/>
      <c r="ARX38" s="188"/>
      <c r="ARY38" s="188"/>
      <c r="ARZ38" s="188"/>
      <c r="ASA38" s="188"/>
      <c r="ASB38" s="188"/>
      <c r="ASC38" s="188"/>
      <c r="ASD38" s="188"/>
      <c r="ASE38" s="188"/>
      <c r="ASF38" s="188"/>
      <c r="ASG38" s="188"/>
      <c r="ASH38" s="188"/>
      <c r="ASI38" s="188"/>
      <c r="ASJ38" s="188"/>
      <c r="ASK38" s="188"/>
      <c r="ASL38" s="188"/>
      <c r="ASM38" s="188"/>
      <c r="ASN38" s="188"/>
      <c r="ASO38" s="188"/>
      <c r="ASP38" s="188"/>
      <c r="ASQ38" s="188"/>
      <c r="ASR38" s="188"/>
      <c r="ASS38" s="188"/>
      <c r="AST38" s="188"/>
      <c r="ASU38" s="188"/>
      <c r="ASV38" s="188"/>
      <c r="ASW38" s="188"/>
      <c r="ASX38" s="188"/>
      <c r="ASY38" s="188"/>
      <c r="ASZ38" s="188"/>
      <c r="ATA38" s="188"/>
      <c r="ATB38" s="188"/>
      <c r="ATC38" s="188"/>
      <c r="ATD38" s="188"/>
      <c r="ATE38" s="188"/>
      <c r="ATF38" s="188"/>
      <c r="ATG38" s="188"/>
      <c r="ATH38" s="188"/>
      <c r="ATI38" s="188"/>
      <c r="ATJ38" s="188"/>
      <c r="ATK38" s="188"/>
      <c r="ATL38" s="188"/>
      <c r="ATM38" s="188"/>
      <c r="ATN38" s="188"/>
      <c r="ATO38" s="188"/>
      <c r="ATP38" s="188"/>
      <c r="ATQ38" s="188"/>
      <c r="ATR38" s="188"/>
      <c r="ATS38" s="188"/>
      <c r="ATT38" s="188"/>
      <c r="ATU38" s="188"/>
      <c r="ATV38" s="188"/>
      <c r="ATW38" s="188"/>
      <c r="ATX38" s="188"/>
      <c r="ATY38" s="188"/>
      <c r="ATZ38" s="188"/>
      <c r="AUA38" s="188"/>
      <c r="AUB38" s="188"/>
      <c r="AUC38" s="188"/>
      <c r="AUD38" s="188"/>
      <c r="AUE38" s="188"/>
      <c r="AUF38" s="188"/>
      <c r="AUG38" s="188"/>
      <c r="AUH38" s="188"/>
      <c r="AUI38" s="188"/>
      <c r="AUJ38" s="188"/>
      <c r="AUK38" s="188"/>
      <c r="AUL38" s="188"/>
      <c r="AUM38" s="188"/>
      <c r="AUN38" s="188"/>
      <c r="AUO38" s="188"/>
      <c r="AUP38" s="188"/>
      <c r="AUQ38" s="188"/>
      <c r="AUR38" s="188"/>
      <c r="AUS38" s="188"/>
      <c r="AUT38" s="188"/>
      <c r="AUU38" s="188"/>
      <c r="AUV38" s="188"/>
      <c r="AUW38" s="188"/>
      <c r="AUX38" s="188"/>
      <c r="AUY38" s="188"/>
      <c r="AUZ38" s="188"/>
      <c r="AVA38" s="188"/>
      <c r="AVB38" s="188"/>
      <c r="AVC38" s="188"/>
      <c r="AVD38" s="188"/>
      <c r="AVE38" s="188"/>
      <c r="AVF38" s="188"/>
      <c r="AVG38" s="188"/>
      <c r="AVH38" s="188"/>
      <c r="AVI38" s="188"/>
      <c r="AVJ38" s="188"/>
      <c r="AVK38" s="188"/>
      <c r="AVL38" s="188"/>
      <c r="AVM38" s="188"/>
      <c r="AVN38" s="188"/>
      <c r="AVO38" s="188"/>
      <c r="AVP38" s="188"/>
      <c r="AVQ38" s="188"/>
      <c r="AVR38" s="188"/>
      <c r="AVS38" s="188"/>
      <c r="AVT38" s="188"/>
      <c r="AVU38" s="188"/>
      <c r="AVV38" s="188"/>
      <c r="AVW38" s="188"/>
      <c r="AVX38" s="188"/>
      <c r="AVY38" s="188"/>
      <c r="AVZ38" s="188"/>
      <c r="AWA38" s="188"/>
      <c r="AWB38" s="188"/>
      <c r="AWC38" s="188"/>
      <c r="AWD38" s="188"/>
      <c r="AWE38" s="188"/>
      <c r="AWF38" s="188"/>
      <c r="AWG38" s="188"/>
      <c r="AWH38" s="188"/>
      <c r="AWI38" s="188"/>
      <c r="AWJ38" s="188"/>
      <c r="AWK38" s="188"/>
      <c r="AWL38" s="188"/>
      <c r="AWM38" s="188"/>
      <c r="AWN38" s="188"/>
      <c r="AWO38" s="188"/>
      <c r="AWP38" s="188"/>
      <c r="AWQ38" s="188"/>
      <c r="AWR38" s="188"/>
      <c r="AWS38" s="188"/>
      <c r="AWT38" s="188"/>
      <c r="AWU38" s="188"/>
      <c r="AWV38" s="188"/>
      <c r="AWW38" s="188"/>
      <c r="AWX38" s="188"/>
      <c r="AWY38" s="188"/>
      <c r="AWZ38" s="188"/>
      <c r="AXA38" s="188"/>
      <c r="AXB38" s="188"/>
      <c r="AXC38" s="188"/>
      <c r="AXD38" s="188"/>
      <c r="AXE38" s="188"/>
      <c r="AXF38" s="188"/>
      <c r="AXG38" s="188"/>
      <c r="AXH38" s="188"/>
      <c r="AXI38" s="188"/>
      <c r="AXJ38" s="188"/>
      <c r="AXK38" s="188"/>
      <c r="AXL38" s="188"/>
      <c r="AXM38" s="188"/>
      <c r="AXN38" s="188"/>
      <c r="AXO38" s="188"/>
      <c r="AXP38" s="188"/>
      <c r="AXQ38" s="188"/>
      <c r="AXR38" s="188"/>
      <c r="AXS38" s="188"/>
      <c r="AXT38" s="188"/>
      <c r="AXU38" s="188"/>
      <c r="AXV38" s="188"/>
      <c r="AXW38" s="188"/>
      <c r="AXX38" s="188"/>
      <c r="AXY38" s="188"/>
      <c r="AXZ38" s="188"/>
      <c r="AYA38" s="188"/>
      <c r="AYB38" s="188"/>
      <c r="AYC38" s="188"/>
      <c r="AYD38" s="188"/>
      <c r="AYE38" s="188"/>
      <c r="AYF38" s="188"/>
      <c r="AYG38" s="188"/>
      <c r="AYH38" s="188"/>
      <c r="AYI38" s="188"/>
      <c r="AYJ38" s="188"/>
      <c r="AYK38" s="188"/>
      <c r="AYL38" s="188"/>
      <c r="AYM38" s="188"/>
      <c r="AYN38" s="188"/>
      <c r="AYO38" s="188"/>
      <c r="AYP38" s="188"/>
      <c r="AYQ38" s="188"/>
      <c r="AYR38" s="188"/>
      <c r="AYS38" s="188"/>
      <c r="AYT38" s="188"/>
      <c r="AYU38" s="188"/>
      <c r="AYV38" s="188"/>
      <c r="AYW38" s="188"/>
      <c r="AYX38" s="188"/>
      <c r="AYY38" s="188"/>
      <c r="AYZ38" s="188"/>
      <c r="AZA38" s="188"/>
      <c r="AZB38" s="188"/>
      <c r="AZC38" s="188"/>
      <c r="AZD38" s="188"/>
      <c r="AZE38" s="188"/>
      <c r="AZF38" s="188"/>
      <c r="AZG38" s="188"/>
      <c r="AZH38" s="188"/>
      <c r="AZI38" s="188"/>
      <c r="AZJ38" s="188"/>
      <c r="AZK38" s="188"/>
      <c r="AZL38" s="188"/>
      <c r="AZM38" s="188"/>
      <c r="AZN38" s="188"/>
      <c r="AZO38" s="188"/>
      <c r="AZP38" s="188"/>
      <c r="AZQ38" s="188"/>
      <c r="AZR38" s="188"/>
      <c r="AZS38" s="188"/>
      <c r="AZT38" s="188"/>
      <c r="AZU38" s="188"/>
      <c r="AZV38" s="188"/>
      <c r="AZW38" s="188"/>
      <c r="AZX38" s="188"/>
      <c r="AZY38" s="188"/>
      <c r="AZZ38" s="188"/>
      <c r="BAA38" s="188"/>
      <c r="BAB38" s="188"/>
      <c r="BAC38" s="188"/>
      <c r="BAD38" s="188"/>
      <c r="BAE38" s="188"/>
      <c r="BAF38" s="188"/>
      <c r="BAG38" s="188"/>
      <c r="BAH38" s="188"/>
      <c r="BAI38" s="188"/>
      <c r="BAJ38" s="188"/>
      <c r="BAK38" s="188"/>
      <c r="BAL38" s="188"/>
      <c r="BAM38" s="188"/>
      <c r="BAN38" s="188"/>
      <c r="BAO38" s="188"/>
      <c r="BAP38" s="188"/>
      <c r="BAQ38" s="188"/>
      <c r="BAR38" s="188"/>
      <c r="BAS38" s="188"/>
      <c r="BAT38" s="188"/>
      <c r="BAU38" s="188"/>
      <c r="BAV38" s="188"/>
      <c r="BAW38" s="188"/>
      <c r="BAX38" s="188"/>
      <c r="BAY38" s="188"/>
      <c r="BAZ38" s="188"/>
      <c r="BBA38" s="188"/>
      <c r="BBB38" s="188"/>
      <c r="BBC38" s="188"/>
      <c r="BBD38" s="188"/>
      <c r="BBE38" s="188"/>
      <c r="BBF38" s="188"/>
      <c r="BBG38" s="188"/>
      <c r="BBH38" s="188"/>
      <c r="BBI38" s="188"/>
      <c r="BBJ38" s="188"/>
      <c r="BBK38" s="188"/>
      <c r="BBL38" s="188"/>
      <c r="BBM38" s="188"/>
      <c r="BBN38" s="188"/>
      <c r="BBO38" s="188"/>
      <c r="BBP38" s="188"/>
      <c r="BBQ38" s="188"/>
      <c r="BBR38" s="188"/>
      <c r="BBS38" s="188"/>
      <c r="BBT38" s="188"/>
      <c r="BBU38" s="188"/>
      <c r="BBV38" s="188"/>
      <c r="BBW38" s="188"/>
      <c r="BBX38" s="188"/>
      <c r="BBY38" s="188"/>
      <c r="BBZ38" s="188"/>
      <c r="BCA38" s="188"/>
      <c r="BCB38" s="188"/>
      <c r="BCC38" s="188"/>
      <c r="BCD38" s="188"/>
      <c r="BCE38" s="188"/>
      <c r="BCF38" s="188"/>
      <c r="BCG38" s="188"/>
      <c r="BCH38" s="188"/>
      <c r="BCI38" s="188"/>
      <c r="BCJ38" s="188"/>
      <c r="BCK38" s="188"/>
      <c r="BCL38" s="188"/>
      <c r="BCM38" s="188"/>
      <c r="BCN38" s="188"/>
      <c r="BCO38" s="188"/>
      <c r="BCP38" s="188"/>
      <c r="BCQ38" s="188"/>
      <c r="BCR38" s="188"/>
      <c r="BCS38" s="188"/>
      <c r="BCT38" s="188"/>
      <c r="BCU38" s="188"/>
      <c r="BCV38" s="188"/>
      <c r="BCW38" s="188"/>
      <c r="BCX38" s="188"/>
      <c r="BCY38" s="188"/>
      <c r="BCZ38" s="188"/>
      <c r="BDA38" s="188"/>
      <c r="BDB38" s="188"/>
      <c r="BDC38" s="188"/>
      <c r="BDD38" s="188"/>
      <c r="BDE38" s="188"/>
      <c r="BDF38" s="188"/>
      <c r="BDG38" s="188"/>
      <c r="BDH38" s="188"/>
      <c r="BDI38" s="188"/>
      <c r="BDJ38" s="188"/>
      <c r="BDK38" s="188"/>
      <c r="BDL38" s="188"/>
      <c r="BDM38" s="188"/>
      <c r="BDN38" s="188"/>
      <c r="BDO38" s="188"/>
      <c r="BDP38" s="188"/>
      <c r="BDQ38" s="188"/>
      <c r="BDR38" s="188"/>
      <c r="BDS38" s="188"/>
      <c r="BDT38" s="188"/>
      <c r="BDU38" s="188"/>
      <c r="BDV38" s="188"/>
      <c r="BDW38" s="188"/>
      <c r="BDX38" s="188"/>
      <c r="BDY38" s="188"/>
      <c r="BDZ38" s="188"/>
      <c r="BEA38" s="188"/>
      <c r="BEB38" s="188"/>
      <c r="BEC38" s="188"/>
      <c r="BED38" s="188"/>
      <c r="BEE38" s="188"/>
      <c r="BEF38" s="188"/>
      <c r="BEG38" s="188"/>
      <c r="BEH38" s="188"/>
      <c r="BEI38" s="188"/>
      <c r="BEJ38" s="188"/>
      <c r="BEK38" s="188"/>
      <c r="BEL38" s="188"/>
      <c r="BEM38" s="188"/>
      <c r="BEN38" s="188"/>
      <c r="BEO38" s="188"/>
      <c r="BEP38" s="188"/>
      <c r="BEQ38" s="188"/>
      <c r="BER38" s="188"/>
      <c r="BES38" s="188"/>
      <c r="BET38" s="188"/>
      <c r="BEU38" s="188"/>
      <c r="BEV38" s="188"/>
      <c r="BEW38" s="188"/>
      <c r="BEX38" s="188"/>
      <c r="BEY38" s="188"/>
      <c r="BEZ38" s="188"/>
      <c r="BFA38" s="188"/>
      <c r="BFB38" s="188"/>
      <c r="BFC38" s="188"/>
      <c r="BFD38" s="188"/>
      <c r="BFE38" s="188"/>
      <c r="BFF38" s="188"/>
      <c r="BFG38" s="188"/>
      <c r="BFH38" s="188"/>
      <c r="BFI38" s="188"/>
      <c r="BFJ38" s="188"/>
      <c r="BFK38" s="188"/>
      <c r="BFL38" s="188"/>
      <c r="BFM38" s="188"/>
      <c r="BFN38" s="188"/>
      <c r="BFO38" s="188"/>
      <c r="BFP38" s="188"/>
      <c r="BFQ38" s="188"/>
      <c r="BFR38" s="188"/>
      <c r="BFS38" s="188"/>
      <c r="BFT38" s="188"/>
      <c r="BFU38" s="188"/>
      <c r="BFV38" s="188"/>
      <c r="BFW38" s="188"/>
      <c r="BFX38" s="188"/>
      <c r="BFY38" s="188"/>
      <c r="BFZ38" s="188"/>
      <c r="BGA38" s="188"/>
      <c r="BGB38" s="188"/>
      <c r="BGC38" s="188"/>
      <c r="BGD38" s="188"/>
      <c r="BGE38" s="188"/>
      <c r="BGF38" s="188"/>
      <c r="BGG38" s="188"/>
      <c r="BGH38" s="188"/>
      <c r="BGI38" s="188"/>
      <c r="BGJ38" s="188"/>
      <c r="BGK38" s="188"/>
      <c r="BGL38" s="188"/>
      <c r="BGM38" s="188"/>
      <c r="BGN38" s="188"/>
      <c r="BGO38" s="188"/>
      <c r="BGP38" s="188"/>
      <c r="BGQ38" s="188"/>
      <c r="BGR38" s="188"/>
      <c r="BGS38" s="188"/>
      <c r="BGT38" s="188"/>
      <c r="BGU38" s="188"/>
      <c r="BGV38" s="188"/>
      <c r="BGW38" s="188"/>
      <c r="BGX38" s="188"/>
      <c r="BGY38" s="188"/>
      <c r="BGZ38" s="188"/>
      <c r="BHA38" s="188"/>
      <c r="BHB38" s="188"/>
      <c r="BHC38" s="188"/>
      <c r="BHD38" s="188"/>
      <c r="BHE38" s="188"/>
      <c r="BHF38" s="188"/>
      <c r="BHG38" s="188"/>
      <c r="BHH38" s="188"/>
      <c r="BHI38" s="188"/>
      <c r="BHJ38" s="188"/>
      <c r="BHK38" s="188"/>
      <c r="BHL38" s="188"/>
      <c r="BHM38" s="188"/>
      <c r="BHN38" s="188"/>
      <c r="BHO38" s="188"/>
      <c r="BHP38" s="188"/>
      <c r="BHQ38" s="188"/>
      <c r="BHR38" s="188"/>
      <c r="BHS38" s="188"/>
      <c r="BHT38" s="188"/>
      <c r="BHU38" s="188"/>
      <c r="BHV38" s="188"/>
      <c r="BHW38" s="188"/>
      <c r="BHX38" s="188"/>
      <c r="BHY38" s="188"/>
      <c r="BHZ38" s="188"/>
      <c r="BIA38" s="188"/>
      <c r="BIB38" s="188"/>
      <c r="BIC38" s="188"/>
      <c r="BID38" s="188"/>
      <c r="BIE38" s="188"/>
      <c r="BIF38" s="188"/>
      <c r="BIG38" s="188"/>
      <c r="BIH38" s="188"/>
      <c r="BII38" s="188"/>
      <c r="BIJ38" s="188"/>
      <c r="BIK38" s="188"/>
      <c r="BIL38" s="188"/>
      <c r="BIM38" s="188"/>
      <c r="BIN38" s="188"/>
      <c r="BIO38" s="188"/>
      <c r="BIP38" s="188"/>
      <c r="BIQ38" s="188"/>
      <c r="BIR38" s="188"/>
      <c r="BIS38" s="188"/>
      <c r="BIT38" s="188"/>
      <c r="BIU38" s="188"/>
      <c r="BIV38" s="188"/>
      <c r="BIW38" s="188"/>
      <c r="BIX38" s="188"/>
      <c r="BIY38" s="188"/>
      <c r="BIZ38" s="188"/>
      <c r="BJA38" s="188"/>
      <c r="BJB38" s="188"/>
      <c r="BJC38" s="188"/>
      <c r="BJD38" s="188"/>
      <c r="BJE38" s="188"/>
      <c r="BJF38" s="188"/>
      <c r="BJG38" s="188"/>
      <c r="BJH38" s="188"/>
      <c r="BJI38" s="188"/>
      <c r="BJJ38" s="188"/>
      <c r="BJK38" s="188"/>
      <c r="BJL38" s="188"/>
      <c r="BJM38" s="188"/>
      <c r="BJN38" s="188"/>
      <c r="BJO38" s="188"/>
      <c r="BJP38" s="188"/>
      <c r="BJQ38" s="188"/>
      <c r="BJR38" s="188"/>
      <c r="BJS38" s="188"/>
      <c r="BJT38" s="188"/>
      <c r="BJU38" s="188"/>
      <c r="BJV38" s="188"/>
      <c r="BJW38" s="188"/>
      <c r="BJX38" s="188"/>
      <c r="BJY38" s="188"/>
      <c r="BJZ38" s="188"/>
      <c r="BKA38" s="188"/>
      <c r="BKB38" s="188"/>
      <c r="BKC38" s="188"/>
      <c r="BKD38" s="188"/>
      <c r="BKE38" s="188"/>
      <c r="BKF38" s="188"/>
      <c r="BKG38" s="188"/>
      <c r="BKH38" s="188"/>
      <c r="BKI38" s="188"/>
      <c r="BKJ38" s="188"/>
      <c r="BKK38" s="188"/>
      <c r="BKL38" s="188"/>
      <c r="BKM38" s="188"/>
      <c r="BKN38" s="188"/>
      <c r="BKO38" s="188"/>
      <c r="BKP38" s="188"/>
      <c r="BKQ38" s="188"/>
      <c r="BKR38" s="188"/>
      <c r="BKS38" s="188"/>
      <c r="BKT38" s="188"/>
      <c r="BKU38" s="188"/>
      <c r="BKV38" s="188"/>
      <c r="BKW38" s="188"/>
      <c r="BKX38" s="188"/>
      <c r="BKY38" s="188"/>
      <c r="BKZ38" s="188"/>
      <c r="BLA38" s="188"/>
      <c r="BLB38" s="188"/>
      <c r="BLC38" s="188"/>
      <c r="BLD38" s="188"/>
      <c r="BLE38" s="188"/>
      <c r="BLF38" s="188"/>
      <c r="BLG38" s="188"/>
      <c r="BLH38" s="188"/>
      <c r="BLI38" s="188"/>
      <c r="BLJ38" s="188"/>
      <c r="BLK38" s="188"/>
      <c r="BLL38" s="188"/>
      <c r="BLM38" s="188"/>
      <c r="BLN38" s="188"/>
      <c r="BLO38" s="188"/>
      <c r="BLP38" s="188"/>
      <c r="BLQ38" s="188"/>
      <c r="BLR38" s="188"/>
      <c r="BLS38" s="188"/>
      <c r="BLT38" s="188"/>
      <c r="BLU38" s="188"/>
      <c r="BLV38" s="188"/>
      <c r="BLW38" s="188"/>
      <c r="BLX38" s="188"/>
      <c r="BLY38" s="188"/>
      <c r="BLZ38" s="188"/>
      <c r="BMA38" s="188"/>
      <c r="BMB38" s="188"/>
      <c r="BMC38" s="188"/>
      <c r="BMD38" s="188"/>
      <c r="BME38" s="188"/>
      <c r="BMF38" s="188"/>
      <c r="BMG38" s="188"/>
      <c r="BMH38" s="188"/>
      <c r="BMI38" s="188"/>
      <c r="BMJ38" s="188"/>
      <c r="BMK38" s="188"/>
      <c r="BML38" s="188"/>
      <c r="BMM38" s="188"/>
      <c r="BMN38" s="188"/>
      <c r="BMO38" s="188"/>
      <c r="BMP38" s="188"/>
      <c r="BMQ38" s="188"/>
      <c r="BMR38" s="188"/>
      <c r="BMS38" s="188"/>
      <c r="BMT38" s="188"/>
      <c r="BMU38" s="188"/>
      <c r="BMV38" s="188"/>
      <c r="BMW38" s="188"/>
      <c r="BMX38" s="188"/>
      <c r="BMY38" s="188"/>
      <c r="BMZ38" s="188"/>
      <c r="BNA38" s="188"/>
      <c r="BNB38" s="188"/>
      <c r="BNC38" s="188"/>
      <c r="BND38" s="188"/>
      <c r="BNE38" s="188"/>
      <c r="BNF38" s="188"/>
      <c r="BNG38" s="188"/>
      <c r="BNH38" s="188"/>
      <c r="BNI38" s="188"/>
      <c r="BNJ38" s="188"/>
      <c r="BNK38" s="188"/>
      <c r="BNL38" s="188"/>
      <c r="BNM38" s="188"/>
      <c r="BNN38" s="188"/>
      <c r="BNO38" s="188"/>
      <c r="BNP38" s="188"/>
      <c r="BNQ38" s="188"/>
      <c r="BNR38" s="188"/>
      <c r="BNS38" s="188"/>
      <c r="BNT38" s="188"/>
      <c r="BNU38" s="188"/>
      <c r="BNV38" s="188"/>
      <c r="BNW38" s="188"/>
      <c r="BNX38" s="188"/>
      <c r="BNY38" s="188"/>
      <c r="BNZ38" s="188"/>
      <c r="BOA38" s="188"/>
      <c r="BOB38" s="188"/>
      <c r="BOC38" s="188"/>
      <c r="BOD38" s="188"/>
      <c r="BOE38" s="188"/>
      <c r="BOF38" s="188"/>
      <c r="BOG38" s="188"/>
      <c r="BOH38" s="188"/>
      <c r="BOI38" s="188"/>
      <c r="BOJ38" s="188"/>
      <c r="BOK38" s="188"/>
      <c r="BOL38" s="188"/>
      <c r="BOM38" s="188"/>
      <c r="BON38" s="188"/>
      <c r="BOO38" s="188"/>
      <c r="BOP38" s="188"/>
      <c r="BOQ38" s="188"/>
      <c r="BOR38" s="188"/>
      <c r="BOS38" s="188"/>
      <c r="BOT38" s="188"/>
      <c r="BOU38" s="188"/>
      <c r="BOV38" s="188"/>
      <c r="BOW38" s="188"/>
      <c r="BOX38" s="188"/>
      <c r="BOY38" s="188"/>
      <c r="BOZ38" s="188"/>
      <c r="BPA38" s="188"/>
      <c r="BPB38" s="188"/>
      <c r="BPC38" s="188"/>
      <c r="BPD38" s="188"/>
      <c r="BPE38" s="188"/>
      <c r="BPF38" s="188"/>
      <c r="BPG38" s="188"/>
      <c r="BPH38" s="188"/>
      <c r="BPI38" s="188"/>
      <c r="BPJ38" s="188"/>
      <c r="BPK38" s="188"/>
      <c r="BPL38" s="188"/>
      <c r="BPM38" s="188"/>
      <c r="BPN38" s="188"/>
      <c r="BPO38" s="188"/>
      <c r="BPP38" s="188"/>
      <c r="BPQ38" s="188"/>
      <c r="BPR38" s="188"/>
      <c r="BPS38" s="188"/>
      <c r="BPT38" s="188"/>
      <c r="BPU38" s="188"/>
      <c r="BPV38" s="188"/>
      <c r="BPW38" s="188"/>
      <c r="BPX38" s="188"/>
      <c r="BPY38" s="188"/>
      <c r="BPZ38" s="188"/>
      <c r="BQA38" s="188"/>
      <c r="BQB38" s="188"/>
      <c r="BQC38" s="188"/>
      <c r="BQD38" s="188"/>
      <c r="BQE38" s="188"/>
      <c r="BQF38" s="188"/>
      <c r="BQG38" s="188"/>
      <c r="BQH38" s="188"/>
      <c r="BQI38" s="188"/>
      <c r="BQJ38" s="188"/>
      <c r="BQK38" s="188"/>
      <c r="BQL38" s="188"/>
      <c r="BQM38" s="188"/>
      <c r="BQN38" s="188"/>
      <c r="BQO38" s="188"/>
      <c r="BQP38" s="188"/>
      <c r="BQQ38" s="188"/>
      <c r="BQR38" s="188"/>
      <c r="BQS38" s="188"/>
      <c r="BQT38" s="188"/>
      <c r="BQU38" s="188"/>
      <c r="BQV38" s="188"/>
      <c r="BQW38" s="188"/>
      <c r="BQX38" s="188"/>
      <c r="BQY38" s="188"/>
      <c r="BQZ38" s="188"/>
      <c r="BRA38" s="188"/>
      <c r="BRB38" s="188"/>
      <c r="BRC38" s="188"/>
      <c r="BRD38" s="188"/>
      <c r="BRE38" s="188"/>
      <c r="BRF38" s="188"/>
      <c r="BRG38" s="188"/>
      <c r="BRH38" s="188"/>
      <c r="BRI38" s="188"/>
      <c r="BRJ38" s="188"/>
      <c r="BRK38" s="188"/>
      <c r="BRL38" s="188"/>
      <c r="BRM38" s="188"/>
      <c r="BRN38" s="188"/>
      <c r="BRO38" s="188"/>
      <c r="BRP38" s="188"/>
      <c r="BRQ38" s="188"/>
      <c r="BRR38" s="188"/>
      <c r="BRS38" s="188"/>
      <c r="BRT38" s="188"/>
      <c r="BRU38" s="188"/>
      <c r="BRV38" s="188"/>
      <c r="BRW38" s="188"/>
      <c r="BRX38" s="188"/>
      <c r="BRY38" s="188"/>
      <c r="BRZ38" s="188"/>
      <c r="BSA38" s="188"/>
      <c r="BSB38" s="188"/>
      <c r="BSC38" s="188"/>
      <c r="BSD38" s="188"/>
      <c r="BSE38" s="188"/>
      <c r="BSF38" s="188"/>
      <c r="BSG38" s="188"/>
      <c r="BSH38" s="188"/>
      <c r="BSI38" s="188"/>
      <c r="BSJ38" s="188"/>
      <c r="BSK38" s="188"/>
      <c r="BSL38" s="188"/>
      <c r="BSM38" s="188"/>
      <c r="BSN38" s="188"/>
      <c r="BSO38" s="188"/>
      <c r="BSP38" s="188"/>
      <c r="BSQ38" s="188"/>
      <c r="BSR38" s="188"/>
      <c r="BSS38" s="188"/>
      <c r="BST38" s="188"/>
      <c r="BSU38" s="188"/>
      <c r="BSV38" s="188"/>
      <c r="BSW38" s="188"/>
      <c r="BSX38" s="188"/>
      <c r="BSY38" s="188"/>
      <c r="BSZ38" s="188"/>
      <c r="BTA38" s="188"/>
      <c r="BTB38" s="188"/>
      <c r="BTC38" s="188"/>
      <c r="BTD38" s="188"/>
      <c r="BTE38" s="188"/>
      <c r="BTF38" s="188"/>
      <c r="BTG38" s="188"/>
      <c r="BTH38" s="188"/>
      <c r="BTI38" s="188"/>
      <c r="BTJ38" s="188"/>
      <c r="BTK38" s="188"/>
      <c r="BTL38" s="188"/>
      <c r="BTM38" s="188"/>
      <c r="BTN38" s="188"/>
      <c r="BTO38" s="188"/>
      <c r="BTP38" s="188"/>
      <c r="BTQ38" s="188"/>
      <c r="BTR38" s="188"/>
      <c r="BTS38" s="188"/>
      <c r="BTT38" s="188"/>
      <c r="BTU38" s="188"/>
      <c r="BTV38" s="188"/>
      <c r="BTW38" s="188"/>
      <c r="BTX38" s="188"/>
      <c r="BTY38" s="188"/>
      <c r="BTZ38" s="188"/>
      <c r="BUA38" s="188"/>
      <c r="BUB38" s="188"/>
      <c r="BUC38" s="188"/>
      <c r="BUD38" s="188"/>
      <c r="BUE38" s="188"/>
      <c r="BUF38" s="188"/>
      <c r="BUG38" s="188"/>
      <c r="BUH38" s="188"/>
      <c r="BUI38" s="188"/>
      <c r="BUJ38" s="188"/>
      <c r="BUK38" s="188"/>
      <c r="BUL38" s="188"/>
      <c r="BUM38" s="188"/>
      <c r="BUN38" s="188"/>
      <c r="BUO38" s="188"/>
      <c r="BUP38" s="188"/>
      <c r="BUQ38" s="188"/>
      <c r="BUR38" s="188"/>
      <c r="BUS38" s="188"/>
      <c r="BUT38" s="188"/>
      <c r="BUU38" s="188"/>
      <c r="BUV38" s="188"/>
      <c r="BUW38" s="188"/>
      <c r="BUX38" s="188"/>
      <c r="BUY38" s="188"/>
      <c r="BUZ38" s="188"/>
      <c r="BVA38" s="188"/>
      <c r="BVB38" s="188"/>
      <c r="BVC38" s="188"/>
      <c r="BVD38" s="188"/>
      <c r="BVE38" s="188"/>
      <c r="BVF38" s="188"/>
      <c r="BVG38" s="188"/>
      <c r="BVH38" s="188"/>
      <c r="BVI38" s="188"/>
      <c r="BVJ38" s="188"/>
      <c r="BVK38" s="188"/>
      <c r="BVL38" s="188"/>
      <c r="BVM38" s="188"/>
      <c r="BVN38" s="188"/>
      <c r="BVO38" s="188"/>
      <c r="BVP38" s="188"/>
      <c r="BVQ38" s="188"/>
      <c r="BVR38" s="188"/>
      <c r="BVS38" s="188"/>
      <c r="BVT38" s="188"/>
      <c r="BVU38" s="188"/>
      <c r="BVV38" s="188"/>
      <c r="BVW38" s="188"/>
      <c r="BVX38" s="188"/>
      <c r="BVY38" s="188"/>
      <c r="BVZ38" s="188"/>
      <c r="BWA38" s="188"/>
      <c r="BWB38" s="188"/>
      <c r="BWC38" s="188"/>
      <c r="BWD38" s="188"/>
      <c r="BWE38" s="188"/>
      <c r="BWF38" s="188"/>
      <c r="BWG38" s="188"/>
      <c r="BWH38" s="188"/>
      <c r="BWI38" s="188"/>
      <c r="BWJ38" s="188"/>
      <c r="BWK38" s="188"/>
      <c r="BWL38" s="188"/>
      <c r="BWM38" s="188"/>
      <c r="BWN38" s="188"/>
      <c r="BWO38" s="188"/>
      <c r="BWP38" s="188"/>
      <c r="BWQ38" s="188"/>
      <c r="BWR38" s="188"/>
      <c r="BWS38" s="188"/>
      <c r="BWT38" s="188"/>
      <c r="BWU38" s="188"/>
      <c r="BWV38" s="188"/>
      <c r="BWW38" s="188"/>
      <c r="BWX38" s="188"/>
      <c r="BWY38" s="188"/>
      <c r="BWZ38" s="188"/>
      <c r="BXA38" s="188"/>
      <c r="BXB38" s="188"/>
      <c r="BXC38" s="188"/>
      <c r="BXD38" s="188"/>
      <c r="BXE38" s="188"/>
      <c r="BXF38" s="188"/>
      <c r="BXG38" s="188"/>
      <c r="BXH38" s="188"/>
      <c r="BXI38" s="188"/>
      <c r="BXJ38" s="188"/>
      <c r="BXK38" s="188"/>
      <c r="BXL38" s="188"/>
      <c r="BXM38" s="188"/>
      <c r="BXN38" s="188"/>
      <c r="BXO38" s="188"/>
      <c r="BXP38" s="188"/>
      <c r="BXQ38" s="188"/>
      <c r="BXR38" s="188"/>
      <c r="BXS38" s="188"/>
      <c r="BXT38" s="188"/>
      <c r="BXU38" s="188"/>
      <c r="BXV38" s="188"/>
      <c r="BXW38" s="188"/>
      <c r="BXX38" s="188"/>
      <c r="BXY38" s="188"/>
      <c r="BXZ38" s="188"/>
      <c r="BYA38" s="188"/>
      <c r="BYB38" s="188"/>
      <c r="BYC38" s="188"/>
      <c r="BYD38" s="188"/>
      <c r="BYE38" s="188"/>
      <c r="BYF38" s="188"/>
      <c r="BYG38" s="188"/>
      <c r="BYH38" s="188"/>
      <c r="BYI38" s="188"/>
      <c r="BYJ38" s="188"/>
      <c r="BYK38" s="188"/>
      <c r="BYL38" s="188"/>
      <c r="BYM38" s="188"/>
      <c r="BYN38" s="188"/>
      <c r="BYO38" s="188"/>
      <c r="BYP38" s="188"/>
      <c r="BYQ38" s="188"/>
      <c r="BYR38" s="188"/>
      <c r="BYS38" s="188"/>
      <c r="BYT38" s="188"/>
      <c r="BYU38" s="188"/>
      <c r="BYV38" s="188"/>
      <c r="BYW38" s="188"/>
      <c r="BYX38" s="188"/>
      <c r="BYY38" s="188"/>
      <c r="BYZ38" s="188"/>
      <c r="BZA38" s="188"/>
      <c r="BZB38" s="188"/>
      <c r="BZC38" s="188"/>
      <c r="BZD38" s="188"/>
      <c r="BZE38" s="188"/>
      <c r="BZF38" s="188"/>
      <c r="BZG38" s="188"/>
      <c r="BZH38" s="188"/>
      <c r="BZI38" s="188"/>
      <c r="BZJ38" s="188"/>
      <c r="BZK38" s="188"/>
      <c r="BZL38" s="188"/>
      <c r="BZM38" s="188"/>
      <c r="BZN38" s="188"/>
      <c r="BZO38" s="188"/>
      <c r="BZP38" s="188"/>
      <c r="BZQ38" s="188"/>
      <c r="BZR38" s="188"/>
      <c r="BZS38" s="188"/>
      <c r="BZT38" s="188"/>
      <c r="BZU38" s="188"/>
      <c r="BZV38" s="188"/>
      <c r="BZW38" s="188"/>
      <c r="BZX38" s="188"/>
      <c r="BZY38" s="188"/>
      <c r="BZZ38" s="188"/>
      <c r="CAA38" s="188"/>
      <c r="CAB38" s="188"/>
      <c r="CAC38" s="188"/>
      <c r="CAD38" s="188"/>
      <c r="CAE38" s="188"/>
      <c r="CAF38" s="188"/>
      <c r="CAG38" s="188"/>
      <c r="CAH38" s="188"/>
      <c r="CAI38" s="188"/>
      <c r="CAJ38" s="188"/>
      <c r="CAK38" s="188"/>
      <c r="CAL38" s="188"/>
      <c r="CAM38" s="188"/>
      <c r="CAN38" s="188"/>
      <c r="CAO38" s="188"/>
      <c r="CAP38" s="188"/>
      <c r="CAQ38" s="188"/>
      <c r="CAR38" s="188"/>
      <c r="CAS38" s="188"/>
      <c r="CAT38" s="188"/>
      <c r="CAU38" s="188"/>
      <c r="CAV38" s="188"/>
      <c r="CAW38" s="188"/>
      <c r="CAX38" s="188"/>
      <c r="CAY38" s="188"/>
      <c r="CAZ38" s="188"/>
      <c r="CBA38" s="188"/>
      <c r="CBB38" s="188"/>
      <c r="CBC38" s="188"/>
      <c r="CBD38" s="188"/>
      <c r="CBE38" s="188"/>
      <c r="CBF38" s="188"/>
      <c r="CBG38" s="188"/>
      <c r="CBH38" s="188"/>
      <c r="CBI38" s="188"/>
      <c r="CBJ38" s="188"/>
      <c r="CBK38" s="188"/>
      <c r="CBL38" s="188"/>
      <c r="CBM38" s="188"/>
      <c r="CBN38" s="188"/>
      <c r="CBO38" s="188"/>
      <c r="CBP38" s="188"/>
      <c r="CBQ38" s="188"/>
      <c r="CBR38" s="188"/>
      <c r="CBS38" s="188"/>
      <c r="CBT38" s="188"/>
      <c r="CBU38" s="188"/>
      <c r="CBV38" s="188"/>
      <c r="CBW38" s="188"/>
      <c r="CBX38" s="188"/>
      <c r="CBY38" s="188"/>
      <c r="CBZ38" s="188"/>
      <c r="CCA38" s="188"/>
      <c r="CCB38" s="188"/>
      <c r="CCC38" s="188"/>
      <c r="CCD38" s="188"/>
      <c r="CCE38" s="188"/>
      <c r="CCF38" s="188"/>
      <c r="CCG38" s="188"/>
      <c r="CCH38" s="188"/>
      <c r="CCI38" s="188"/>
      <c r="CCJ38" s="188"/>
      <c r="CCK38" s="188"/>
      <c r="CCL38" s="188"/>
      <c r="CCM38" s="188"/>
      <c r="CCN38" s="188"/>
      <c r="CCO38" s="188"/>
      <c r="CCP38" s="188"/>
      <c r="CCQ38" s="188"/>
      <c r="CCR38" s="188"/>
      <c r="CCS38" s="188"/>
      <c r="CCT38" s="188"/>
      <c r="CCU38" s="188"/>
      <c r="CCV38" s="188"/>
      <c r="CCW38" s="188"/>
      <c r="CCX38" s="188"/>
      <c r="CCY38" s="188"/>
      <c r="CCZ38" s="188"/>
      <c r="CDA38" s="188"/>
      <c r="CDB38" s="188"/>
      <c r="CDC38" s="188"/>
      <c r="CDD38" s="188"/>
      <c r="CDE38" s="188"/>
      <c r="CDF38" s="188"/>
      <c r="CDG38" s="188"/>
      <c r="CDH38" s="188"/>
      <c r="CDI38" s="188"/>
      <c r="CDJ38" s="188"/>
      <c r="CDK38" s="188"/>
      <c r="CDL38" s="188"/>
      <c r="CDM38" s="188"/>
      <c r="CDN38" s="188"/>
      <c r="CDO38" s="188"/>
      <c r="CDP38" s="188"/>
      <c r="CDQ38" s="188"/>
      <c r="CDR38" s="188"/>
      <c r="CDS38" s="188"/>
      <c r="CDT38" s="188"/>
      <c r="CDU38" s="188"/>
      <c r="CDV38" s="188"/>
      <c r="CDW38" s="188"/>
      <c r="CDX38" s="188"/>
      <c r="CDY38" s="188"/>
      <c r="CDZ38" s="188"/>
      <c r="CEA38" s="188"/>
      <c r="CEB38" s="188"/>
      <c r="CEC38" s="188"/>
      <c r="CED38" s="188"/>
      <c r="CEE38" s="188"/>
      <c r="CEF38" s="188"/>
      <c r="CEG38" s="188"/>
      <c r="CEH38" s="188"/>
      <c r="CEI38" s="188"/>
      <c r="CEJ38" s="188"/>
      <c r="CEK38" s="188"/>
      <c r="CEL38" s="188"/>
      <c r="CEM38" s="188"/>
      <c r="CEN38" s="188"/>
      <c r="CEO38" s="188"/>
      <c r="CEP38" s="188"/>
      <c r="CEQ38" s="188"/>
      <c r="CER38" s="188"/>
      <c r="CES38" s="188"/>
      <c r="CET38" s="188"/>
      <c r="CEU38" s="188"/>
      <c r="CEV38" s="188"/>
      <c r="CEW38" s="188"/>
      <c r="CEX38" s="188"/>
      <c r="CEY38" s="188"/>
      <c r="CEZ38" s="188"/>
      <c r="CFA38" s="188"/>
      <c r="CFB38" s="188"/>
      <c r="CFC38" s="188"/>
      <c r="CFD38" s="188"/>
      <c r="CFE38" s="188"/>
      <c r="CFF38" s="188"/>
      <c r="CFG38" s="188"/>
      <c r="CFH38" s="188"/>
      <c r="CFI38" s="188"/>
      <c r="CFJ38" s="188"/>
      <c r="CFK38" s="188"/>
      <c r="CFL38" s="188"/>
      <c r="CFM38" s="188"/>
      <c r="CFN38" s="188"/>
      <c r="CFO38" s="188"/>
      <c r="CFP38" s="188"/>
      <c r="CFQ38" s="188"/>
      <c r="CFR38" s="188"/>
      <c r="CFS38" s="188"/>
      <c r="CFT38" s="188"/>
      <c r="CFU38" s="188"/>
      <c r="CFV38" s="188"/>
      <c r="CFW38" s="188"/>
      <c r="CFX38" s="188"/>
      <c r="CFY38" s="188"/>
      <c r="CFZ38" s="188"/>
      <c r="CGA38" s="188"/>
      <c r="CGB38" s="188"/>
      <c r="CGC38" s="188"/>
      <c r="CGD38" s="188"/>
      <c r="CGE38" s="188"/>
      <c r="CGF38" s="188"/>
      <c r="CGG38" s="188"/>
      <c r="CGH38" s="188"/>
      <c r="CGI38" s="188"/>
      <c r="CGJ38" s="188"/>
      <c r="CGK38" s="188"/>
      <c r="CGL38" s="188"/>
      <c r="CGM38" s="188"/>
      <c r="CGN38" s="188"/>
      <c r="CGO38" s="188"/>
      <c r="CGP38" s="188"/>
      <c r="CGQ38" s="188"/>
      <c r="CGR38" s="188"/>
      <c r="CGS38" s="188"/>
      <c r="CGT38" s="188"/>
      <c r="CGU38" s="188"/>
      <c r="CGV38" s="188"/>
      <c r="CGW38" s="188"/>
      <c r="CGX38" s="188"/>
      <c r="CGY38" s="188"/>
      <c r="CGZ38" s="188"/>
      <c r="CHA38" s="188"/>
      <c r="CHB38" s="188"/>
      <c r="CHC38" s="188"/>
      <c r="CHD38" s="188"/>
      <c r="CHE38" s="188"/>
      <c r="CHF38" s="188"/>
      <c r="CHG38" s="188"/>
      <c r="CHH38" s="188"/>
      <c r="CHI38" s="188"/>
      <c r="CHJ38" s="188"/>
      <c r="CHK38" s="188"/>
      <c r="CHL38" s="188"/>
      <c r="CHM38" s="188"/>
      <c r="CHN38" s="188"/>
      <c r="CHO38" s="188"/>
      <c r="CHP38" s="188"/>
      <c r="CHQ38" s="188"/>
      <c r="CHR38" s="188"/>
      <c r="CHS38" s="188"/>
      <c r="CHT38" s="188"/>
      <c r="CHU38" s="188"/>
      <c r="CHV38" s="188"/>
      <c r="CHW38" s="188"/>
      <c r="CHX38" s="188"/>
      <c r="CHY38" s="188"/>
      <c r="CHZ38" s="188"/>
      <c r="CIA38" s="188"/>
      <c r="CIB38" s="188"/>
      <c r="CIC38" s="188"/>
      <c r="CID38" s="188"/>
      <c r="CIE38" s="188"/>
      <c r="CIF38" s="188"/>
      <c r="CIG38" s="188"/>
      <c r="CIH38" s="188"/>
      <c r="CII38" s="188"/>
      <c r="CIJ38" s="188"/>
      <c r="CIK38" s="188"/>
      <c r="CIL38" s="188"/>
      <c r="CIM38" s="188"/>
      <c r="CIN38" s="188"/>
      <c r="CIO38" s="188"/>
      <c r="CIP38" s="188"/>
      <c r="CIQ38" s="188"/>
      <c r="CIR38" s="188"/>
      <c r="CIS38" s="188"/>
      <c r="CIT38" s="188"/>
      <c r="CIU38" s="188"/>
      <c r="CIV38" s="188"/>
      <c r="CIW38" s="188"/>
      <c r="CIX38" s="188"/>
      <c r="CIY38" s="188"/>
      <c r="CIZ38" s="188"/>
      <c r="CJA38" s="188"/>
      <c r="CJB38" s="188"/>
      <c r="CJC38" s="188"/>
      <c r="CJD38" s="188"/>
      <c r="CJE38" s="188"/>
      <c r="CJF38" s="188"/>
      <c r="CJG38" s="188"/>
      <c r="CJH38" s="188"/>
      <c r="CJI38" s="188"/>
      <c r="CJJ38" s="188"/>
      <c r="CJK38" s="188"/>
      <c r="CJL38" s="188"/>
      <c r="CJM38" s="188"/>
      <c r="CJN38" s="188"/>
      <c r="CJO38" s="188"/>
      <c r="CJP38" s="188"/>
      <c r="CJQ38" s="188"/>
      <c r="CJR38" s="188"/>
      <c r="CJS38" s="188"/>
      <c r="CJT38" s="188"/>
      <c r="CJU38" s="188"/>
      <c r="CJV38" s="188"/>
      <c r="CJW38" s="188"/>
      <c r="CJX38" s="188"/>
      <c r="CJY38" s="188"/>
      <c r="CJZ38" s="188"/>
      <c r="CKA38" s="188"/>
      <c r="CKB38" s="188"/>
      <c r="CKC38" s="188"/>
      <c r="CKD38" s="188"/>
      <c r="CKE38" s="188"/>
      <c r="CKF38" s="188"/>
      <c r="CKG38" s="188"/>
      <c r="CKH38" s="188"/>
      <c r="CKI38" s="188"/>
      <c r="CKJ38" s="188"/>
      <c r="CKK38" s="188"/>
      <c r="CKL38" s="188"/>
      <c r="CKM38" s="188"/>
      <c r="CKN38" s="188"/>
      <c r="CKO38" s="188"/>
      <c r="CKP38" s="188"/>
      <c r="CKQ38" s="188"/>
      <c r="CKR38" s="188"/>
      <c r="CKS38" s="188"/>
      <c r="CKT38" s="188"/>
      <c r="CKU38" s="188"/>
      <c r="CKV38" s="188"/>
      <c r="CKW38" s="188"/>
      <c r="CKX38" s="188"/>
      <c r="CKY38" s="188"/>
      <c r="CKZ38" s="188"/>
      <c r="CLA38" s="188"/>
      <c r="CLB38" s="188"/>
      <c r="CLC38" s="188"/>
      <c r="CLD38" s="188"/>
      <c r="CLE38" s="188"/>
      <c r="CLF38" s="188"/>
      <c r="CLG38" s="188"/>
      <c r="CLH38" s="188"/>
      <c r="CLI38" s="188"/>
      <c r="CLJ38" s="188"/>
      <c r="CLK38" s="188"/>
      <c r="CLL38" s="188"/>
      <c r="CLM38" s="188"/>
      <c r="CLN38" s="188"/>
      <c r="CLO38" s="188"/>
      <c r="CLP38" s="188"/>
      <c r="CLQ38" s="188"/>
      <c r="CLR38" s="188"/>
      <c r="CLS38" s="188"/>
      <c r="CLT38" s="188"/>
      <c r="CLU38" s="188"/>
      <c r="CLV38" s="188"/>
      <c r="CLW38" s="188"/>
      <c r="CLX38" s="188"/>
      <c r="CLY38" s="188"/>
      <c r="CLZ38" s="188"/>
      <c r="CMA38" s="188"/>
      <c r="CMB38" s="188"/>
      <c r="CMC38" s="188"/>
      <c r="CMD38" s="188"/>
      <c r="CME38" s="188"/>
      <c r="CMF38" s="188"/>
      <c r="CMG38" s="188"/>
      <c r="CMH38" s="188"/>
      <c r="CMI38" s="188"/>
      <c r="CMJ38" s="188"/>
      <c r="CMK38" s="188"/>
      <c r="CML38" s="188"/>
      <c r="CMM38" s="188"/>
      <c r="CMN38" s="188"/>
      <c r="CMO38" s="188"/>
      <c r="CMP38" s="188"/>
      <c r="CMQ38" s="188"/>
      <c r="CMR38" s="188"/>
      <c r="CMS38" s="188"/>
      <c r="CMT38" s="188"/>
      <c r="CMU38" s="188"/>
      <c r="CMV38" s="188"/>
      <c r="CMW38" s="188"/>
      <c r="CMX38" s="188"/>
      <c r="CMY38" s="188"/>
      <c r="CMZ38" s="188"/>
      <c r="CNA38" s="188"/>
      <c r="CNB38" s="188"/>
      <c r="CNC38" s="188"/>
      <c r="CND38" s="188"/>
      <c r="CNE38" s="188"/>
      <c r="CNF38" s="188"/>
      <c r="CNG38" s="188"/>
      <c r="CNH38" s="188"/>
      <c r="CNI38" s="188"/>
      <c r="CNJ38" s="188"/>
      <c r="CNK38" s="188"/>
      <c r="CNL38" s="188"/>
      <c r="CNM38" s="188"/>
      <c r="CNN38" s="188"/>
      <c r="CNO38" s="188"/>
      <c r="CNP38" s="188"/>
      <c r="CNQ38" s="188"/>
      <c r="CNR38" s="188"/>
      <c r="CNS38" s="188"/>
      <c r="CNT38" s="188"/>
      <c r="CNU38" s="188"/>
      <c r="CNV38" s="188"/>
      <c r="CNW38" s="188"/>
      <c r="CNX38" s="188"/>
      <c r="CNY38" s="188"/>
      <c r="CNZ38" s="188"/>
      <c r="COA38" s="188"/>
      <c r="COB38" s="188"/>
      <c r="COC38" s="188"/>
      <c r="COD38" s="188"/>
      <c r="COE38" s="188"/>
      <c r="COF38" s="188"/>
      <c r="COG38" s="188"/>
      <c r="COH38" s="188"/>
      <c r="COI38" s="188"/>
      <c r="COJ38" s="188"/>
      <c r="COK38" s="188"/>
      <c r="COL38" s="188"/>
      <c r="COM38" s="188"/>
      <c r="CON38" s="188"/>
      <c r="COO38" s="188"/>
      <c r="COP38" s="188"/>
      <c r="COQ38" s="188"/>
      <c r="COR38" s="188"/>
      <c r="COS38" s="188"/>
      <c r="COT38" s="188"/>
      <c r="COU38" s="188"/>
      <c r="COV38" s="188"/>
      <c r="COW38" s="188"/>
      <c r="COX38" s="188"/>
      <c r="COY38" s="188"/>
      <c r="COZ38" s="188"/>
      <c r="CPA38" s="188"/>
      <c r="CPB38" s="188"/>
      <c r="CPC38" s="188"/>
      <c r="CPD38" s="188"/>
      <c r="CPE38" s="188"/>
      <c r="CPF38" s="188"/>
      <c r="CPG38" s="188"/>
      <c r="CPH38" s="188"/>
      <c r="CPI38" s="188"/>
      <c r="CPJ38" s="188"/>
      <c r="CPK38" s="188"/>
      <c r="CPL38" s="188"/>
      <c r="CPM38" s="188"/>
      <c r="CPN38" s="188"/>
      <c r="CPO38" s="188"/>
      <c r="CPP38" s="188"/>
      <c r="CPQ38" s="188"/>
      <c r="CPR38" s="188"/>
      <c r="CPS38" s="188"/>
      <c r="CPT38" s="188"/>
      <c r="CPU38" s="188"/>
      <c r="CPV38" s="188"/>
      <c r="CPW38" s="188"/>
      <c r="CPX38" s="188"/>
      <c r="CPY38" s="188"/>
      <c r="CPZ38" s="188"/>
      <c r="CQA38" s="188"/>
      <c r="CQB38" s="188"/>
      <c r="CQC38" s="188"/>
      <c r="CQD38" s="188"/>
      <c r="CQE38" s="188"/>
      <c r="CQF38" s="188"/>
      <c r="CQG38" s="188"/>
      <c r="CQH38" s="188"/>
      <c r="CQI38" s="188"/>
      <c r="CQJ38" s="188"/>
      <c r="CQK38" s="188"/>
      <c r="CQL38" s="188"/>
      <c r="CQM38" s="188"/>
      <c r="CQN38" s="188"/>
      <c r="CQO38" s="188"/>
      <c r="CQP38" s="188"/>
      <c r="CQQ38" s="188"/>
      <c r="CQR38" s="188"/>
      <c r="CQS38" s="188"/>
      <c r="CQT38" s="188"/>
      <c r="CQU38" s="188"/>
      <c r="CQV38" s="188"/>
      <c r="CQW38" s="188"/>
      <c r="CQX38" s="188"/>
      <c r="CQY38" s="188"/>
      <c r="CQZ38" s="188"/>
      <c r="CRA38" s="188"/>
      <c r="CRB38" s="188"/>
      <c r="CRC38" s="188"/>
      <c r="CRD38" s="188"/>
      <c r="CRE38" s="188"/>
      <c r="CRF38" s="188"/>
      <c r="CRG38" s="188"/>
      <c r="CRH38" s="188"/>
      <c r="CRI38" s="188"/>
      <c r="CRJ38" s="188"/>
      <c r="CRK38" s="188"/>
      <c r="CRL38" s="188"/>
      <c r="CRM38" s="188"/>
      <c r="CRN38" s="188"/>
      <c r="CRO38" s="188"/>
      <c r="CRP38" s="188"/>
      <c r="CRQ38" s="188"/>
      <c r="CRR38" s="188"/>
      <c r="CRS38" s="188"/>
      <c r="CRT38" s="188"/>
      <c r="CRU38" s="188"/>
      <c r="CRV38" s="188"/>
      <c r="CRW38" s="188"/>
      <c r="CRX38" s="188"/>
      <c r="CRY38" s="188"/>
      <c r="CRZ38" s="188"/>
      <c r="CSA38" s="188"/>
      <c r="CSB38" s="188"/>
      <c r="CSC38" s="188"/>
      <c r="CSD38" s="188"/>
      <c r="CSE38" s="188"/>
      <c r="CSF38" s="188"/>
      <c r="CSG38" s="188"/>
      <c r="CSH38" s="188"/>
      <c r="CSI38" s="188"/>
      <c r="CSJ38" s="188"/>
      <c r="CSK38" s="188"/>
      <c r="CSL38" s="188"/>
      <c r="CSM38" s="188"/>
      <c r="CSN38" s="188"/>
      <c r="CSO38" s="188"/>
      <c r="CSP38" s="188"/>
      <c r="CSQ38" s="188"/>
      <c r="CSR38" s="188"/>
      <c r="CSS38" s="188"/>
      <c r="CST38" s="188"/>
      <c r="CSU38" s="188"/>
      <c r="CSV38" s="188"/>
      <c r="CSW38" s="188"/>
      <c r="CSX38" s="188"/>
      <c r="CSY38" s="188"/>
      <c r="CSZ38" s="188"/>
      <c r="CTA38" s="188"/>
      <c r="CTB38" s="188"/>
      <c r="CTC38" s="188"/>
      <c r="CTD38" s="188"/>
      <c r="CTE38" s="188"/>
      <c r="CTF38" s="188"/>
      <c r="CTG38" s="188"/>
      <c r="CTH38" s="188"/>
      <c r="CTI38" s="188"/>
      <c r="CTJ38" s="188"/>
      <c r="CTK38" s="188"/>
      <c r="CTL38" s="188"/>
      <c r="CTM38" s="188"/>
      <c r="CTN38" s="188"/>
      <c r="CTO38" s="188"/>
      <c r="CTP38" s="188"/>
      <c r="CTQ38" s="188"/>
      <c r="CTR38" s="188"/>
      <c r="CTS38" s="188"/>
      <c r="CTT38" s="188"/>
      <c r="CTU38" s="188"/>
      <c r="CTV38" s="188"/>
      <c r="CTW38" s="188"/>
      <c r="CTX38" s="188"/>
      <c r="CTY38" s="188"/>
      <c r="CTZ38" s="188"/>
      <c r="CUA38" s="188"/>
    </row>
    <row r="39" s="189" customFormat="1" spans="1:1024 1025:2575">
      <c r="A39" s="216" t="s">
        <v>32</v>
      </c>
      <c r="B39" s="84">
        <f t="shared" ref="B39:B48" si="31">B34+1</f>
        <v>9</v>
      </c>
      <c r="C39" s="217">
        <f t="shared" si="26"/>
        <v>45517</v>
      </c>
      <c r="D39" s="218">
        <f t="shared" si="22"/>
        <v>45523</v>
      </c>
      <c r="E39" s="219">
        <v>1280</v>
      </c>
      <c r="F39" s="220">
        <f t="shared" si="27"/>
        <v>45537</v>
      </c>
      <c r="G39" s="219">
        <v>1025</v>
      </c>
      <c r="H39" s="54">
        <f t="shared" si="10"/>
        <v>0.80078125</v>
      </c>
      <c r="I39" s="218">
        <f t="shared" si="28"/>
        <v>45554</v>
      </c>
      <c r="J39" s="219">
        <v>960</v>
      </c>
      <c r="K39" s="54">
        <f t="shared" si="0"/>
        <v>0.75</v>
      </c>
      <c r="L39" s="218">
        <f t="shared" si="29"/>
        <v>45557</v>
      </c>
      <c r="M39" s="219">
        <v>928</v>
      </c>
      <c r="N39" s="219">
        <v>6780</v>
      </c>
      <c r="O39" s="54">
        <f t="shared" si="1"/>
        <v>0.725</v>
      </c>
      <c r="P39" s="54">
        <f t="shared" si="7"/>
        <v>0.07578125</v>
      </c>
      <c r="Q39" s="221">
        <f t="shared" si="2"/>
        <v>7.30603448275862</v>
      </c>
      <c r="R39" s="218">
        <f t="shared" si="30"/>
        <v>45589</v>
      </c>
      <c r="S39" s="203">
        <v>6525</v>
      </c>
      <c r="T39" s="84">
        <v>874</v>
      </c>
      <c r="U39" s="54">
        <f t="shared" si="3"/>
        <v>0.962389380530973</v>
      </c>
      <c r="V39" s="218">
        <f t="shared" si="19"/>
        <v>45624</v>
      </c>
      <c r="W39" s="203">
        <v>6328</v>
      </c>
      <c r="X39" s="54">
        <f t="shared" si="4"/>
        <v>0.969808429118774</v>
      </c>
      <c r="Y39" s="84">
        <v>15591</v>
      </c>
      <c r="Z39" s="203">
        <v>14.7</v>
      </c>
      <c r="AA39" s="8">
        <v>2.49</v>
      </c>
      <c r="AB39" s="8">
        <f t="shared" si="5"/>
        <v>4.94375</v>
      </c>
      <c r="AC39" s="8">
        <v>3.45</v>
      </c>
      <c r="AD39" s="203">
        <v>3.19</v>
      </c>
      <c r="AE39" s="222" t="s">
        <v>55</v>
      </c>
      <c r="AF39" s="203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  <c r="BD39" s="188"/>
      <c r="BE39" s="188"/>
      <c r="BF39" s="188"/>
      <c r="BG39" s="188"/>
      <c r="BH39" s="188"/>
      <c r="BI39" s="188"/>
      <c r="BJ39" s="188"/>
      <c r="BK39" s="188"/>
      <c r="BL39" s="188"/>
      <c r="BM39" s="188"/>
      <c r="BN39" s="188"/>
      <c r="BO39" s="188"/>
      <c r="BP39" s="188"/>
      <c r="BQ39" s="188"/>
      <c r="BR39" s="188"/>
      <c r="BS39" s="188"/>
      <c r="BT39" s="188"/>
      <c r="BU39" s="188"/>
      <c r="BV39" s="188"/>
      <c r="BW39" s="188"/>
      <c r="BX39" s="188"/>
      <c r="BY39" s="188"/>
      <c r="BZ39" s="188"/>
      <c r="CA39" s="188"/>
      <c r="CB39" s="188"/>
      <c r="CC39" s="188"/>
      <c r="CD39" s="188"/>
      <c r="CE39" s="188"/>
      <c r="CF39" s="188"/>
      <c r="CG39" s="188"/>
      <c r="CH39" s="188"/>
      <c r="CI39" s="188"/>
      <c r="CJ39" s="188"/>
      <c r="CK39" s="188"/>
      <c r="CL39" s="188"/>
      <c r="CM39" s="188"/>
      <c r="CN39" s="188"/>
      <c r="CO39" s="188"/>
      <c r="CP39" s="188"/>
      <c r="CQ39" s="188"/>
      <c r="CR39" s="188"/>
      <c r="CS39" s="188"/>
      <c r="CT39" s="188"/>
      <c r="CU39" s="188"/>
      <c r="CV39" s="188"/>
      <c r="CW39" s="188"/>
      <c r="CX39" s="188"/>
      <c r="CY39" s="188"/>
      <c r="CZ39" s="188"/>
      <c r="DA39" s="188"/>
      <c r="DB39" s="188"/>
      <c r="DC39" s="188"/>
      <c r="DD39" s="188"/>
      <c r="DE39" s="188"/>
      <c r="DF39" s="188"/>
      <c r="DG39" s="188"/>
      <c r="DH39" s="188"/>
      <c r="DI39" s="188"/>
      <c r="DJ39" s="188"/>
      <c r="DK39" s="188"/>
      <c r="DL39" s="188"/>
      <c r="DM39" s="188"/>
      <c r="DN39" s="188"/>
      <c r="DO39" s="188"/>
      <c r="DP39" s="188"/>
      <c r="DQ39" s="188"/>
      <c r="DR39" s="188"/>
      <c r="DS39" s="188"/>
      <c r="DT39" s="188"/>
      <c r="DU39" s="188"/>
      <c r="DV39" s="188"/>
      <c r="DW39" s="188"/>
      <c r="DX39" s="188"/>
      <c r="DY39" s="188"/>
      <c r="DZ39" s="188"/>
      <c r="EA39" s="188"/>
      <c r="EB39" s="188"/>
      <c r="EC39" s="188"/>
      <c r="ED39" s="188"/>
      <c r="EE39" s="188"/>
      <c r="EF39" s="188"/>
      <c r="EG39" s="188"/>
      <c r="EH39" s="188"/>
      <c r="EI39" s="188"/>
      <c r="EJ39" s="188"/>
      <c r="EK39" s="188"/>
      <c r="EL39" s="188"/>
      <c r="EM39" s="188"/>
      <c r="EN39" s="188"/>
      <c r="EO39" s="188"/>
      <c r="EP39" s="188"/>
      <c r="EQ39" s="188"/>
      <c r="ER39" s="188"/>
      <c r="ES39" s="188"/>
      <c r="ET39" s="188"/>
      <c r="EU39" s="188"/>
      <c r="EV39" s="188"/>
      <c r="EW39" s="188"/>
      <c r="EX39" s="188"/>
      <c r="EY39" s="188"/>
      <c r="EZ39" s="188"/>
      <c r="FA39" s="188"/>
      <c r="FB39" s="188"/>
      <c r="FC39" s="188"/>
      <c r="FD39" s="188"/>
      <c r="FE39" s="188"/>
      <c r="FF39" s="188"/>
      <c r="FG39" s="188"/>
      <c r="FH39" s="188"/>
      <c r="FI39" s="188"/>
      <c r="FJ39" s="188"/>
      <c r="FK39" s="188"/>
      <c r="FL39" s="188"/>
      <c r="FM39" s="188"/>
      <c r="FN39" s="188"/>
      <c r="FO39" s="188"/>
      <c r="FP39" s="188"/>
      <c r="FQ39" s="188"/>
      <c r="FR39" s="188"/>
      <c r="FS39" s="188"/>
      <c r="FT39" s="188"/>
      <c r="FU39" s="188"/>
      <c r="FV39" s="188"/>
      <c r="FW39" s="188"/>
      <c r="FX39" s="188"/>
      <c r="FY39" s="188"/>
      <c r="FZ39" s="188"/>
      <c r="GA39" s="188"/>
      <c r="GB39" s="188"/>
      <c r="GC39" s="188"/>
      <c r="GD39" s="188"/>
      <c r="GE39" s="188"/>
      <c r="GF39" s="188"/>
      <c r="GG39" s="188"/>
      <c r="GH39" s="188"/>
      <c r="GI39" s="188"/>
      <c r="GJ39" s="188"/>
      <c r="GK39" s="188"/>
      <c r="GL39" s="188"/>
      <c r="GM39" s="188"/>
      <c r="GN39" s="188"/>
      <c r="GO39" s="188"/>
      <c r="GP39" s="188"/>
      <c r="GQ39" s="188"/>
      <c r="GR39" s="188"/>
      <c r="GS39" s="188"/>
      <c r="GT39" s="188"/>
      <c r="GU39" s="188"/>
      <c r="GV39" s="188"/>
      <c r="GW39" s="188"/>
      <c r="GX39" s="188"/>
      <c r="GY39" s="188"/>
      <c r="GZ39" s="188"/>
      <c r="HA39" s="188"/>
      <c r="HB39" s="188"/>
      <c r="HC39" s="188"/>
      <c r="HD39" s="188"/>
      <c r="HE39" s="188"/>
      <c r="HF39" s="188"/>
      <c r="HG39" s="188"/>
      <c r="HH39" s="188"/>
      <c r="HI39" s="188"/>
      <c r="HJ39" s="188"/>
      <c r="HK39" s="188"/>
      <c r="HL39" s="188"/>
      <c r="HM39" s="188"/>
      <c r="HN39" s="188"/>
      <c r="HO39" s="188"/>
      <c r="HP39" s="188"/>
      <c r="HQ39" s="188"/>
      <c r="HR39" s="188"/>
      <c r="HS39" s="188"/>
      <c r="HT39" s="188"/>
      <c r="HU39" s="188"/>
      <c r="HV39" s="188"/>
      <c r="HW39" s="188"/>
      <c r="HX39" s="188"/>
      <c r="HY39" s="188"/>
      <c r="HZ39" s="188"/>
      <c r="IA39" s="188"/>
      <c r="IB39" s="188"/>
      <c r="IC39" s="188"/>
      <c r="ID39" s="188"/>
      <c r="IE39" s="188"/>
      <c r="IF39" s="188"/>
      <c r="IG39" s="188"/>
      <c r="IH39" s="188"/>
      <c r="II39" s="188"/>
      <c r="IJ39" s="188"/>
      <c r="IK39" s="188"/>
      <c r="IL39" s="188"/>
      <c r="IM39" s="188"/>
      <c r="IN39" s="188"/>
      <c r="IO39" s="188"/>
      <c r="IP39" s="188"/>
      <c r="IQ39" s="188"/>
      <c r="IR39" s="188"/>
      <c r="IS39" s="188"/>
      <c r="IT39" s="188"/>
      <c r="IU39" s="188"/>
      <c r="IV39" s="188"/>
      <c r="IW39" s="188"/>
      <c r="IX39" s="188"/>
      <c r="IY39" s="188"/>
      <c r="IZ39" s="188"/>
      <c r="JA39" s="188"/>
      <c r="JB39" s="188"/>
      <c r="JC39" s="188"/>
      <c r="JD39" s="188"/>
      <c r="JE39" s="188"/>
      <c r="JF39" s="188"/>
      <c r="JG39" s="188"/>
      <c r="JH39" s="188"/>
      <c r="JI39" s="188"/>
      <c r="JJ39" s="188"/>
      <c r="JK39" s="188"/>
      <c r="JL39" s="188"/>
      <c r="JM39" s="188"/>
      <c r="JN39" s="188"/>
      <c r="JO39" s="188"/>
      <c r="JP39" s="188"/>
      <c r="JQ39" s="188"/>
      <c r="JR39" s="188"/>
      <c r="JS39" s="188"/>
      <c r="JT39" s="188"/>
      <c r="JU39" s="188"/>
      <c r="JV39" s="188"/>
      <c r="JW39" s="188"/>
      <c r="JX39" s="188"/>
      <c r="JY39" s="188"/>
      <c r="JZ39" s="188"/>
      <c r="KA39" s="188"/>
      <c r="KB39" s="188"/>
      <c r="KC39" s="188"/>
      <c r="KD39" s="188"/>
      <c r="KE39" s="188"/>
      <c r="KF39" s="188"/>
      <c r="KG39" s="188"/>
      <c r="KH39" s="188"/>
      <c r="KI39" s="188"/>
      <c r="KJ39" s="188"/>
      <c r="KK39" s="188"/>
      <c r="KL39" s="188"/>
      <c r="KM39" s="188"/>
      <c r="KN39" s="188"/>
      <c r="KO39" s="188"/>
      <c r="KP39" s="188"/>
      <c r="KQ39" s="188"/>
      <c r="KR39" s="188"/>
      <c r="KS39" s="188"/>
      <c r="KT39" s="188"/>
      <c r="KU39" s="188"/>
      <c r="KV39" s="188"/>
      <c r="KW39" s="188"/>
      <c r="KX39" s="188"/>
      <c r="KY39" s="188"/>
      <c r="KZ39" s="188"/>
      <c r="LA39" s="188"/>
      <c r="LB39" s="188"/>
      <c r="LC39" s="188"/>
      <c r="LD39" s="188"/>
      <c r="LE39" s="188"/>
      <c r="LF39" s="188"/>
      <c r="LG39" s="188"/>
      <c r="LH39" s="188"/>
      <c r="LI39" s="188"/>
      <c r="LJ39" s="188"/>
      <c r="LK39" s="188"/>
      <c r="LL39" s="188"/>
      <c r="LM39" s="188"/>
      <c r="LN39" s="188"/>
      <c r="LO39" s="188"/>
      <c r="LP39" s="188"/>
      <c r="LQ39" s="188"/>
      <c r="LR39" s="188"/>
      <c r="LS39" s="188"/>
      <c r="LT39" s="188"/>
      <c r="LU39" s="188"/>
      <c r="LV39" s="188"/>
      <c r="LW39" s="188"/>
      <c r="LX39" s="188"/>
      <c r="LY39" s="188"/>
      <c r="LZ39" s="188"/>
      <c r="MA39" s="188"/>
      <c r="MB39" s="188"/>
      <c r="MC39" s="188"/>
      <c r="MD39" s="188"/>
      <c r="ME39" s="188"/>
      <c r="MF39" s="188"/>
      <c r="MG39" s="188"/>
      <c r="MH39" s="188"/>
      <c r="MI39" s="188"/>
      <c r="MJ39" s="188"/>
      <c r="MK39" s="188"/>
      <c r="ML39" s="188"/>
      <c r="MM39" s="188"/>
      <c r="MN39" s="188"/>
      <c r="MO39" s="188"/>
      <c r="MP39" s="188"/>
      <c r="MQ39" s="188"/>
      <c r="MR39" s="188"/>
      <c r="MS39" s="188"/>
      <c r="MT39" s="188"/>
      <c r="MU39" s="188"/>
      <c r="MV39" s="188"/>
      <c r="MW39" s="188"/>
      <c r="MX39" s="188"/>
      <c r="MY39" s="188"/>
      <c r="MZ39" s="188"/>
      <c r="NA39" s="188"/>
      <c r="NB39" s="188"/>
      <c r="NC39" s="188"/>
      <c r="ND39" s="188"/>
      <c r="NE39" s="188"/>
      <c r="NF39" s="188"/>
      <c r="NG39" s="188"/>
      <c r="NH39" s="188"/>
      <c r="NI39" s="188"/>
      <c r="NJ39" s="188"/>
      <c r="NK39" s="188"/>
      <c r="NL39" s="188"/>
      <c r="NM39" s="188"/>
      <c r="NN39" s="188"/>
      <c r="NO39" s="188"/>
      <c r="NP39" s="188"/>
      <c r="NQ39" s="188"/>
      <c r="NR39" s="188"/>
      <c r="NS39" s="188"/>
      <c r="NT39" s="188"/>
      <c r="NU39" s="188"/>
      <c r="NV39" s="188"/>
      <c r="NW39" s="188"/>
      <c r="NX39" s="188"/>
      <c r="NY39" s="188"/>
      <c r="NZ39" s="188"/>
      <c r="OA39" s="188"/>
      <c r="OB39" s="188"/>
      <c r="OC39" s="188"/>
      <c r="OD39" s="188"/>
      <c r="OE39" s="188"/>
      <c r="OF39" s="188"/>
      <c r="OG39" s="188"/>
      <c r="OH39" s="188"/>
      <c r="OI39" s="188"/>
      <c r="OJ39" s="188"/>
      <c r="OK39" s="188"/>
      <c r="OL39" s="188"/>
      <c r="OM39" s="188"/>
      <c r="ON39" s="188"/>
      <c r="OO39" s="188"/>
      <c r="OP39" s="188"/>
      <c r="OQ39" s="188"/>
      <c r="OR39" s="188"/>
      <c r="OS39" s="188"/>
      <c r="OT39" s="188"/>
      <c r="OU39" s="188"/>
      <c r="OV39" s="188"/>
      <c r="OW39" s="188"/>
      <c r="OX39" s="188"/>
      <c r="OY39" s="188"/>
      <c r="OZ39" s="188"/>
      <c r="PA39" s="188"/>
      <c r="PB39" s="188"/>
      <c r="PC39" s="188"/>
      <c r="PD39" s="188"/>
      <c r="PE39" s="188"/>
      <c r="PF39" s="188"/>
      <c r="PG39" s="188"/>
      <c r="PH39" s="188"/>
      <c r="PI39" s="188"/>
      <c r="PJ39" s="188"/>
      <c r="PK39" s="188"/>
      <c r="PL39" s="188"/>
      <c r="PM39" s="188"/>
      <c r="PN39" s="188"/>
      <c r="PO39" s="188"/>
      <c r="PP39" s="188"/>
      <c r="PQ39" s="188"/>
      <c r="PR39" s="188"/>
      <c r="PS39" s="188"/>
      <c r="PT39" s="188"/>
      <c r="PU39" s="188"/>
      <c r="PV39" s="188"/>
      <c r="PW39" s="188"/>
      <c r="PX39" s="188"/>
      <c r="PY39" s="188"/>
      <c r="PZ39" s="188"/>
      <c r="QA39" s="188"/>
      <c r="QB39" s="188"/>
      <c r="QC39" s="188"/>
      <c r="QD39" s="188"/>
      <c r="QE39" s="188"/>
      <c r="QF39" s="188"/>
      <c r="QG39" s="188"/>
      <c r="QH39" s="188"/>
      <c r="QI39" s="188"/>
      <c r="QJ39" s="188"/>
      <c r="QK39" s="188"/>
      <c r="QL39" s="188"/>
      <c r="QM39" s="188"/>
      <c r="QN39" s="188"/>
      <c r="QO39" s="188"/>
      <c r="QP39" s="188"/>
      <c r="QQ39" s="188"/>
      <c r="QR39" s="188"/>
      <c r="QS39" s="188"/>
      <c r="QT39" s="188"/>
      <c r="QU39" s="188"/>
      <c r="QV39" s="188"/>
      <c r="QW39" s="188"/>
      <c r="QX39" s="188"/>
      <c r="QY39" s="188"/>
      <c r="QZ39" s="188"/>
      <c r="RA39" s="188"/>
      <c r="RB39" s="188"/>
      <c r="RC39" s="188"/>
      <c r="RD39" s="188"/>
      <c r="RE39" s="188"/>
      <c r="RF39" s="188"/>
      <c r="RG39" s="188"/>
      <c r="RH39" s="188"/>
      <c r="RI39" s="188"/>
      <c r="RJ39" s="188"/>
      <c r="RK39" s="188"/>
      <c r="RL39" s="188"/>
      <c r="RM39" s="188"/>
      <c r="RN39" s="188"/>
      <c r="RO39" s="188"/>
      <c r="RP39" s="188"/>
      <c r="RQ39" s="188"/>
      <c r="RR39" s="188"/>
      <c r="RS39" s="188"/>
      <c r="RT39" s="188"/>
      <c r="RU39" s="188"/>
      <c r="RV39" s="188"/>
      <c r="RW39" s="188"/>
      <c r="RX39" s="188"/>
      <c r="RY39" s="188"/>
      <c r="RZ39" s="188"/>
      <c r="SA39" s="188"/>
      <c r="SB39" s="188"/>
      <c r="SC39" s="188"/>
      <c r="SD39" s="188"/>
      <c r="SE39" s="188"/>
      <c r="SF39" s="188"/>
      <c r="SG39" s="188"/>
      <c r="SH39" s="188"/>
      <c r="SI39" s="188"/>
      <c r="SJ39" s="188"/>
      <c r="SK39" s="188"/>
      <c r="SL39" s="188"/>
      <c r="SM39" s="188"/>
      <c r="SN39" s="188"/>
      <c r="SO39" s="188"/>
      <c r="SP39" s="188"/>
      <c r="SQ39" s="188"/>
      <c r="SR39" s="188"/>
      <c r="SS39" s="188"/>
      <c r="ST39" s="188"/>
      <c r="SU39" s="188"/>
      <c r="SV39" s="188"/>
      <c r="SW39" s="188"/>
      <c r="SX39" s="188"/>
      <c r="SY39" s="188"/>
      <c r="SZ39" s="188"/>
      <c r="TA39" s="188"/>
      <c r="TB39" s="188"/>
      <c r="TC39" s="188"/>
      <c r="TD39" s="188"/>
      <c r="TE39" s="188"/>
      <c r="TF39" s="188"/>
      <c r="TG39" s="188"/>
      <c r="TH39" s="188"/>
      <c r="TI39" s="188"/>
      <c r="TJ39" s="188"/>
      <c r="TK39" s="188"/>
      <c r="TL39" s="188"/>
      <c r="TM39" s="188"/>
      <c r="TN39" s="188"/>
      <c r="TO39" s="188"/>
      <c r="TP39" s="188"/>
      <c r="TQ39" s="188"/>
      <c r="TR39" s="188"/>
      <c r="TS39" s="188"/>
      <c r="TT39" s="188"/>
      <c r="TU39" s="188"/>
      <c r="TV39" s="188"/>
      <c r="TW39" s="188"/>
      <c r="TX39" s="188"/>
      <c r="TY39" s="188"/>
      <c r="TZ39" s="188"/>
      <c r="UA39" s="188"/>
      <c r="UB39" s="188"/>
      <c r="UC39" s="188"/>
      <c r="UD39" s="188"/>
      <c r="UE39" s="188"/>
      <c r="UF39" s="188"/>
      <c r="UG39" s="188"/>
      <c r="UH39" s="188"/>
      <c r="UI39" s="188"/>
      <c r="UJ39" s="188"/>
      <c r="UK39" s="188"/>
      <c r="UL39" s="188"/>
      <c r="UM39" s="188"/>
      <c r="UN39" s="188"/>
      <c r="UO39" s="188"/>
      <c r="UP39" s="188"/>
      <c r="UQ39" s="188"/>
      <c r="UR39" s="188"/>
      <c r="US39" s="188"/>
      <c r="UT39" s="188"/>
      <c r="UU39" s="188"/>
      <c r="UV39" s="188"/>
      <c r="UW39" s="188"/>
      <c r="UX39" s="188"/>
      <c r="UY39" s="188"/>
      <c r="UZ39" s="188"/>
      <c r="VA39" s="188"/>
      <c r="VB39" s="188"/>
      <c r="VC39" s="188"/>
      <c r="VD39" s="188"/>
      <c r="VE39" s="188"/>
      <c r="VF39" s="188"/>
      <c r="VG39" s="188"/>
      <c r="VH39" s="188"/>
      <c r="VI39" s="188"/>
      <c r="VJ39" s="188"/>
      <c r="VK39" s="188"/>
      <c r="VL39" s="188"/>
      <c r="VM39" s="188"/>
      <c r="VN39" s="188"/>
      <c r="VO39" s="188"/>
      <c r="VP39" s="188"/>
      <c r="VQ39" s="188"/>
      <c r="VR39" s="188"/>
      <c r="VS39" s="188"/>
      <c r="VT39" s="188"/>
      <c r="VU39" s="188"/>
      <c r="VV39" s="188"/>
      <c r="VW39" s="188"/>
      <c r="VX39" s="188"/>
      <c r="VY39" s="188"/>
      <c r="VZ39" s="188"/>
      <c r="WA39" s="188"/>
      <c r="WB39" s="188"/>
      <c r="WC39" s="188"/>
      <c r="WD39" s="188"/>
      <c r="WE39" s="188"/>
      <c r="WF39" s="188"/>
      <c r="WG39" s="188"/>
      <c r="WH39" s="188"/>
      <c r="WI39" s="188"/>
      <c r="WJ39" s="188"/>
      <c r="WK39" s="188"/>
      <c r="WL39" s="188"/>
      <c r="WM39" s="188"/>
      <c r="WN39" s="188"/>
      <c r="WO39" s="188"/>
      <c r="WP39" s="188"/>
      <c r="WQ39" s="188"/>
      <c r="WR39" s="188"/>
      <c r="WS39" s="188"/>
      <c r="WT39" s="188"/>
      <c r="WU39" s="188"/>
      <c r="WV39" s="188"/>
      <c r="WW39" s="188"/>
      <c r="WX39" s="188"/>
      <c r="WY39" s="188"/>
      <c r="WZ39" s="188"/>
      <c r="XA39" s="188"/>
      <c r="XB39" s="188"/>
      <c r="XC39" s="188"/>
      <c r="XD39" s="188"/>
      <c r="XE39" s="188"/>
      <c r="XF39" s="188"/>
      <c r="XG39" s="188"/>
      <c r="XH39" s="188"/>
      <c r="XI39" s="188"/>
      <c r="XJ39" s="188"/>
      <c r="XK39" s="188"/>
      <c r="XL39" s="188"/>
      <c r="XM39" s="188"/>
      <c r="XN39" s="188"/>
      <c r="XO39" s="188"/>
      <c r="XP39" s="188"/>
      <c r="XQ39" s="188"/>
      <c r="XR39" s="188"/>
      <c r="XS39" s="188"/>
      <c r="XT39" s="188"/>
      <c r="XU39" s="188"/>
      <c r="XV39" s="188"/>
      <c r="XW39" s="188"/>
      <c r="XX39" s="188"/>
      <c r="XY39" s="188"/>
      <c r="XZ39" s="188"/>
      <c r="YA39" s="188"/>
      <c r="YB39" s="188"/>
      <c r="YC39" s="188"/>
      <c r="YD39" s="188"/>
      <c r="YE39" s="188"/>
      <c r="YF39" s="188"/>
      <c r="YG39" s="188"/>
      <c r="YH39" s="188"/>
      <c r="YI39" s="188"/>
      <c r="YJ39" s="188"/>
      <c r="YK39" s="188"/>
      <c r="YL39" s="188"/>
      <c r="YM39" s="188"/>
      <c r="YN39" s="188"/>
      <c r="YO39" s="188"/>
      <c r="YP39" s="188"/>
      <c r="YQ39" s="188"/>
      <c r="YR39" s="188"/>
      <c r="YS39" s="188"/>
      <c r="YT39" s="188"/>
      <c r="YU39" s="188"/>
      <c r="YV39" s="188"/>
      <c r="YW39" s="188"/>
      <c r="YX39" s="188"/>
      <c r="YY39" s="188"/>
      <c r="YZ39" s="188"/>
      <c r="ZA39" s="188"/>
      <c r="ZB39" s="188"/>
      <c r="ZC39" s="188"/>
      <c r="ZD39" s="188"/>
      <c r="ZE39" s="188"/>
      <c r="ZF39" s="188"/>
      <c r="ZG39" s="188"/>
      <c r="ZH39" s="188"/>
      <c r="ZI39" s="188"/>
      <c r="ZJ39" s="188"/>
      <c r="ZK39" s="188"/>
      <c r="ZL39" s="188"/>
      <c r="ZM39" s="188"/>
      <c r="ZN39" s="188"/>
      <c r="ZO39" s="188"/>
      <c r="ZP39" s="188"/>
      <c r="ZQ39" s="188"/>
      <c r="ZR39" s="188"/>
      <c r="ZS39" s="188"/>
      <c r="ZT39" s="188"/>
      <c r="ZU39" s="188"/>
      <c r="ZV39" s="188"/>
      <c r="ZW39" s="188"/>
      <c r="ZX39" s="188"/>
      <c r="ZY39" s="188"/>
      <c r="ZZ39" s="188"/>
      <c r="AAA39" s="188"/>
      <c r="AAB39" s="188"/>
      <c r="AAC39" s="188"/>
      <c r="AAD39" s="188"/>
      <c r="AAE39" s="188"/>
      <c r="AAF39" s="188"/>
      <c r="AAG39" s="188"/>
      <c r="AAH39" s="188"/>
      <c r="AAI39" s="188"/>
      <c r="AAJ39" s="188"/>
      <c r="AAK39" s="188"/>
      <c r="AAL39" s="188"/>
      <c r="AAM39" s="188"/>
      <c r="AAN39" s="188"/>
      <c r="AAO39" s="188"/>
      <c r="AAP39" s="188"/>
      <c r="AAQ39" s="188"/>
      <c r="AAR39" s="188"/>
      <c r="AAS39" s="188"/>
      <c r="AAT39" s="188"/>
      <c r="AAU39" s="188"/>
      <c r="AAV39" s="188"/>
      <c r="AAW39" s="188"/>
      <c r="AAX39" s="188"/>
      <c r="AAY39" s="188"/>
      <c r="AAZ39" s="188"/>
      <c r="ABA39" s="188"/>
      <c r="ABB39" s="188"/>
      <c r="ABC39" s="188"/>
      <c r="ABD39" s="188"/>
      <c r="ABE39" s="188"/>
      <c r="ABF39" s="188"/>
      <c r="ABG39" s="188"/>
      <c r="ABH39" s="188"/>
      <c r="ABI39" s="188"/>
      <c r="ABJ39" s="188"/>
      <c r="ABK39" s="188"/>
      <c r="ABL39" s="188"/>
      <c r="ABM39" s="188"/>
      <c r="ABN39" s="188"/>
      <c r="ABO39" s="188"/>
      <c r="ABP39" s="188"/>
      <c r="ABQ39" s="188"/>
      <c r="ABR39" s="188"/>
      <c r="ABS39" s="188"/>
      <c r="ABT39" s="188"/>
      <c r="ABU39" s="188"/>
      <c r="ABV39" s="188"/>
      <c r="ABW39" s="188"/>
      <c r="ABX39" s="188"/>
      <c r="ABY39" s="188"/>
      <c r="ABZ39" s="188"/>
      <c r="ACA39" s="188"/>
      <c r="ACB39" s="188"/>
      <c r="ACC39" s="188"/>
      <c r="ACD39" s="188"/>
      <c r="ACE39" s="188"/>
      <c r="ACF39" s="188"/>
      <c r="ACG39" s="188"/>
      <c r="ACH39" s="188"/>
      <c r="ACI39" s="188"/>
      <c r="ACJ39" s="188"/>
      <c r="ACK39" s="188"/>
      <c r="ACL39" s="188"/>
      <c r="ACM39" s="188"/>
      <c r="ACN39" s="188"/>
      <c r="ACO39" s="188"/>
      <c r="ACP39" s="188"/>
      <c r="ACQ39" s="188"/>
      <c r="ACR39" s="188"/>
      <c r="ACS39" s="188"/>
      <c r="ACT39" s="188"/>
      <c r="ACU39" s="188"/>
      <c r="ACV39" s="188"/>
      <c r="ACW39" s="188"/>
      <c r="ACX39" s="188"/>
      <c r="ACY39" s="188"/>
      <c r="ACZ39" s="188"/>
      <c r="ADA39" s="188"/>
      <c r="ADB39" s="188"/>
      <c r="ADC39" s="188"/>
      <c r="ADD39" s="188"/>
      <c r="ADE39" s="188"/>
      <c r="ADF39" s="188"/>
      <c r="ADG39" s="188"/>
      <c r="ADH39" s="188"/>
      <c r="ADI39" s="188"/>
      <c r="ADJ39" s="188"/>
      <c r="ADK39" s="188"/>
      <c r="ADL39" s="188"/>
      <c r="ADM39" s="188"/>
      <c r="ADN39" s="188"/>
      <c r="ADO39" s="188"/>
      <c r="ADP39" s="188"/>
      <c r="ADQ39" s="188"/>
      <c r="ADR39" s="188"/>
      <c r="ADS39" s="188"/>
      <c r="ADT39" s="188"/>
      <c r="ADU39" s="188"/>
      <c r="ADV39" s="188"/>
      <c r="ADW39" s="188"/>
      <c r="ADX39" s="188"/>
      <c r="ADY39" s="188"/>
      <c r="ADZ39" s="188"/>
      <c r="AEA39" s="188"/>
      <c r="AEB39" s="188"/>
      <c r="AEC39" s="188"/>
      <c r="AED39" s="188"/>
      <c r="AEE39" s="188"/>
      <c r="AEF39" s="188"/>
      <c r="AEG39" s="188"/>
      <c r="AEH39" s="188"/>
      <c r="AEI39" s="188"/>
      <c r="AEJ39" s="188"/>
      <c r="AEK39" s="188"/>
      <c r="AEL39" s="188"/>
      <c r="AEM39" s="188"/>
      <c r="AEN39" s="188"/>
      <c r="AEO39" s="188"/>
      <c r="AEP39" s="188"/>
      <c r="AEQ39" s="188"/>
      <c r="AER39" s="188"/>
      <c r="AES39" s="188"/>
      <c r="AET39" s="188"/>
      <c r="AEU39" s="188"/>
      <c r="AEV39" s="188"/>
      <c r="AEW39" s="188"/>
      <c r="AEX39" s="188"/>
      <c r="AEY39" s="188"/>
      <c r="AEZ39" s="188"/>
      <c r="AFA39" s="188"/>
      <c r="AFB39" s="188"/>
      <c r="AFC39" s="188"/>
      <c r="AFD39" s="188"/>
      <c r="AFE39" s="188"/>
      <c r="AFF39" s="188"/>
      <c r="AFG39" s="188"/>
      <c r="AFH39" s="188"/>
      <c r="AFI39" s="188"/>
      <c r="AFJ39" s="188"/>
      <c r="AFK39" s="188"/>
      <c r="AFL39" s="188"/>
      <c r="AFM39" s="188"/>
      <c r="AFN39" s="188"/>
      <c r="AFO39" s="188"/>
      <c r="AFP39" s="188"/>
      <c r="AFQ39" s="188"/>
      <c r="AFR39" s="188"/>
      <c r="AFS39" s="188"/>
      <c r="AFT39" s="188"/>
      <c r="AFU39" s="188"/>
      <c r="AFV39" s="188"/>
      <c r="AFW39" s="188"/>
      <c r="AFX39" s="188"/>
      <c r="AFY39" s="188"/>
      <c r="AFZ39" s="188"/>
      <c r="AGA39" s="188"/>
      <c r="AGB39" s="188"/>
      <c r="AGC39" s="188"/>
      <c r="AGD39" s="188"/>
      <c r="AGE39" s="188"/>
      <c r="AGF39" s="188"/>
      <c r="AGG39" s="188"/>
      <c r="AGH39" s="188"/>
      <c r="AGI39" s="188"/>
      <c r="AGJ39" s="188"/>
      <c r="AGK39" s="188"/>
      <c r="AGL39" s="188"/>
      <c r="AGM39" s="188"/>
      <c r="AGN39" s="188"/>
      <c r="AGO39" s="188"/>
      <c r="AGP39" s="188"/>
      <c r="AGQ39" s="188"/>
      <c r="AGR39" s="188"/>
      <c r="AGS39" s="188"/>
      <c r="AGT39" s="188"/>
      <c r="AGU39" s="188"/>
      <c r="AGV39" s="188"/>
      <c r="AGW39" s="188"/>
      <c r="AGX39" s="188"/>
      <c r="AGY39" s="188"/>
      <c r="AGZ39" s="188"/>
      <c r="AHA39" s="188"/>
      <c r="AHB39" s="188"/>
      <c r="AHC39" s="188"/>
      <c r="AHD39" s="188"/>
      <c r="AHE39" s="188"/>
      <c r="AHF39" s="188"/>
      <c r="AHG39" s="188"/>
      <c r="AHH39" s="188"/>
      <c r="AHI39" s="188"/>
      <c r="AHJ39" s="188"/>
      <c r="AHK39" s="188"/>
      <c r="AHL39" s="188"/>
      <c r="AHM39" s="188"/>
      <c r="AHN39" s="188"/>
      <c r="AHO39" s="188"/>
      <c r="AHP39" s="188"/>
      <c r="AHQ39" s="188"/>
      <c r="AHR39" s="188"/>
      <c r="AHS39" s="188"/>
      <c r="AHT39" s="188"/>
      <c r="AHU39" s="188"/>
      <c r="AHV39" s="188"/>
      <c r="AHW39" s="188"/>
      <c r="AHX39" s="188"/>
      <c r="AHY39" s="188"/>
      <c r="AHZ39" s="188"/>
      <c r="AIA39" s="188"/>
      <c r="AIB39" s="188"/>
      <c r="AIC39" s="188"/>
      <c r="AID39" s="188"/>
      <c r="AIE39" s="188"/>
      <c r="AIF39" s="188"/>
      <c r="AIG39" s="188"/>
      <c r="AIH39" s="188"/>
      <c r="AII39" s="188"/>
      <c r="AIJ39" s="188"/>
      <c r="AIK39" s="188"/>
      <c r="AIL39" s="188"/>
      <c r="AIM39" s="188"/>
      <c r="AIN39" s="188"/>
      <c r="AIO39" s="188"/>
      <c r="AIP39" s="188"/>
      <c r="AIQ39" s="188"/>
      <c r="AIR39" s="188"/>
      <c r="AIS39" s="188"/>
      <c r="AIT39" s="188"/>
      <c r="AIU39" s="188"/>
      <c r="AIV39" s="188"/>
      <c r="AIW39" s="188"/>
      <c r="AIX39" s="188"/>
      <c r="AIY39" s="188"/>
      <c r="AIZ39" s="188"/>
      <c r="AJA39" s="188"/>
      <c r="AJB39" s="188"/>
      <c r="AJC39" s="188"/>
      <c r="AJD39" s="188"/>
      <c r="AJE39" s="188"/>
      <c r="AJF39" s="188"/>
      <c r="AJG39" s="188"/>
      <c r="AJH39" s="188"/>
      <c r="AJI39" s="188"/>
      <c r="AJJ39" s="188"/>
      <c r="AJK39" s="188"/>
      <c r="AJL39" s="188"/>
      <c r="AJM39" s="188"/>
      <c r="AJN39" s="188"/>
      <c r="AJO39" s="188"/>
      <c r="AJP39" s="188"/>
      <c r="AJQ39" s="188"/>
      <c r="AJR39" s="188"/>
      <c r="AJS39" s="188"/>
      <c r="AJT39" s="188"/>
      <c r="AJU39" s="188"/>
      <c r="AJV39" s="188"/>
      <c r="AJW39" s="188"/>
      <c r="AJX39" s="188"/>
      <c r="AJY39" s="188"/>
      <c r="AJZ39" s="188"/>
      <c r="AKA39" s="188"/>
      <c r="AKB39" s="188"/>
      <c r="AKC39" s="188"/>
      <c r="AKD39" s="188"/>
      <c r="AKE39" s="188"/>
      <c r="AKF39" s="188"/>
      <c r="AKG39" s="188"/>
      <c r="AKH39" s="188"/>
      <c r="AKI39" s="188"/>
      <c r="AKJ39" s="188"/>
      <c r="AKK39" s="188"/>
      <c r="AKL39" s="188"/>
      <c r="AKM39" s="188"/>
      <c r="AKN39" s="188"/>
      <c r="AKO39" s="188"/>
      <c r="AKP39" s="188"/>
      <c r="AKQ39" s="188"/>
      <c r="AKR39" s="188"/>
      <c r="AKS39" s="188"/>
      <c r="AKT39" s="188"/>
      <c r="AKU39" s="188"/>
      <c r="AKV39" s="188"/>
      <c r="AKW39" s="188"/>
      <c r="AKX39" s="188"/>
      <c r="AKY39" s="188"/>
      <c r="AKZ39" s="188"/>
      <c r="ALA39" s="188"/>
      <c r="ALB39" s="188"/>
      <c r="ALC39" s="188"/>
      <c r="ALD39" s="188"/>
      <c r="ALE39" s="188"/>
      <c r="ALF39" s="188"/>
      <c r="ALG39" s="188"/>
      <c r="ALH39" s="188"/>
      <c r="ALI39" s="188"/>
      <c r="ALJ39" s="188"/>
      <c r="ALK39" s="188"/>
      <c r="ALL39" s="188"/>
      <c r="ALM39" s="188"/>
      <c r="ALN39" s="188"/>
      <c r="ALO39" s="188"/>
      <c r="ALP39" s="188"/>
      <c r="ALQ39" s="188"/>
      <c r="ALR39" s="188"/>
      <c r="ALS39" s="188"/>
      <c r="ALT39" s="188"/>
      <c r="ALU39" s="188"/>
      <c r="ALV39" s="188"/>
      <c r="ALW39" s="188"/>
      <c r="ALX39" s="188"/>
      <c r="ALY39" s="188"/>
      <c r="ALZ39" s="188"/>
      <c r="AMA39" s="188"/>
      <c r="AMB39" s="188"/>
      <c r="AMC39" s="188"/>
      <c r="AMD39" s="188"/>
      <c r="AME39" s="188"/>
      <c r="AMF39" s="188"/>
      <c r="AMG39" s="188"/>
      <c r="AMH39" s="188"/>
      <c r="AMI39" s="188"/>
      <c r="AMJ39" s="188"/>
      <c r="AMK39" s="188"/>
      <c r="AML39" s="188"/>
      <c r="AMM39" s="188"/>
      <c r="AMN39" s="188"/>
      <c r="AMO39" s="188"/>
      <c r="AMP39" s="188"/>
      <c r="AMQ39" s="188"/>
      <c r="AMR39" s="188"/>
      <c r="AMS39" s="188"/>
      <c r="AMT39" s="188"/>
      <c r="AMU39" s="188"/>
      <c r="AMV39" s="188"/>
      <c r="AMW39" s="188"/>
      <c r="AMX39" s="188"/>
      <c r="AMY39" s="188"/>
      <c r="AMZ39" s="188"/>
      <c r="ANA39" s="188"/>
      <c r="ANB39" s="188"/>
      <c r="ANC39" s="188"/>
      <c r="AND39" s="188"/>
      <c r="ANE39" s="188"/>
      <c r="ANF39" s="188"/>
      <c r="ANG39" s="188"/>
      <c r="ANH39" s="188"/>
      <c r="ANI39" s="188"/>
      <c r="ANJ39" s="188"/>
      <c r="ANK39" s="188"/>
      <c r="ANL39" s="188"/>
      <c r="ANM39" s="188"/>
      <c r="ANN39" s="188"/>
      <c r="ANO39" s="188"/>
      <c r="ANP39" s="188"/>
      <c r="ANQ39" s="188"/>
      <c r="ANR39" s="188"/>
      <c r="ANS39" s="188"/>
      <c r="ANT39" s="188"/>
      <c r="ANU39" s="188"/>
      <c r="ANV39" s="188"/>
      <c r="ANW39" s="188"/>
      <c r="ANX39" s="188"/>
      <c r="ANY39" s="188"/>
      <c r="ANZ39" s="188"/>
      <c r="AOA39" s="188"/>
      <c r="AOB39" s="188"/>
      <c r="AOC39" s="188"/>
      <c r="AOD39" s="188"/>
      <c r="AOE39" s="188"/>
      <c r="AOF39" s="188"/>
      <c r="AOG39" s="188"/>
      <c r="AOH39" s="188"/>
      <c r="AOI39" s="188"/>
      <c r="AOJ39" s="188"/>
      <c r="AOK39" s="188"/>
      <c r="AOL39" s="188"/>
      <c r="AOM39" s="188"/>
      <c r="AON39" s="188"/>
      <c r="AOO39" s="188"/>
      <c r="AOP39" s="188"/>
      <c r="AOQ39" s="188"/>
      <c r="AOR39" s="188"/>
      <c r="AOS39" s="188"/>
      <c r="AOT39" s="188"/>
      <c r="AOU39" s="188"/>
      <c r="AOV39" s="188"/>
      <c r="AOW39" s="188"/>
      <c r="AOX39" s="188"/>
      <c r="AOY39" s="188"/>
      <c r="AOZ39" s="188"/>
      <c r="APA39" s="188"/>
      <c r="APB39" s="188"/>
      <c r="APC39" s="188"/>
      <c r="APD39" s="188"/>
      <c r="APE39" s="188"/>
      <c r="APF39" s="188"/>
      <c r="APG39" s="188"/>
      <c r="APH39" s="188"/>
      <c r="API39" s="188"/>
      <c r="APJ39" s="188"/>
      <c r="APK39" s="188"/>
      <c r="APL39" s="188"/>
      <c r="APM39" s="188"/>
      <c r="APN39" s="188"/>
      <c r="APO39" s="188"/>
      <c r="APP39" s="188"/>
      <c r="APQ39" s="188"/>
      <c r="APR39" s="188"/>
      <c r="APS39" s="188"/>
      <c r="APT39" s="188"/>
      <c r="APU39" s="188"/>
      <c r="APV39" s="188"/>
      <c r="APW39" s="188"/>
      <c r="APX39" s="188"/>
      <c r="APY39" s="188"/>
      <c r="APZ39" s="188"/>
      <c r="AQA39" s="188"/>
      <c r="AQB39" s="188"/>
      <c r="AQC39" s="188"/>
      <c r="AQD39" s="188"/>
      <c r="AQE39" s="188"/>
      <c r="AQF39" s="188"/>
      <c r="AQG39" s="188"/>
      <c r="AQH39" s="188"/>
      <c r="AQI39" s="188"/>
      <c r="AQJ39" s="188"/>
      <c r="AQK39" s="188"/>
      <c r="AQL39" s="188"/>
      <c r="AQM39" s="188"/>
      <c r="AQN39" s="188"/>
      <c r="AQO39" s="188"/>
      <c r="AQP39" s="188"/>
      <c r="AQQ39" s="188"/>
      <c r="AQR39" s="188"/>
      <c r="AQS39" s="188"/>
      <c r="AQT39" s="188"/>
      <c r="AQU39" s="188"/>
      <c r="AQV39" s="188"/>
      <c r="AQW39" s="188"/>
      <c r="AQX39" s="188"/>
      <c r="AQY39" s="188"/>
      <c r="AQZ39" s="188"/>
      <c r="ARA39" s="188"/>
      <c r="ARB39" s="188"/>
      <c r="ARC39" s="188"/>
      <c r="ARD39" s="188"/>
      <c r="ARE39" s="188"/>
      <c r="ARF39" s="188"/>
      <c r="ARG39" s="188"/>
      <c r="ARH39" s="188"/>
      <c r="ARI39" s="188"/>
      <c r="ARJ39" s="188"/>
      <c r="ARK39" s="188"/>
      <c r="ARL39" s="188"/>
      <c r="ARM39" s="188"/>
      <c r="ARN39" s="188"/>
      <c r="ARO39" s="188"/>
      <c r="ARP39" s="188"/>
      <c r="ARQ39" s="188"/>
      <c r="ARR39" s="188"/>
      <c r="ARS39" s="188"/>
      <c r="ART39" s="188"/>
      <c r="ARU39" s="188"/>
      <c r="ARV39" s="188"/>
      <c r="ARW39" s="188"/>
      <c r="ARX39" s="188"/>
      <c r="ARY39" s="188"/>
      <c r="ARZ39" s="188"/>
      <c r="ASA39" s="188"/>
      <c r="ASB39" s="188"/>
      <c r="ASC39" s="188"/>
      <c r="ASD39" s="188"/>
      <c r="ASE39" s="188"/>
      <c r="ASF39" s="188"/>
      <c r="ASG39" s="188"/>
      <c r="ASH39" s="188"/>
      <c r="ASI39" s="188"/>
      <c r="ASJ39" s="188"/>
      <c r="ASK39" s="188"/>
      <c r="ASL39" s="188"/>
      <c r="ASM39" s="188"/>
      <c r="ASN39" s="188"/>
      <c r="ASO39" s="188"/>
      <c r="ASP39" s="188"/>
      <c r="ASQ39" s="188"/>
      <c r="ASR39" s="188"/>
      <c r="ASS39" s="188"/>
      <c r="AST39" s="188"/>
      <c r="ASU39" s="188"/>
      <c r="ASV39" s="188"/>
      <c r="ASW39" s="188"/>
      <c r="ASX39" s="188"/>
      <c r="ASY39" s="188"/>
      <c r="ASZ39" s="188"/>
      <c r="ATA39" s="188"/>
      <c r="ATB39" s="188"/>
      <c r="ATC39" s="188"/>
      <c r="ATD39" s="188"/>
      <c r="ATE39" s="188"/>
      <c r="ATF39" s="188"/>
      <c r="ATG39" s="188"/>
      <c r="ATH39" s="188"/>
      <c r="ATI39" s="188"/>
      <c r="ATJ39" s="188"/>
      <c r="ATK39" s="188"/>
      <c r="ATL39" s="188"/>
      <c r="ATM39" s="188"/>
      <c r="ATN39" s="188"/>
      <c r="ATO39" s="188"/>
      <c r="ATP39" s="188"/>
      <c r="ATQ39" s="188"/>
      <c r="ATR39" s="188"/>
      <c r="ATS39" s="188"/>
      <c r="ATT39" s="188"/>
      <c r="ATU39" s="188"/>
      <c r="ATV39" s="188"/>
      <c r="ATW39" s="188"/>
      <c r="ATX39" s="188"/>
      <c r="ATY39" s="188"/>
      <c r="ATZ39" s="188"/>
      <c r="AUA39" s="188"/>
      <c r="AUB39" s="188"/>
      <c r="AUC39" s="188"/>
      <c r="AUD39" s="188"/>
      <c r="AUE39" s="188"/>
      <c r="AUF39" s="188"/>
      <c r="AUG39" s="188"/>
      <c r="AUH39" s="188"/>
      <c r="AUI39" s="188"/>
      <c r="AUJ39" s="188"/>
      <c r="AUK39" s="188"/>
      <c r="AUL39" s="188"/>
      <c r="AUM39" s="188"/>
      <c r="AUN39" s="188"/>
      <c r="AUO39" s="188"/>
      <c r="AUP39" s="188"/>
      <c r="AUQ39" s="188"/>
      <c r="AUR39" s="188"/>
      <c r="AUS39" s="188"/>
      <c r="AUT39" s="188"/>
      <c r="AUU39" s="188"/>
      <c r="AUV39" s="188"/>
      <c r="AUW39" s="188"/>
      <c r="AUX39" s="188"/>
      <c r="AUY39" s="188"/>
      <c r="AUZ39" s="188"/>
      <c r="AVA39" s="188"/>
      <c r="AVB39" s="188"/>
      <c r="AVC39" s="188"/>
      <c r="AVD39" s="188"/>
      <c r="AVE39" s="188"/>
      <c r="AVF39" s="188"/>
      <c r="AVG39" s="188"/>
      <c r="AVH39" s="188"/>
      <c r="AVI39" s="188"/>
      <c r="AVJ39" s="188"/>
      <c r="AVK39" s="188"/>
      <c r="AVL39" s="188"/>
      <c r="AVM39" s="188"/>
      <c r="AVN39" s="188"/>
      <c r="AVO39" s="188"/>
      <c r="AVP39" s="188"/>
      <c r="AVQ39" s="188"/>
      <c r="AVR39" s="188"/>
      <c r="AVS39" s="188"/>
      <c r="AVT39" s="188"/>
      <c r="AVU39" s="188"/>
      <c r="AVV39" s="188"/>
      <c r="AVW39" s="188"/>
      <c r="AVX39" s="188"/>
      <c r="AVY39" s="188"/>
      <c r="AVZ39" s="188"/>
      <c r="AWA39" s="188"/>
      <c r="AWB39" s="188"/>
      <c r="AWC39" s="188"/>
      <c r="AWD39" s="188"/>
      <c r="AWE39" s="188"/>
      <c r="AWF39" s="188"/>
      <c r="AWG39" s="188"/>
      <c r="AWH39" s="188"/>
      <c r="AWI39" s="188"/>
      <c r="AWJ39" s="188"/>
      <c r="AWK39" s="188"/>
      <c r="AWL39" s="188"/>
      <c r="AWM39" s="188"/>
      <c r="AWN39" s="188"/>
      <c r="AWO39" s="188"/>
      <c r="AWP39" s="188"/>
      <c r="AWQ39" s="188"/>
      <c r="AWR39" s="188"/>
      <c r="AWS39" s="188"/>
      <c r="AWT39" s="188"/>
      <c r="AWU39" s="188"/>
      <c r="AWV39" s="188"/>
      <c r="AWW39" s="188"/>
      <c r="AWX39" s="188"/>
      <c r="AWY39" s="188"/>
      <c r="AWZ39" s="188"/>
      <c r="AXA39" s="188"/>
      <c r="AXB39" s="188"/>
      <c r="AXC39" s="188"/>
      <c r="AXD39" s="188"/>
      <c r="AXE39" s="188"/>
      <c r="AXF39" s="188"/>
      <c r="AXG39" s="188"/>
      <c r="AXH39" s="188"/>
      <c r="AXI39" s="188"/>
      <c r="AXJ39" s="188"/>
      <c r="AXK39" s="188"/>
      <c r="AXL39" s="188"/>
      <c r="AXM39" s="188"/>
      <c r="AXN39" s="188"/>
      <c r="AXO39" s="188"/>
      <c r="AXP39" s="188"/>
      <c r="AXQ39" s="188"/>
      <c r="AXR39" s="188"/>
      <c r="AXS39" s="188"/>
      <c r="AXT39" s="188"/>
      <c r="AXU39" s="188"/>
      <c r="AXV39" s="188"/>
      <c r="AXW39" s="188"/>
      <c r="AXX39" s="188"/>
      <c r="AXY39" s="188"/>
      <c r="AXZ39" s="188"/>
      <c r="AYA39" s="188"/>
      <c r="AYB39" s="188"/>
      <c r="AYC39" s="188"/>
      <c r="AYD39" s="188"/>
      <c r="AYE39" s="188"/>
      <c r="AYF39" s="188"/>
      <c r="AYG39" s="188"/>
      <c r="AYH39" s="188"/>
      <c r="AYI39" s="188"/>
      <c r="AYJ39" s="188"/>
      <c r="AYK39" s="188"/>
      <c r="AYL39" s="188"/>
      <c r="AYM39" s="188"/>
      <c r="AYN39" s="188"/>
      <c r="AYO39" s="188"/>
      <c r="AYP39" s="188"/>
      <c r="AYQ39" s="188"/>
      <c r="AYR39" s="188"/>
      <c r="AYS39" s="188"/>
      <c r="AYT39" s="188"/>
      <c r="AYU39" s="188"/>
      <c r="AYV39" s="188"/>
      <c r="AYW39" s="188"/>
      <c r="AYX39" s="188"/>
      <c r="AYY39" s="188"/>
      <c r="AYZ39" s="188"/>
      <c r="AZA39" s="188"/>
      <c r="AZB39" s="188"/>
      <c r="AZC39" s="188"/>
      <c r="AZD39" s="188"/>
      <c r="AZE39" s="188"/>
      <c r="AZF39" s="188"/>
      <c r="AZG39" s="188"/>
      <c r="AZH39" s="188"/>
      <c r="AZI39" s="188"/>
      <c r="AZJ39" s="188"/>
      <c r="AZK39" s="188"/>
      <c r="AZL39" s="188"/>
      <c r="AZM39" s="188"/>
      <c r="AZN39" s="188"/>
      <c r="AZO39" s="188"/>
      <c r="AZP39" s="188"/>
      <c r="AZQ39" s="188"/>
      <c r="AZR39" s="188"/>
      <c r="AZS39" s="188"/>
      <c r="AZT39" s="188"/>
      <c r="AZU39" s="188"/>
      <c r="AZV39" s="188"/>
      <c r="AZW39" s="188"/>
      <c r="AZX39" s="188"/>
      <c r="AZY39" s="188"/>
      <c r="AZZ39" s="188"/>
      <c r="BAA39" s="188"/>
      <c r="BAB39" s="188"/>
      <c r="BAC39" s="188"/>
      <c r="BAD39" s="188"/>
      <c r="BAE39" s="188"/>
      <c r="BAF39" s="188"/>
      <c r="BAG39" s="188"/>
      <c r="BAH39" s="188"/>
      <c r="BAI39" s="188"/>
      <c r="BAJ39" s="188"/>
      <c r="BAK39" s="188"/>
      <c r="BAL39" s="188"/>
      <c r="BAM39" s="188"/>
      <c r="BAN39" s="188"/>
      <c r="BAO39" s="188"/>
      <c r="BAP39" s="188"/>
      <c r="BAQ39" s="188"/>
      <c r="BAR39" s="188"/>
      <c r="BAS39" s="188"/>
      <c r="BAT39" s="188"/>
      <c r="BAU39" s="188"/>
      <c r="BAV39" s="188"/>
      <c r="BAW39" s="188"/>
      <c r="BAX39" s="188"/>
      <c r="BAY39" s="188"/>
      <c r="BAZ39" s="188"/>
      <c r="BBA39" s="188"/>
      <c r="BBB39" s="188"/>
      <c r="BBC39" s="188"/>
      <c r="BBD39" s="188"/>
      <c r="BBE39" s="188"/>
      <c r="BBF39" s="188"/>
      <c r="BBG39" s="188"/>
      <c r="BBH39" s="188"/>
      <c r="BBI39" s="188"/>
      <c r="BBJ39" s="188"/>
      <c r="BBK39" s="188"/>
      <c r="BBL39" s="188"/>
      <c r="BBM39" s="188"/>
      <c r="BBN39" s="188"/>
      <c r="BBO39" s="188"/>
      <c r="BBP39" s="188"/>
      <c r="BBQ39" s="188"/>
      <c r="BBR39" s="188"/>
      <c r="BBS39" s="188"/>
      <c r="BBT39" s="188"/>
      <c r="BBU39" s="188"/>
      <c r="BBV39" s="188"/>
      <c r="BBW39" s="188"/>
      <c r="BBX39" s="188"/>
      <c r="BBY39" s="188"/>
      <c r="BBZ39" s="188"/>
      <c r="BCA39" s="188"/>
      <c r="BCB39" s="188"/>
      <c r="BCC39" s="188"/>
      <c r="BCD39" s="188"/>
      <c r="BCE39" s="188"/>
      <c r="BCF39" s="188"/>
      <c r="BCG39" s="188"/>
      <c r="BCH39" s="188"/>
      <c r="BCI39" s="188"/>
      <c r="BCJ39" s="188"/>
      <c r="BCK39" s="188"/>
      <c r="BCL39" s="188"/>
      <c r="BCM39" s="188"/>
      <c r="BCN39" s="188"/>
      <c r="BCO39" s="188"/>
      <c r="BCP39" s="188"/>
      <c r="BCQ39" s="188"/>
      <c r="BCR39" s="188"/>
      <c r="BCS39" s="188"/>
      <c r="BCT39" s="188"/>
      <c r="BCU39" s="188"/>
      <c r="BCV39" s="188"/>
      <c r="BCW39" s="188"/>
      <c r="BCX39" s="188"/>
      <c r="BCY39" s="188"/>
      <c r="BCZ39" s="188"/>
      <c r="BDA39" s="188"/>
      <c r="BDB39" s="188"/>
      <c r="BDC39" s="188"/>
      <c r="BDD39" s="188"/>
      <c r="BDE39" s="188"/>
      <c r="BDF39" s="188"/>
      <c r="BDG39" s="188"/>
      <c r="BDH39" s="188"/>
      <c r="BDI39" s="188"/>
      <c r="BDJ39" s="188"/>
      <c r="BDK39" s="188"/>
      <c r="BDL39" s="188"/>
      <c r="BDM39" s="188"/>
      <c r="BDN39" s="188"/>
      <c r="BDO39" s="188"/>
      <c r="BDP39" s="188"/>
      <c r="BDQ39" s="188"/>
      <c r="BDR39" s="188"/>
      <c r="BDS39" s="188"/>
      <c r="BDT39" s="188"/>
      <c r="BDU39" s="188"/>
      <c r="BDV39" s="188"/>
      <c r="BDW39" s="188"/>
      <c r="BDX39" s="188"/>
      <c r="BDY39" s="188"/>
      <c r="BDZ39" s="188"/>
      <c r="BEA39" s="188"/>
      <c r="BEB39" s="188"/>
      <c r="BEC39" s="188"/>
      <c r="BED39" s="188"/>
      <c r="BEE39" s="188"/>
      <c r="BEF39" s="188"/>
      <c r="BEG39" s="188"/>
      <c r="BEH39" s="188"/>
      <c r="BEI39" s="188"/>
      <c r="BEJ39" s="188"/>
      <c r="BEK39" s="188"/>
      <c r="BEL39" s="188"/>
      <c r="BEM39" s="188"/>
      <c r="BEN39" s="188"/>
      <c r="BEO39" s="188"/>
      <c r="BEP39" s="188"/>
      <c r="BEQ39" s="188"/>
      <c r="BER39" s="188"/>
      <c r="BES39" s="188"/>
      <c r="BET39" s="188"/>
      <c r="BEU39" s="188"/>
      <c r="BEV39" s="188"/>
      <c r="BEW39" s="188"/>
      <c r="BEX39" s="188"/>
      <c r="BEY39" s="188"/>
      <c r="BEZ39" s="188"/>
      <c r="BFA39" s="188"/>
      <c r="BFB39" s="188"/>
      <c r="BFC39" s="188"/>
      <c r="BFD39" s="188"/>
      <c r="BFE39" s="188"/>
      <c r="BFF39" s="188"/>
      <c r="BFG39" s="188"/>
      <c r="BFH39" s="188"/>
      <c r="BFI39" s="188"/>
      <c r="BFJ39" s="188"/>
      <c r="BFK39" s="188"/>
      <c r="BFL39" s="188"/>
      <c r="BFM39" s="188"/>
      <c r="BFN39" s="188"/>
      <c r="BFO39" s="188"/>
      <c r="BFP39" s="188"/>
      <c r="BFQ39" s="188"/>
      <c r="BFR39" s="188"/>
      <c r="BFS39" s="188"/>
      <c r="BFT39" s="188"/>
      <c r="BFU39" s="188"/>
      <c r="BFV39" s="188"/>
      <c r="BFW39" s="188"/>
      <c r="BFX39" s="188"/>
      <c r="BFY39" s="188"/>
      <c r="BFZ39" s="188"/>
      <c r="BGA39" s="188"/>
      <c r="BGB39" s="188"/>
      <c r="BGC39" s="188"/>
      <c r="BGD39" s="188"/>
      <c r="BGE39" s="188"/>
      <c r="BGF39" s="188"/>
      <c r="BGG39" s="188"/>
      <c r="BGH39" s="188"/>
      <c r="BGI39" s="188"/>
      <c r="BGJ39" s="188"/>
      <c r="BGK39" s="188"/>
      <c r="BGL39" s="188"/>
      <c r="BGM39" s="188"/>
      <c r="BGN39" s="188"/>
      <c r="BGO39" s="188"/>
      <c r="BGP39" s="188"/>
      <c r="BGQ39" s="188"/>
      <c r="BGR39" s="188"/>
      <c r="BGS39" s="188"/>
      <c r="BGT39" s="188"/>
      <c r="BGU39" s="188"/>
      <c r="BGV39" s="188"/>
      <c r="BGW39" s="188"/>
      <c r="BGX39" s="188"/>
      <c r="BGY39" s="188"/>
      <c r="BGZ39" s="188"/>
      <c r="BHA39" s="188"/>
      <c r="BHB39" s="188"/>
      <c r="BHC39" s="188"/>
      <c r="BHD39" s="188"/>
      <c r="BHE39" s="188"/>
      <c r="BHF39" s="188"/>
      <c r="BHG39" s="188"/>
      <c r="BHH39" s="188"/>
      <c r="BHI39" s="188"/>
      <c r="BHJ39" s="188"/>
      <c r="BHK39" s="188"/>
      <c r="BHL39" s="188"/>
      <c r="BHM39" s="188"/>
      <c r="BHN39" s="188"/>
      <c r="BHO39" s="188"/>
      <c r="BHP39" s="188"/>
      <c r="BHQ39" s="188"/>
      <c r="BHR39" s="188"/>
      <c r="BHS39" s="188"/>
      <c r="BHT39" s="188"/>
      <c r="BHU39" s="188"/>
      <c r="BHV39" s="188"/>
      <c r="BHW39" s="188"/>
      <c r="BHX39" s="188"/>
      <c r="BHY39" s="188"/>
      <c r="BHZ39" s="188"/>
      <c r="BIA39" s="188"/>
      <c r="BIB39" s="188"/>
      <c r="BIC39" s="188"/>
      <c r="BID39" s="188"/>
      <c r="BIE39" s="188"/>
      <c r="BIF39" s="188"/>
      <c r="BIG39" s="188"/>
      <c r="BIH39" s="188"/>
      <c r="BII39" s="188"/>
      <c r="BIJ39" s="188"/>
      <c r="BIK39" s="188"/>
      <c r="BIL39" s="188"/>
      <c r="BIM39" s="188"/>
      <c r="BIN39" s="188"/>
      <c r="BIO39" s="188"/>
      <c r="BIP39" s="188"/>
      <c r="BIQ39" s="188"/>
      <c r="BIR39" s="188"/>
      <c r="BIS39" s="188"/>
      <c r="BIT39" s="188"/>
      <c r="BIU39" s="188"/>
      <c r="BIV39" s="188"/>
      <c r="BIW39" s="188"/>
      <c r="BIX39" s="188"/>
      <c r="BIY39" s="188"/>
      <c r="BIZ39" s="188"/>
      <c r="BJA39" s="188"/>
      <c r="BJB39" s="188"/>
      <c r="BJC39" s="188"/>
      <c r="BJD39" s="188"/>
      <c r="BJE39" s="188"/>
      <c r="BJF39" s="188"/>
      <c r="BJG39" s="188"/>
      <c r="BJH39" s="188"/>
      <c r="BJI39" s="188"/>
      <c r="BJJ39" s="188"/>
      <c r="BJK39" s="188"/>
      <c r="BJL39" s="188"/>
      <c r="BJM39" s="188"/>
      <c r="BJN39" s="188"/>
      <c r="BJO39" s="188"/>
      <c r="BJP39" s="188"/>
      <c r="BJQ39" s="188"/>
      <c r="BJR39" s="188"/>
      <c r="BJS39" s="188"/>
      <c r="BJT39" s="188"/>
      <c r="BJU39" s="188"/>
      <c r="BJV39" s="188"/>
      <c r="BJW39" s="188"/>
      <c r="BJX39" s="188"/>
      <c r="BJY39" s="188"/>
      <c r="BJZ39" s="188"/>
      <c r="BKA39" s="188"/>
      <c r="BKB39" s="188"/>
      <c r="BKC39" s="188"/>
      <c r="BKD39" s="188"/>
      <c r="BKE39" s="188"/>
      <c r="BKF39" s="188"/>
      <c r="BKG39" s="188"/>
      <c r="BKH39" s="188"/>
      <c r="BKI39" s="188"/>
      <c r="BKJ39" s="188"/>
      <c r="BKK39" s="188"/>
      <c r="BKL39" s="188"/>
      <c r="BKM39" s="188"/>
      <c r="BKN39" s="188"/>
      <c r="BKO39" s="188"/>
      <c r="BKP39" s="188"/>
      <c r="BKQ39" s="188"/>
      <c r="BKR39" s="188"/>
      <c r="BKS39" s="188"/>
      <c r="BKT39" s="188"/>
      <c r="BKU39" s="188"/>
      <c r="BKV39" s="188"/>
      <c r="BKW39" s="188"/>
      <c r="BKX39" s="188"/>
      <c r="BKY39" s="188"/>
      <c r="BKZ39" s="188"/>
      <c r="BLA39" s="188"/>
      <c r="BLB39" s="188"/>
      <c r="BLC39" s="188"/>
      <c r="BLD39" s="188"/>
      <c r="BLE39" s="188"/>
      <c r="BLF39" s="188"/>
      <c r="BLG39" s="188"/>
      <c r="BLH39" s="188"/>
      <c r="BLI39" s="188"/>
      <c r="BLJ39" s="188"/>
      <c r="BLK39" s="188"/>
      <c r="BLL39" s="188"/>
      <c r="BLM39" s="188"/>
      <c r="BLN39" s="188"/>
      <c r="BLO39" s="188"/>
      <c r="BLP39" s="188"/>
      <c r="BLQ39" s="188"/>
      <c r="BLR39" s="188"/>
      <c r="BLS39" s="188"/>
      <c r="BLT39" s="188"/>
      <c r="BLU39" s="188"/>
      <c r="BLV39" s="188"/>
      <c r="BLW39" s="188"/>
      <c r="BLX39" s="188"/>
      <c r="BLY39" s="188"/>
      <c r="BLZ39" s="188"/>
      <c r="BMA39" s="188"/>
      <c r="BMB39" s="188"/>
      <c r="BMC39" s="188"/>
      <c r="BMD39" s="188"/>
      <c r="BME39" s="188"/>
      <c r="BMF39" s="188"/>
      <c r="BMG39" s="188"/>
      <c r="BMH39" s="188"/>
      <c r="BMI39" s="188"/>
      <c r="BMJ39" s="188"/>
      <c r="BMK39" s="188"/>
      <c r="BML39" s="188"/>
      <c r="BMM39" s="188"/>
      <c r="BMN39" s="188"/>
      <c r="BMO39" s="188"/>
      <c r="BMP39" s="188"/>
      <c r="BMQ39" s="188"/>
      <c r="BMR39" s="188"/>
      <c r="BMS39" s="188"/>
      <c r="BMT39" s="188"/>
      <c r="BMU39" s="188"/>
      <c r="BMV39" s="188"/>
      <c r="BMW39" s="188"/>
      <c r="BMX39" s="188"/>
      <c r="BMY39" s="188"/>
      <c r="BMZ39" s="188"/>
      <c r="BNA39" s="188"/>
      <c r="BNB39" s="188"/>
      <c r="BNC39" s="188"/>
      <c r="BND39" s="188"/>
      <c r="BNE39" s="188"/>
      <c r="BNF39" s="188"/>
      <c r="BNG39" s="188"/>
      <c r="BNH39" s="188"/>
      <c r="BNI39" s="188"/>
      <c r="BNJ39" s="188"/>
      <c r="BNK39" s="188"/>
      <c r="BNL39" s="188"/>
      <c r="BNM39" s="188"/>
      <c r="BNN39" s="188"/>
      <c r="BNO39" s="188"/>
      <c r="BNP39" s="188"/>
      <c r="BNQ39" s="188"/>
      <c r="BNR39" s="188"/>
      <c r="BNS39" s="188"/>
      <c r="BNT39" s="188"/>
      <c r="BNU39" s="188"/>
      <c r="BNV39" s="188"/>
      <c r="BNW39" s="188"/>
      <c r="BNX39" s="188"/>
      <c r="BNY39" s="188"/>
      <c r="BNZ39" s="188"/>
      <c r="BOA39" s="188"/>
      <c r="BOB39" s="188"/>
      <c r="BOC39" s="188"/>
      <c r="BOD39" s="188"/>
      <c r="BOE39" s="188"/>
      <c r="BOF39" s="188"/>
      <c r="BOG39" s="188"/>
      <c r="BOH39" s="188"/>
      <c r="BOI39" s="188"/>
      <c r="BOJ39" s="188"/>
      <c r="BOK39" s="188"/>
      <c r="BOL39" s="188"/>
      <c r="BOM39" s="188"/>
      <c r="BON39" s="188"/>
      <c r="BOO39" s="188"/>
      <c r="BOP39" s="188"/>
      <c r="BOQ39" s="188"/>
      <c r="BOR39" s="188"/>
      <c r="BOS39" s="188"/>
      <c r="BOT39" s="188"/>
      <c r="BOU39" s="188"/>
      <c r="BOV39" s="188"/>
      <c r="BOW39" s="188"/>
      <c r="BOX39" s="188"/>
      <c r="BOY39" s="188"/>
      <c r="BOZ39" s="188"/>
      <c r="BPA39" s="188"/>
      <c r="BPB39" s="188"/>
      <c r="BPC39" s="188"/>
      <c r="BPD39" s="188"/>
      <c r="BPE39" s="188"/>
      <c r="BPF39" s="188"/>
      <c r="BPG39" s="188"/>
      <c r="BPH39" s="188"/>
      <c r="BPI39" s="188"/>
      <c r="BPJ39" s="188"/>
      <c r="BPK39" s="188"/>
      <c r="BPL39" s="188"/>
      <c r="BPM39" s="188"/>
      <c r="BPN39" s="188"/>
      <c r="BPO39" s="188"/>
      <c r="BPP39" s="188"/>
      <c r="BPQ39" s="188"/>
      <c r="BPR39" s="188"/>
      <c r="BPS39" s="188"/>
      <c r="BPT39" s="188"/>
      <c r="BPU39" s="188"/>
      <c r="BPV39" s="188"/>
      <c r="BPW39" s="188"/>
      <c r="BPX39" s="188"/>
      <c r="BPY39" s="188"/>
      <c r="BPZ39" s="188"/>
      <c r="BQA39" s="188"/>
      <c r="BQB39" s="188"/>
      <c r="BQC39" s="188"/>
      <c r="BQD39" s="188"/>
      <c r="BQE39" s="188"/>
      <c r="BQF39" s="188"/>
      <c r="BQG39" s="188"/>
      <c r="BQH39" s="188"/>
      <c r="BQI39" s="188"/>
      <c r="BQJ39" s="188"/>
      <c r="BQK39" s="188"/>
      <c r="BQL39" s="188"/>
      <c r="BQM39" s="188"/>
      <c r="BQN39" s="188"/>
      <c r="BQO39" s="188"/>
      <c r="BQP39" s="188"/>
      <c r="BQQ39" s="188"/>
      <c r="BQR39" s="188"/>
      <c r="BQS39" s="188"/>
      <c r="BQT39" s="188"/>
      <c r="BQU39" s="188"/>
      <c r="BQV39" s="188"/>
      <c r="BQW39" s="188"/>
      <c r="BQX39" s="188"/>
      <c r="BQY39" s="188"/>
      <c r="BQZ39" s="188"/>
      <c r="BRA39" s="188"/>
      <c r="BRB39" s="188"/>
      <c r="BRC39" s="188"/>
      <c r="BRD39" s="188"/>
      <c r="BRE39" s="188"/>
      <c r="BRF39" s="188"/>
      <c r="BRG39" s="188"/>
      <c r="BRH39" s="188"/>
      <c r="BRI39" s="188"/>
      <c r="BRJ39" s="188"/>
      <c r="BRK39" s="188"/>
      <c r="BRL39" s="188"/>
      <c r="BRM39" s="188"/>
      <c r="BRN39" s="188"/>
      <c r="BRO39" s="188"/>
      <c r="BRP39" s="188"/>
      <c r="BRQ39" s="188"/>
      <c r="BRR39" s="188"/>
      <c r="BRS39" s="188"/>
      <c r="BRT39" s="188"/>
      <c r="BRU39" s="188"/>
      <c r="BRV39" s="188"/>
      <c r="BRW39" s="188"/>
      <c r="BRX39" s="188"/>
      <c r="BRY39" s="188"/>
      <c r="BRZ39" s="188"/>
      <c r="BSA39" s="188"/>
      <c r="BSB39" s="188"/>
      <c r="BSC39" s="188"/>
      <c r="BSD39" s="188"/>
      <c r="BSE39" s="188"/>
      <c r="BSF39" s="188"/>
      <c r="BSG39" s="188"/>
      <c r="BSH39" s="188"/>
      <c r="BSI39" s="188"/>
      <c r="BSJ39" s="188"/>
      <c r="BSK39" s="188"/>
      <c r="BSL39" s="188"/>
      <c r="BSM39" s="188"/>
      <c r="BSN39" s="188"/>
      <c r="BSO39" s="188"/>
      <c r="BSP39" s="188"/>
      <c r="BSQ39" s="188"/>
      <c r="BSR39" s="188"/>
      <c r="BSS39" s="188"/>
      <c r="BST39" s="188"/>
      <c r="BSU39" s="188"/>
      <c r="BSV39" s="188"/>
      <c r="BSW39" s="188"/>
      <c r="BSX39" s="188"/>
      <c r="BSY39" s="188"/>
      <c r="BSZ39" s="188"/>
      <c r="BTA39" s="188"/>
      <c r="BTB39" s="188"/>
      <c r="BTC39" s="188"/>
      <c r="BTD39" s="188"/>
      <c r="BTE39" s="188"/>
      <c r="BTF39" s="188"/>
      <c r="BTG39" s="188"/>
      <c r="BTH39" s="188"/>
      <c r="BTI39" s="188"/>
      <c r="BTJ39" s="188"/>
      <c r="BTK39" s="188"/>
      <c r="BTL39" s="188"/>
      <c r="BTM39" s="188"/>
      <c r="BTN39" s="188"/>
      <c r="BTO39" s="188"/>
      <c r="BTP39" s="188"/>
      <c r="BTQ39" s="188"/>
      <c r="BTR39" s="188"/>
      <c r="BTS39" s="188"/>
      <c r="BTT39" s="188"/>
      <c r="BTU39" s="188"/>
      <c r="BTV39" s="188"/>
      <c r="BTW39" s="188"/>
      <c r="BTX39" s="188"/>
      <c r="BTY39" s="188"/>
      <c r="BTZ39" s="188"/>
      <c r="BUA39" s="188"/>
      <c r="BUB39" s="188"/>
      <c r="BUC39" s="188"/>
      <c r="BUD39" s="188"/>
      <c r="BUE39" s="188"/>
      <c r="BUF39" s="188"/>
      <c r="BUG39" s="188"/>
      <c r="BUH39" s="188"/>
      <c r="BUI39" s="188"/>
      <c r="BUJ39" s="188"/>
      <c r="BUK39" s="188"/>
      <c r="BUL39" s="188"/>
      <c r="BUM39" s="188"/>
      <c r="BUN39" s="188"/>
      <c r="BUO39" s="188"/>
      <c r="BUP39" s="188"/>
      <c r="BUQ39" s="188"/>
      <c r="BUR39" s="188"/>
      <c r="BUS39" s="188"/>
      <c r="BUT39" s="188"/>
      <c r="BUU39" s="188"/>
      <c r="BUV39" s="188"/>
      <c r="BUW39" s="188"/>
      <c r="BUX39" s="188"/>
      <c r="BUY39" s="188"/>
      <c r="BUZ39" s="188"/>
      <c r="BVA39" s="188"/>
      <c r="BVB39" s="188"/>
      <c r="BVC39" s="188"/>
      <c r="BVD39" s="188"/>
      <c r="BVE39" s="188"/>
      <c r="BVF39" s="188"/>
      <c r="BVG39" s="188"/>
      <c r="BVH39" s="188"/>
      <c r="BVI39" s="188"/>
      <c r="BVJ39" s="188"/>
      <c r="BVK39" s="188"/>
      <c r="BVL39" s="188"/>
      <c r="BVM39" s="188"/>
      <c r="BVN39" s="188"/>
      <c r="BVO39" s="188"/>
      <c r="BVP39" s="188"/>
      <c r="BVQ39" s="188"/>
      <c r="BVR39" s="188"/>
      <c r="BVS39" s="188"/>
      <c r="BVT39" s="188"/>
      <c r="BVU39" s="188"/>
      <c r="BVV39" s="188"/>
      <c r="BVW39" s="188"/>
      <c r="BVX39" s="188"/>
      <c r="BVY39" s="188"/>
      <c r="BVZ39" s="188"/>
      <c r="BWA39" s="188"/>
      <c r="BWB39" s="188"/>
      <c r="BWC39" s="188"/>
      <c r="BWD39" s="188"/>
      <c r="BWE39" s="188"/>
      <c r="BWF39" s="188"/>
      <c r="BWG39" s="188"/>
      <c r="BWH39" s="188"/>
      <c r="BWI39" s="188"/>
      <c r="BWJ39" s="188"/>
      <c r="BWK39" s="188"/>
      <c r="BWL39" s="188"/>
      <c r="BWM39" s="188"/>
      <c r="BWN39" s="188"/>
      <c r="BWO39" s="188"/>
      <c r="BWP39" s="188"/>
      <c r="BWQ39" s="188"/>
      <c r="BWR39" s="188"/>
      <c r="BWS39" s="188"/>
      <c r="BWT39" s="188"/>
      <c r="BWU39" s="188"/>
      <c r="BWV39" s="188"/>
      <c r="BWW39" s="188"/>
      <c r="BWX39" s="188"/>
      <c r="BWY39" s="188"/>
      <c r="BWZ39" s="188"/>
      <c r="BXA39" s="188"/>
      <c r="BXB39" s="188"/>
      <c r="BXC39" s="188"/>
      <c r="BXD39" s="188"/>
      <c r="BXE39" s="188"/>
      <c r="BXF39" s="188"/>
      <c r="BXG39" s="188"/>
      <c r="BXH39" s="188"/>
      <c r="BXI39" s="188"/>
      <c r="BXJ39" s="188"/>
      <c r="BXK39" s="188"/>
      <c r="BXL39" s="188"/>
      <c r="BXM39" s="188"/>
      <c r="BXN39" s="188"/>
      <c r="BXO39" s="188"/>
      <c r="BXP39" s="188"/>
      <c r="BXQ39" s="188"/>
      <c r="BXR39" s="188"/>
      <c r="BXS39" s="188"/>
      <c r="BXT39" s="188"/>
      <c r="BXU39" s="188"/>
      <c r="BXV39" s="188"/>
      <c r="BXW39" s="188"/>
      <c r="BXX39" s="188"/>
      <c r="BXY39" s="188"/>
      <c r="BXZ39" s="188"/>
      <c r="BYA39" s="188"/>
      <c r="BYB39" s="188"/>
      <c r="BYC39" s="188"/>
      <c r="BYD39" s="188"/>
      <c r="BYE39" s="188"/>
      <c r="BYF39" s="188"/>
      <c r="BYG39" s="188"/>
      <c r="BYH39" s="188"/>
      <c r="BYI39" s="188"/>
      <c r="BYJ39" s="188"/>
      <c r="BYK39" s="188"/>
      <c r="BYL39" s="188"/>
      <c r="BYM39" s="188"/>
      <c r="BYN39" s="188"/>
      <c r="BYO39" s="188"/>
      <c r="BYP39" s="188"/>
      <c r="BYQ39" s="188"/>
      <c r="BYR39" s="188"/>
      <c r="BYS39" s="188"/>
      <c r="BYT39" s="188"/>
      <c r="BYU39" s="188"/>
      <c r="BYV39" s="188"/>
      <c r="BYW39" s="188"/>
      <c r="BYX39" s="188"/>
      <c r="BYY39" s="188"/>
      <c r="BYZ39" s="188"/>
      <c r="BZA39" s="188"/>
      <c r="BZB39" s="188"/>
      <c r="BZC39" s="188"/>
      <c r="BZD39" s="188"/>
      <c r="BZE39" s="188"/>
      <c r="BZF39" s="188"/>
      <c r="BZG39" s="188"/>
      <c r="BZH39" s="188"/>
      <c r="BZI39" s="188"/>
      <c r="BZJ39" s="188"/>
      <c r="BZK39" s="188"/>
      <c r="BZL39" s="188"/>
      <c r="BZM39" s="188"/>
      <c r="BZN39" s="188"/>
      <c r="BZO39" s="188"/>
      <c r="BZP39" s="188"/>
      <c r="BZQ39" s="188"/>
      <c r="BZR39" s="188"/>
      <c r="BZS39" s="188"/>
      <c r="BZT39" s="188"/>
      <c r="BZU39" s="188"/>
      <c r="BZV39" s="188"/>
      <c r="BZW39" s="188"/>
      <c r="BZX39" s="188"/>
      <c r="BZY39" s="188"/>
      <c r="BZZ39" s="188"/>
      <c r="CAA39" s="188"/>
      <c r="CAB39" s="188"/>
      <c r="CAC39" s="188"/>
      <c r="CAD39" s="188"/>
      <c r="CAE39" s="188"/>
      <c r="CAF39" s="188"/>
      <c r="CAG39" s="188"/>
      <c r="CAH39" s="188"/>
      <c r="CAI39" s="188"/>
      <c r="CAJ39" s="188"/>
      <c r="CAK39" s="188"/>
      <c r="CAL39" s="188"/>
      <c r="CAM39" s="188"/>
      <c r="CAN39" s="188"/>
      <c r="CAO39" s="188"/>
      <c r="CAP39" s="188"/>
      <c r="CAQ39" s="188"/>
      <c r="CAR39" s="188"/>
      <c r="CAS39" s="188"/>
      <c r="CAT39" s="188"/>
      <c r="CAU39" s="188"/>
      <c r="CAV39" s="188"/>
      <c r="CAW39" s="188"/>
      <c r="CAX39" s="188"/>
      <c r="CAY39" s="188"/>
      <c r="CAZ39" s="188"/>
      <c r="CBA39" s="188"/>
      <c r="CBB39" s="188"/>
      <c r="CBC39" s="188"/>
      <c r="CBD39" s="188"/>
      <c r="CBE39" s="188"/>
      <c r="CBF39" s="188"/>
      <c r="CBG39" s="188"/>
      <c r="CBH39" s="188"/>
      <c r="CBI39" s="188"/>
      <c r="CBJ39" s="188"/>
      <c r="CBK39" s="188"/>
      <c r="CBL39" s="188"/>
      <c r="CBM39" s="188"/>
      <c r="CBN39" s="188"/>
      <c r="CBO39" s="188"/>
      <c r="CBP39" s="188"/>
      <c r="CBQ39" s="188"/>
      <c r="CBR39" s="188"/>
      <c r="CBS39" s="188"/>
      <c r="CBT39" s="188"/>
      <c r="CBU39" s="188"/>
      <c r="CBV39" s="188"/>
      <c r="CBW39" s="188"/>
      <c r="CBX39" s="188"/>
      <c r="CBY39" s="188"/>
      <c r="CBZ39" s="188"/>
      <c r="CCA39" s="188"/>
      <c r="CCB39" s="188"/>
      <c r="CCC39" s="188"/>
      <c r="CCD39" s="188"/>
      <c r="CCE39" s="188"/>
      <c r="CCF39" s="188"/>
      <c r="CCG39" s="188"/>
      <c r="CCH39" s="188"/>
      <c r="CCI39" s="188"/>
      <c r="CCJ39" s="188"/>
      <c r="CCK39" s="188"/>
      <c r="CCL39" s="188"/>
      <c r="CCM39" s="188"/>
      <c r="CCN39" s="188"/>
      <c r="CCO39" s="188"/>
      <c r="CCP39" s="188"/>
      <c r="CCQ39" s="188"/>
      <c r="CCR39" s="188"/>
      <c r="CCS39" s="188"/>
      <c r="CCT39" s="188"/>
      <c r="CCU39" s="188"/>
      <c r="CCV39" s="188"/>
      <c r="CCW39" s="188"/>
      <c r="CCX39" s="188"/>
      <c r="CCY39" s="188"/>
      <c r="CCZ39" s="188"/>
      <c r="CDA39" s="188"/>
      <c r="CDB39" s="188"/>
      <c r="CDC39" s="188"/>
      <c r="CDD39" s="188"/>
      <c r="CDE39" s="188"/>
      <c r="CDF39" s="188"/>
      <c r="CDG39" s="188"/>
      <c r="CDH39" s="188"/>
      <c r="CDI39" s="188"/>
      <c r="CDJ39" s="188"/>
      <c r="CDK39" s="188"/>
      <c r="CDL39" s="188"/>
      <c r="CDM39" s="188"/>
      <c r="CDN39" s="188"/>
      <c r="CDO39" s="188"/>
      <c r="CDP39" s="188"/>
      <c r="CDQ39" s="188"/>
      <c r="CDR39" s="188"/>
      <c r="CDS39" s="188"/>
      <c r="CDT39" s="188"/>
      <c r="CDU39" s="188"/>
      <c r="CDV39" s="188"/>
      <c r="CDW39" s="188"/>
      <c r="CDX39" s="188"/>
      <c r="CDY39" s="188"/>
      <c r="CDZ39" s="188"/>
      <c r="CEA39" s="188"/>
      <c r="CEB39" s="188"/>
      <c r="CEC39" s="188"/>
      <c r="CED39" s="188"/>
      <c r="CEE39" s="188"/>
      <c r="CEF39" s="188"/>
      <c r="CEG39" s="188"/>
      <c r="CEH39" s="188"/>
      <c r="CEI39" s="188"/>
      <c r="CEJ39" s="188"/>
      <c r="CEK39" s="188"/>
      <c r="CEL39" s="188"/>
      <c r="CEM39" s="188"/>
      <c r="CEN39" s="188"/>
      <c r="CEO39" s="188"/>
      <c r="CEP39" s="188"/>
      <c r="CEQ39" s="188"/>
      <c r="CER39" s="188"/>
      <c r="CES39" s="188"/>
      <c r="CET39" s="188"/>
      <c r="CEU39" s="188"/>
      <c r="CEV39" s="188"/>
      <c r="CEW39" s="188"/>
      <c r="CEX39" s="188"/>
      <c r="CEY39" s="188"/>
      <c r="CEZ39" s="188"/>
      <c r="CFA39" s="188"/>
      <c r="CFB39" s="188"/>
      <c r="CFC39" s="188"/>
      <c r="CFD39" s="188"/>
      <c r="CFE39" s="188"/>
      <c r="CFF39" s="188"/>
      <c r="CFG39" s="188"/>
      <c r="CFH39" s="188"/>
      <c r="CFI39" s="188"/>
      <c r="CFJ39" s="188"/>
      <c r="CFK39" s="188"/>
      <c r="CFL39" s="188"/>
      <c r="CFM39" s="188"/>
      <c r="CFN39" s="188"/>
      <c r="CFO39" s="188"/>
      <c r="CFP39" s="188"/>
      <c r="CFQ39" s="188"/>
      <c r="CFR39" s="188"/>
      <c r="CFS39" s="188"/>
      <c r="CFT39" s="188"/>
      <c r="CFU39" s="188"/>
      <c r="CFV39" s="188"/>
      <c r="CFW39" s="188"/>
      <c r="CFX39" s="188"/>
      <c r="CFY39" s="188"/>
      <c r="CFZ39" s="188"/>
      <c r="CGA39" s="188"/>
      <c r="CGB39" s="188"/>
      <c r="CGC39" s="188"/>
      <c r="CGD39" s="188"/>
      <c r="CGE39" s="188"/>
      <c r="CGF39" s="188"/>
      <c r="CGG39" s="188"/>
      <c r="CGH39" s="188"/>
      <c r="CGI39" s="188"/>
      <c r="CGJ39" s="188"/>
      <c r="CGK39" s="188"/>
      <c r="CGL39" s="188"/>
      <c r="CGM39" s="188"/>
      <c r="CGN39" s="188"/>
      <c r="CGO39" s="188"/>
      <c r="CGP39" s="188"/>
      <c r="CGQ39" s="188"/>
      <c r="CGR39" s="188"/>
      <c r="CGS39" s="188"/>
      <c r="CGT39" s="188"/>
      <c r="CGU39" s="188"/>
      <c r="CGV39" s="188"/>
      <c r="CGW39" s="188"/>
      <c r="CGX39" s="188"/>
      <c r="CGY39" s="188"/>
      <c r="CGZ39" s="188"/>
      <c r="CHA39" s="188"/>
      <c r="CHB39" s="188"/>
      <c r="CHC39" s="188"/>
      <c r="CHD39" s="188"/>
      <c r="CHE39" s="188"/>
      <c r="CHF39" s="188"/>
      <c r="CHG39" s="188"/>
      <c r="CHH39" s="188"/>
      <c r="CHI39" s="188"/>
      <c r="CHJ39" s="188"/>
      <c r="CHK39" s="188"/>
      <c r="CHL39" s="188"/>
      <c r="CHM39" s="188"/>
      <c r="CHN39" s="188"/>
      <c r="CHO39" s="188"/>
      <c r="CHP39" s="188"/>
      <c r="CHQ39" s="188"/>
      <c r="CHR39" s="188"/>
      <c r="CHS39" s="188"/>
      <c r="CHT39" s="188"/>
      <c r="CHU39" s="188"/>
      <c r="CHV39" s="188"/>
      <c r="CHW39" s="188"/>
      <c r="CHX39" s="188"/>
      <c r="CHY39" s="188"/>
      <c r="CHZ39" s="188"/>
      <c r="CIA39" s="188"/>
      <c r="CIB39" s="188"/>
      <c r="CIC39" s="188"/>
      <c r="CID39" s="188"/>
      <c r="CIE39" s="188"/>
      <c r="CIF39" s="188"/>
      <c r="CIG39" s="188"/>
      <c r="CIH39" s="188"/>
      <c r="CII39" s="188"/>
      <c r="CIJ39" s="188"/>
      <c r="CIK39" s="188"/>
      <c r="CIL39" s="188"/>
      <c r="CIM39" s="188"/>
      <c r="CIN39" s="188"/>
      <c r="CIO39" s="188"/>
      <c r="CIP39" s="188"/>
      <c r="CIQ39" s="188"/>
      <c r="CIR39" s="188"/>
      <c r="CIS39" s="188"/>
      <c r="CIT39" s="188"/>
      <c r="CIU39" s="188"/>
      <c r="CIV39" s="188"/>
      <c r="CIW39" s="188"/>
      <c r="CIX39" s="188"/>
      <c r="CIY39" s="188"/>
      <c r="CIZ39" s="188"/>
      <c r="CJA39" s="188"/>
      <c r="CJB39" s="188"/>
      <c r="CJC39" s="188"/>
      <c r="CJD39" s="188"/>
      <c r="CJE39" s="188"/>
      <c r="CJF39" s="188"/>
      <c r="CJG39" s="188"/>
      <c r="CJH39" s="188"/>
      <c r="CJI39" s="188"/>
      <c r="CJJ39" s="188"/>
      <c r="CJK39" s="188"/>
      <c r="CJL39" s="188"/>
      <c r="CJM39" s="188"/>
      <c r="CJN39" s="188"/>
      <c r="CJO39" s="188"/>
      <c r="CJP39" s="188"/>
      <c r="CJQ39" s="188"/>
      <c r="CJR39" s="188"/>
      <c r="CJS39" s="188"/>
      <c r="CJT39" s="188"/>
      <c r="CJU39" s="188"/>
      <c r="CJV39" s="188"/>
      <c r="CJW39" s="188"/>
      <c r="CJX39" s="188"/>
      <c r="CJY39" s="188"/>
      <c r="CJZ39" s="188"/>
      <c r="CKA39" s="188"/>
      <c r="CKB39" s="188"/>
      <c r="CKC39" s="188"/>
      <c r="CKD39" s="188"/>
      <c r="CKE39" s="188"/>
      <c r="CKF39" s="188"/>
      <c r="CKG39" s="188"/>
      <c r="CKH39" s="188"/>
      <c r="CKI39" s="188"/>
      <c r="CKJ39" s="188"/>
      <c r="CKK39" s="188"/>
      <c r="CKL39" s="188"/>
      <c r="CKM39" s="188"/>
      <c r="CKN39" s="188"/>
      <c r="CKO39" s="188"/>
      <c r="CKP39" s="188"/>
      <c r="CKQ39" s="188"/>
      <c r="CKR39" s="188"/>
      <c r="CKS39" s="188"/>
      <c r="CKT39" s="188"/>
      <c r="CKU39" s="188"/>
      <c r="CKV39" s="188"/>
      <c r="CKW39" s="188"/>
      <c r="CKX39" s="188"/>
      <c r="CKY39" s="188"/>
      <c r="CKZ39" s="188"/>
      <c r="CLA39" s="188"/>
      <c r="CLB39" s="188"/>
      <c r="CLC39" s="188"/>
      <c r="CLD39" s="188"/>
      <c r="CLE39" s="188"/>
      <c r="CLF39" s="188"/>
      <c r="CLG39" s="188"/>
      <c r="CLH39" s="188"/>
      <c r="CLI39" s="188"/>
      <c r="CLJ39" s="188"/>
      <c r="CLK39" s="188"/>
      <c r="CLL39" s="188"/>
      <c r="CLM39" s="188"/>
      <c r="CLN39" s="188"/>
      <c r="CLO39" s="188"/>
      <c r="CLP39" s="188"/>
      <c r="CLQ39" s="188"/>
      <c r="CLR39" s="188"/>
      <c r="CLS39" s="188"/>
      <c r="CLT39" s="188"/>
      <c r="CLU39" s="188"/>
      <c r="CLV39" s="188"/>
      <c r="CLW39" s="188"/>
      <c r="CLX39" s="188"/>
      <c r="CLY39" s="188"/>
      <c r="CLZ39" s="188"/>
      <c r="CMA39" s="188"/>
      <c r="CMB39" s="188"/>
      <c r="CMC39" s="188"/>
      <c r="CMD39" s="188"/>
      <c r="CME39" s="188"/>
      <c r="CMF39" s="188"/>
      <c r="CMG39" s="188"/>
      <c r="CMH39" s="188"/>
      <c r="CMI39" s="188"/>
      <c r="CMJ39" s="188"/>
      <c r="CMK39" s="188"/>
      <c r="CML39" s="188"/>
      <c r="CMM39" s="188"/>
      <c r="CMN39" s="188"/>
      <c r="CMO39" s="188"/>
      <c r="CMP39" s="188"/>
      <c r="CMQ39" s="188"/>
      <c r="CMR39" s="188"/>
      <c r="CMS39" s="188"/>
      <c r="CMT39" s="188"/>
      <c r="CMU39" s="188"/>
      <c r="CMV39" s="188"/>
      <c r="CMW39" s="188"/>
      <c r="CMX39" s="188"/>
      <c r="CMY39" s="188"/>
      <c r="CMZ39" s="188"/>
      <c r="CNA39" s="188"/>
      <c r="CNB39" s="188"/>
      <c r="CNC39" s="188"/>
      <c r="CND39" s="188"/>
      <c r="CNE39" s="188"/>
      <c r="CNF39" s="188"/>
      <c r="CNG39" s="188"/>
      <c r="CNH39" s="188"/>
      <c r="CNI39" s="188"/>
      <c r="CNJ39" s="188"/>
      <c r="CNK39" s="188"/>
      <c r="CNL39" s="188"/>
      <c r="CNM39" s="188"/>
      <c r="CNN39" s="188"/>
      <c r="CNO39" s="188"/>
      <c r="CNP39" s="188"/>
      <c r="CNQ39" s="188"/>
      <c r="CNR39" s="188"/>
      <c r="CNS39" s="188"/>
      <c r="CNT39" s="188"/>
      <c r="CNU39" s="188"/>
      <c r="CNV39" s="188"/>
      <c r="CNW39" s="188"/>
      <c r="CNX39" s="188"/>
      <c r="CNY39" s="188"/>
      <c r="CNZ39" s="188"/>
      <c r="COA39" s="188"/>
      <c r="COB39" s="188"/>
      <c r="COC39" s="188"/>
      <c r="COD39" s="188"/>
      <c r="COE39" s="188"/>
      <c r="COF39" s="188"/>
      <c r="COG39" s="188"/>
      <c r="COH39" s="188"/>
      <c r="COI39" s="188"/>
      <c r="COJ39" s="188"/>
      <c r="COK39" s="188"/>
      <c r="COL39" s="188"/>
      <c r="COM39" s="188"/>
      <c r="CON39" s="188"/>
      <c r="COO39" s="188"/>
      <c r="COP39" s="188"/>
      <c r="COQ39" s="188"/>
      <c r="COR39" s="188"/>
      <c r="COS39" s="188"/>
      <c r="COT39" s="188"/>
      <c r="COU39" s="188"/>
      <c r="COV39" s="188"/>
      <c r="COW39" s="188"/>
      <c r="COX39" s="188"/>
      <c r="COY39" s="188"/>
      <c r="COZ39" s="188"/>
      <c r="CPA39" s="188"/>
      <c r="CPB39" s="188"/>
      <c r="CPC39" s="188"/>
      <c r="CPD39" s="188"/>
      <c r="CPE39" s="188"/>
      <c r="CPF39" s="188"/>
      <c r="CPG39" s="188"/>
      <c r="CPH39" s="188"/>
      <c r="CPI39" s="188"/>
      <c r="CPJ39" s="188"/>
      <c r="CPK39" s="188"/>
      <c r="CPL39" s="188"/>
      <c r="CPM39" s="188"/>
      <c r="CPN39" s="188"/>
      <c r="CPO39" s="188"/>
      <c r="CPP39" s="188"/>
      <c r="CPQ39" s="188"/>
      <c r="CPR39" s="188"/>
      <c r="CPS39" s="188"/>
      <c r="CPT39" s="188"/>
      <c r="CPU39" s="188"/>
      <c r="CPV39" s="188"/>
      <c r="CPW39" s="188"/>
      <c r="CPX39" s="188"/>
      <c r="CPY39" s="188"/>
      <c r="CPZ39" s="188"/>
      <c r="CQA39" s="188"/>
      <c r="CQB39" s="188"/>
      <c r="CQC39" s="188"/>
      <c r="CQD39" s="188"/>
      <c r="CQE39" s="188"/>
      <c r="CQF39" s="188"/>
      <c r="CQG39" s="188"/>
      <c r="CQH39" s="188"/>
      <c r="CQI39" s="188"/>
      <c r="CQJ39" s="188"/>
      <c r="CQK39" s="188"/>
      <c r="CQL39" s="188"/>
      <c r="CQM39" s="188"/>
      <c r="CQN39" s="188"/>
      <c r="CQO39" s="188"/>
      <c r="CQP39" s="188"/>
      <c r="CQQ39" s="188"/>
      <c r="CQR39" s="188"/>
      <c r="CQS39" s="188"/>
      <c r="CQT39" s="188"/>
      <c r="CQU39" s="188"/>
      <c r="CQV39" s="188"/>
      <c r="CQW39" s="188"/>
      <c r="CQX39" s="188"/>
      <c r="CQY39" s="188"/>
      <c r="CQZ39" s="188"/>
      <c r="CRA39" s="188"/>
      <c r="CRB39" s="188"/>
      <c r="CRC39" s="188"/>
      <c r="CRD39" s="188"/>
      <c r="CRE39" s="188"/>
      <c r="CRF39" s="188"/>
      <c r="CRG39" s="188"/>
      <c r="CRH39" s="188"/>
      <c r="CRI39" s="188"/>
      <c r="CRJ39" s="188"/>
      <c r="CRK39" s="188"/>
      <c r="CRL39" s="188"/>
      <c r="CRM39" s="188"/>
      <c r="CRN39" s="188"/>
      <c r="CRO39" s="188"/>
      <c r="CRP39" s="188"/>
      <c r="CRQ39" s="188"/>
      <c r="CRR39" s="188"/>
      <c r="CRS39" s="188"/>
      <c r="CRT39" s="188"/>
      <c r="CRU39" s="188"/>
      <c r="CRV39" s="188"/>
      <c r="CRW39" s="188"/>
      <c r="CRX39" s="188"/>
      <c r="CRY39" s="188"/>
      <c r="CRZ39" s="188"/>
      <c r="CSA39" s="188"/>
      <c r="CSB39" s="188"/>
      <c r="CSC39" s="188"/>
      <c r="CSD39" s="188"/>
      <c r="CSE39" s="188"/>
      <c r="CSF39" s="188"/>
      <c r="CSG39" s="188"/>
      <c r="CSH39" s="188"/>
      <c r="CSI39" s="188"/>
      <c r="CSJ39" s="188"/>
      <c r="CSK39" s="188"/>
      <c r="CSL39" s="188"/>
      <c r="CSM39" s="188"/>
      <c r="CSN39" s="188"/>
      <c r="CSO39" s="188"/>
      <c r="CSP39" s="188"/>
      <c r="CSQ39" s="188"/>
      <c r="CSR39" s="188"/>
      <c r="CSS39" s="188"/>
      <c r="CST39" s="188"/>
      <c r="CSU39" s="188"/>
      <c r="CSV39" s="188"/>
      <c r="CSW39" s="188"/>
      <c r="CSX39" s="188"/>
      <c r="CSY39" s="188"/>
      <c r="CSZ39" s="188"/>
      <c r="CTA39" s="188"/>
      <c r="CTB39" s="188"/>
      <c r="CTC39" s="188"/>
      <c r="CTD39" s="188"/>
      <c r="CTE39" s="188"/>
      <c r="CTF39" s="188"/>
      <c r="CTG39" s="188"/>
      <c r="CTH39" s="188"/>
      <c r="CTI39" s="188"/>
      <c r="CTJ39" s="188"/>
      <c r="CTK39" s="188"/>
      <c r="CTL39" s="188"/>
      <c r="CTM39" s="188"/>
      <c r="CTN39" s="188"/>
      <c r="CTO39" s="188"/>
      <c r="CTP39" s="188"/>
      <c r="CTQ39" s="188"/>
      <c r="CTR39" s="188"/>
      <c r="CTS39" s="188"/>
      <c r="CTT39" s="188"/>
      <c r="CTU39" s="188"/>
      <c r="CTV39" s="188"/>
      <c r="CTW39" s="188"/>
      <c r="CTX39" s="188"/>
      <c r="CTY39" s="188"/>
      <c r="CTZ39" s="188"/>
      <c r="CUA39" s="188"/>
    </row>
    <row r="40" s="189" customFormat="1" spans="1:1024 1025:2575">
      <c r="A40" s="216" t="s">
        <v>30</v>
      </c>
      <c r="B40" s="84">
        <f t="shared" si="31"/>
        <v>10</v>
      </c>
      <c r="C40" s="217">
        <f t="shared" si="26"/>
        <v>45524</v>
      </c>
      <c r="D40" s="218">
        <f t="shared" si="22"/>
        <v>45530</v>
      </c>
      <c r="E40" s="219">
        <v>1274</v>
      </c>
      <c r="F40" s="220">
        <f t="shared" si="27"/>
        <v>45544</v>
      </c>
      <c r="G40" s="219">
        <v>997</v>
      </c>
      <c r="H40" s="54">
        <f t="shared" si="10"/>
        <v>0.782574568288854</v>
      </c>
      <c r="I40" s="218">
        <f t="shared" si="28"/>
        <v>45561</v>
      </c>
      <c r="J40" s="219">
        <v>962</v>
      </c>
      <c r="K40" s="54">
        <f t="shared" si="0"/>
        <v>0.755102040816326</v>
      </c>
      <c r="L40" s="218">
        <f t="shared" si="29"/>
        <v>45564</v>
      </c>
      <c r="M40" s="219">
        <v>948</v>
      </c>
      <c r="N40" s="219">
        <v>8028</v>
      </c>
      <c r="O40" s="54">
        <f t="shared" si="1"/>
        <v>0.744113029827316</v>
      </c>
      <c r="P40" s="54">
        <f t="shared" si="7"/>
        <v>0.0384615384615384</v>
      </c>
      <c r="Q40" s="221">
        <f t="shared" si="2"/>
        <v>8.46835443037975</v>
      </c>
      <c r="R40" s="218">
        <f t="shared" si="30"/>
        <v>45596</v>
      </c>
      <c r="S40" s="203">
        <v>7816</v>
      </c>
      <c r="T40" s="84">
        <v>877</v>
      </c>
      <c r="U40" s="54">
        <f t="shared" si="3"/>
        <v>0.973592426507225</v>
      </c>
      <c r="V40" s="218">
        <f t="shared" si="19"/>
        <v>45631</v>
      </c>
      <c r="W40" s="203">
        <v>7543</v>
      </c>
      <c r="X40" s="54">
        <f t="shared" si="4"/>
        <v>0.96507164790174</v>
      </c>
      <c r="Y40" s="84">
        <v>17176</v>
      </c>
      <c r="Z40" s="203">
        <v>14.6</v>
      </c>
      <c r="AA40" s="8">
        <f t="shared" ref="AA40:AA53" si="32">Y40/W40</f>
        <v>2.27707808564232</v>
      </c>
      <c r="AB40" s="8">
        <f t="shared" si="5"/>
        <v>5.92072213500785</v>
      </c>
      <c r="AC40" s="8">
        <v>3.54</v>
      </c>
      <c r="AD40" s="203">
        <v>3.39</v>
      </c>
      <c r="AE40" s="8">
        <v>58.3</v>
      </c>
      <c r="AF40" s="208" t="s">
        <v>56</v>
      </c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  <c r="BY40" s="188"/>
      <c r="BZ40" s="188"/>
      <c r="CA40" s="188"/>
      <c r="CB40" s="188"/>
      <c r="CC40" s="188"/>
      <c r="CD40" s="188"/>
      <c r="CE40" s="188"/>
      <c r="CF40" s="188"/>
      <c r="CG40" s="188"/>
      <c r="CH40" s="188"/>
      <c r="CI40" s="188"/>
      <c r="CJ40" s="188"/>
      <c r="CK40" s="188"/>
      <c r="CL40" s="188"/>
      <c r="CM40" s="188"/>
      <c r="CN40" s="188"/>
      <c r="CO40" s="188"/>
      <c r="CP40" s="188"/>
      <c r="CQ40" s="188"/>
      <c r="CR40" s="188"/>
      <c r="CS40" s="188"/>
      <c r="CT40" s="188"/>
      <c r="CU40" s="188"/>
      <c r="CV40" s="188"/>
      <c r="CW40" s="188"/>
      <c r="CX40" s="188"/>
      <c r="CY40" s="188"/>
      <c r="CZ40" s="188"/>
      <c r="DA40" s="188"/>
      <c r="DB40" s="188"/>
      <c r="DC40" s="188"/>
      <c r="DD40" s="188"/>
      <c r="DE40" s="188"/>
      <c r="DF40" s="188"/>
      <c r="DG40" s="188"/>
      <c r="DH40" s="188"/>
      <c r="DI40" s="188"/>
      <c r="DJ40" s="188"/>
      <c r="DK40" s="188"/>
      <c r="DL40" s="188"/>
      <c r="DM40" s="188"/>
      <c r="DN40" s="188"/>
      <c r="DO40" s="188"/>
      <c r="DP40" s="188"/>
      <c r="DQ40" s="188"/>
      <c r="DR40" s="188"/>
      <c r="DS40" s="188"/>
      <c r="DT40" s="188"/>
      <c r="DU40" s="188"/>
      <c r="DV40" s="188"/>
      <c r="DW40" s="188"/>
      <c r="DX40" s="188"/>
      <c r="DY40" s="188"/>
      <c r="DZ40" s="188"/>
      <c r="EA40" s="188"/>
      <c r="EB40" s="188"/>
      <c r="EC40" s="188"/>
      <c r="ED40" s="188"/>
      <c r="EE40" s="188"/>
      <c r="EF40" s="188"/>
      <c r="EG40" s="188"/>
      <c r="EH40" s="188"/>
      <c r="EI40" s="188"/>
      <c r="EJ40" s="188"/>
      <c r="EK40" s="188"/>
      <c r="EL40" s="188"/>
      <c r="EM40" s="188"/>
      <c r="EN40" s="188"/>
      <c r="EO40" s="188"/>
      <c r="EP40" s="188"/>
      <c r="EQ40" s="188"/>
      <c r="ER40" s="188"/>
      <c r="ES40" s="188"/>
      <c r="ET40" s="188"/>
      <c r="EU40" s="188"/>
      <c r="EV40" s="188"/>
      <c r="EW40" s="188"/>
      <c r="EX40" s="188"/>
      <c r="EY40" s="188"/>
      <c r="EZ40" s="188"/>
      <c r="FA40" s="188"/>
      <c r="FB40" s="188"/>
      <c r="FC40" s="188"/>
      <c r="FD40" s="188"/>
      <c r="FE40" s="188"/>
      <c r="FF40" s="188"/>
      <c r="FG40" s="188"/>
      <c r="FH40" s="188"/>
      <c r="FI40" s="188"/>
      <c r="FJ40" s="188"/>
      <c r="FK40" s="188"/>
      <c r="FL40" s="188"/>
      <c r="FM40" s="188"/>
      <c r="FN40" s="188"/>
      <c r="FO40" s="188"/>
      <c r="FP40" s="188"/>
      <c r="FQ40" s="188"/>
      <c r="FR40" s="188"/>
      <c r="FS40" s="188"/>
      <c r="FT40" s="188"/>
      <c r="FU40" s="188"/>
      <c r="FV40" s="188"/>
      <c r="FW40" s="188"/>
      <c r="FX40" s="188"/>
      <c r="FY40" s="188"/>
      <c r="FZ40" s="188"/>
      <c r="GA40" s="188"/>
      <c r="GB40" s="188"/>
      <c r="GC40" s="188"/>
      <c r="GD40" s="188"/>
      <c r="GE40" s="188"/>
      <c r="GF40" s="188"/>
      <c r="GG40" s="188"/>
      <c r="GH40" s="188"/>
      <c r="GI40" s="188"/>
      <c r="GJ40" s="188"/>
      <c r="GK40" s="188"/>
      <c r="GL40" s="188"/>
      <c r="GM40" s="188"/>
      <c r="GN40" s="188"/>
      <c r="GO40" s="188"/>
      <c r="GP40" s="188"/>
      <c r="GQ40" s="188"/>
      <c r="GR40" s="188"/>
      <c r="GS40" s="188"/>
      <c r="GT40" s="188"/>
      <c r="GU40" s="188"/>
      <c r="GV40" s="188"/>
      <c r="GW40" s="188"/>
      <c r="GX40" s="188"/>
      <c r="GY40" s="188"/>
      <c r="GZ40" s="188"/>
      <c r="HA40" s="188"/>
      <c r="HB40" s="188"/>
      <c r="HC40" s="188"/>
      <c r="HD40" s="188"/>
      <c r="HE40" s="188"/>
      <c r="HF40" s="188"/>
      <c r="HG40" s="188"/>
      <c r="HH40" s="188"/>
      <c r="HI40" s="188"/>
      <c r="HJ40" s="188"/>
      <c r="HK40" s="188"/>
      <c r="HL40" s="188"/>
      <c r="HM40" s="188"/>
      <c r="HN40" s="188"/>
      <c r="HO40" s="188"/>
      <c r="HP40" s="188"/>
      <c r="HQ40" s="188"/>
      <c r="HR40" s="188"/>
      <c r="HS40" s="188"/>
      <c r="HT40" s="188"/>
      <c r="HU40" s="188"/>
      <c r="HV40" s="188"/>
      <c r="HW40" s="188"/>
      <c r="HX40" s="188"/>
      <c r="HY40" s="188"/>
      <c r="HZ40" s="188"/>
      <c r="IA40" s="188"/>
      <c r="IB40" s="188"/>
      <c r="IC40" s="188"/>
      <c r="ID40" s="188"/>
      <c r="IE40" s="188"/>
      <c r="IF40" s="188"/>
      <c r="IG40" s="188"/>
      <c r="IH40" s="188"/>
      <c r="II40" s="188"/>
      <c r="IJ40" s="188"/>
      <c r="IK40" s="188"/>
      <c r="IL40" s="188"/>
      <c r="IM40" s="188"/>
      <c r="IN40" s="188"/>
      <c r="IO40" s="188"/>
      <c r="IP40" s="188"/>
      <c r="IQ40" s="188"/>
      <c r="IR40" s="188"/>
      <c r="IS40" s="188"/>
      <c r="IT40" s="188"/>
      <c r="IU40" s="188"/>
      <c r="IV40" s="188"/>
      <c r="IW40" s="188"/>
      <c r="IX40" s="188"/>
      <c r="IY40" s="188"/>
      <c r="IZ40" s="188"/>
      <c r="JA40" s="188"/>
      <c r="JB40" s="188"/>
      <c r="JC40" s="188"/>
      <c r="JD40" s="188"/>
      <c r="JE40" s="188"/>
      <c r="JF40" s="188"/>
      <c r="JG40" s="188"/>
      <c r="JH40" s="188"/>
      <c r="JI40" s="188"/>
      <c r="JJ40" s="188"/>
      <c r="JK40" s="188"/>
      <c r="JL40" s="188"/>
      <c r="JM40" s="188"/>
      <c r="JN40" s="188"/>
      <c r="JO40" s="188"/>
      <c r="JP40" s="188"/>
      <c r="JQ40" s="188"/>
      <c r="JR40" s="188"/>
      <c r="JS40" s="188"/>
      <c r="JT40" s="188"/>
      <c r="JU40" s="188"/>
      <c r="JV40" s="188"/>
      <c r="JW40" s="188"/>
      <c r="JX40" s="188"/>
      <c r="JY40" s="188"/>
      <c r="JZ40" s="188"/>
      <c r="KA40" s="188"/>
      <c r="KB40" s="188"/>
      <c r="KC40" s="188"/>
      <c r="KD40" s="188"/>
      <c r="KE40" s="188"/>
      <c r="KF40" s="188"/>
      <c r="KG40" s="188"/>
      <c r="KH40" s="188"/>
      <c r="KI40" s="188"/>
      <c r="KJ40" s="188"/>
      <c r="KK40" s="188"/>
      <c r="KL40" s="188"/>
      <c r="KM40" s="188"/>
      <c r="KN40" s="188"/>
      <c r="KO40" s="188"/>
      <c r="KP40" s="188"/>
      <c r="KQ40" s="188"/>
      <c r="KR40" s="188"/>
      <c r="KS40" s="188"/>
      <c r="KT40" s="188"/>
      <c r="KU40" s="188"/>
      <c r="KV40" s="188"/>
      <c r="KW40" s="188"/>
      <c r="KX40" s="188"/>
      <c r="KY40" s="188"/>
      <c r="KZ40" s="188"/>
      <c r="LA40" s="188"/>
      <c r="LB40" s="188"/>
      <c r="LC40" s="188"/>
      <c r="LD40" s="188"/>
      <c r="LE40" s="188"/>
      <c r="LF40" s="188"/>
      <c r="LG40" s="188"/>
      <c r="LH40" s="188"/>
      <c r="LI40" s="188"/>
      <c r="LJ40" s="188"/>
      <c r="LK40" s="188"/>
      <c r="LL40" s="188"/>
      <c r="LM40" s="188"/>
      <c r="LN40" s="188"/>
      <c r="LO40" s="188"/>
      <c r="LP40" s="188"/>
      <c r="LQ40" s="188"/>
      <c r="LR40" s="188"/>
      <c r="LS40" s="188"/>
      <c r="LT40" s="188"/>
      <c r="LU40" s="188"/>
      <c r="LV40" s="188"/>
      <c r="LW40" s="188"/>
      <c r="LX40" s="188"/>
      <c r="LY40" s="188"/>
      <c r="LZ40" s="188"/>
      <c r="MA40" s="188"/>
      <c r="MB40" s="188"/>
      <c r="MC40" s="188"/>
      <c r="MD40" s="188"/>
      <c r="ME40" s="188"/>
      <c r="MF40" s="188"/>
      <c r="MG40" s="188"/>
      <c r="MH40" s="188"/>
      <c r="MI40" s="188"/>
      <c r="MJ40" s="188"/>
      <c r="MK40" s="188"/>
      <c r="ML40" s="188"/>
      <c r="MM40" s="188"/>
      <c r="MN40" s="188"/>
      <c r="MO40" s="188"/>
      <c r="MP40" s="188"/>
      <c r="MQ40" s="188"/>
      <c r="MR40" s="188"/>
      <c r="MS40" s="188"/>
      <c r="MT40" s="188"/>
      <c r="MU40" s="188"/>
      <c r="MV40" s="188"/>
      <c r="MW40" s="188"/>
      <c r="MX40" s="188"/>
      <c r="MY40" s="188"/>
      <c r="MZ40" s="188"/>
      <c r="NA40" s="188"/>
      <c r="NB40" s="188"/>
      <c r="NC40" s="188"/>
      <c r="ND40" s="188"/>
      <c r="NE40" s="188"/>
      <c r="NF40" s="188"/>
      <c r="NG40" s="188"/>
      <c r="NH40" s="188"/>
      <c r="NI40" s="188"/>
      <c r="NJ40" s="188"/>
      <c r="NK40" s="188"/>
      <c r="NL40" s="188"/>
      <c r="NM40" s="188"/>
      <c r="NN40" s="188"/>
      <c r="NO40" s="188"/>
      <c r="NP40" s="188"/>
      <c r="NQ40" s="188"/>
      <c r="NR40" s="188"/>
      <c r="NS40" s="188"/>
      <c r="NT40" s="188"/>
      <c r="NU40" s="188"/>
      <c r="NV40" s="188"/>
      <c r="NW40" s="188"/>
      <c r="NX40" s="188"/>
      <c r="NY40" s="188"/>
      <c r="NZ40" s="188"/>
      <c r="OA40" s="188"/>
      <c r="OB40" s="188"/>
      <c r="OC40" s="188"/>
      <c r="OD40" s="188"/>
      <c r="OE40" s="188"/>
      <c r="OF40" s="188"/>
      <c r="OG40" s="188"/>
      <c r="OH40" s="188"/>
      <c r="OI40" s="188"/>
      <c r="OJ40" s="188"/>
      <c r="OK40" s="188"/>
      <c r="OL40" s="188"/>
      <c r="OM40" s="188"/>
      <c r="ON40" s="188"/>
      <c r="OO40" s="188"/>
      <c r="OP40" s="188"/>
      <c r="OQ40" s="188"/>
      <c r="OR40" s="188"/>
      <c r="OS40" s="188"/>
      <c r="OT40" s="188"/>
      <c r="OU40" s="188"/>
      <c r="OV40" s="188"/>
      <c r="OW40" s="188"/>
      <c r="OX40" s="188"/>
      <c r="OY40" s="188"/>
      <c r="OZ40" s="188"/>
      <c r="PA40" s="188"/>
      <c r="PB40" s="188"/>
      <c r="PC40" s="188"/>
      <c r="PD40" s="188"/>
      <c r="PE40" s="188"/>
      <c r="PF40" s="188"/>
      <c r="PG40" s="188"/>
      <c r="PH40" s="188"/>
      <c r="PI40" s="188"/>
      <c r="PJ40" s="188"/>
      <c r="PK40" s="188"/>
      <c r="PL40" s="188"/>
      <c r="PM40" s="188"/>
      <c r="PN40" s="188"/>
      <c r="PO40" s="188"/>
      <c r="PP40" s="188"/>
      <c r="PQ40" s="188"/>
      <c r="PR40" s="188"/>
      <c r="PS40" s="188"/>
      <c r="PT40" s="188"/>
      <c r="PU40" s="188"/>
      <c r="PV40" s="188"/>
      <c r="PW40" s="188"/>
      <c r="PX40" s="188"/>
      <c r="PY40" s="188"/>
      <c r="PZ40" s="188"/>
      <c r="QA40" s="188"/>
      <c r="QB40" s="188"/>
      <c r="QC40" s="188"/>
      <c r="QD40" s="188"/>
      <c r="QE40" s="188"/>
      <c r="QF40" s="188"/>
      <c r="QG40" s="188"/>
      <c r="QH40" s="188"/>
      <c r="QI40" s="188"/>
      <c r="QJ40" s="188"/>
      <c r="QK40" s="188"/>
      <c r="QL40" s="188"/>
      <c r="QM40" s="188"/>
      <c r="QN40" s="188"/>
      <c r="QO40" s="188"/>
      <c r="QP40" s="188"/>
      <c r="QQ40" s="188"/>
      <c r="QR40" s="188"/>
      <c r="QS40" s="188"/>
      <c r="QT40" s="188"/>
      <c r="QU40" s="188"/>
      <c r="QV40" s="188"/>
      <c r="QW40" s="188"/>
      <c r="QX40" s="188"/>
      <c r="QY40" s="188"/>
      <c r="QZ40" s="188"/>
      <c r="RA40" s="188"/>
      <c r="RB40" s="188"/>
      <c r="RC40" s="188"/>
      <c r="RD40" s="188"/>
      <c r="RE40" s="188"/>
      <c r="RF40" s="188"/>
      <c r="RG40" s="188"/>
      <c r="RH40" s="188"/>
      <c r="RI40" s="188"/>
      <c r="RJ40" s="188"/>
      <c r="RK40" s="188"/>
      <c r="RL40" s="188"/>
      <c r="RM40" s="188"/>
      <c r="RN40" s="188"/>
      <c r="RO40" s="188"/>
      <c r="RP40" s="188"/>
      <c r="RQ40" s="188"/>
      <c r="RR40" s="188"/>
      <c r="RS40" s="188"/>
      <c r="RT40" s="188"/>
      <c r="RU40" s="188"/>
      <c r="RV40" s="188"/>
      <c r="RW40" s="188"/>
      <c r="RX40" s="188"/>
      <c r="RY40" s="188"/>
      <c r="RZ40" s="188"/>
      <c r="SA40" s="188"/>
      <c r="SB40" s="188"/>
      <c r="SC40" s="188"/>
      <c r="SD40" s="188"/>
      <c r="SE40" s="188"/>
      <c r="SF40" s="188"/>
      <c r="SG40" s="188"/>
      <c r="SH40" s="188"/>
      <c r="SI40" s="188"/>
      <c r="SJ40" s="188"/>
      <c r="SK40" s="188"/>
      <c r="SL40" s="188"/>
      <c r="SM40" s="188"/>
      <c r="SN40" s="188"/>
      <c r="SO40" s="188"/>
      <c r="SP40" s="188"/>
      <c r="SQ40" s="188"/>
      <c r="SR40" s="188"/>
      <c r="SS40" s="188"/>
      <c r="ST40" s="188"/>
      <c r="SU40" s="188"/>
      <c r="SV40" s="188"/>
      <c r="SW40" s="188"/>
      <c r="SX40" s="188"/>
      <c r="SY40" s="188"/>
      <c r="SZ40" s="188"/>
      <c r="TA40" s="188"/>
      <c r="TB40" s="188"/>
      <c r="TC40" s="188"/>
      <c r="TD40" s="188"/>
      <c r="TE40" s="188"/>
      <c r="TF40" s="188"/>
      <c r="TG40" s="188"/>
      <c r="TH40" s="188"/>
      <c r="TI40" s="188"/>
      <c r="TJ40" s="188"/>
      <c r="TK40" s="188"/>
      <c r="TL40" s="188"/>
      <c r="TM40" s="188"/>
      <c r="TN40" s="188"/>
      <c r="TO40" s="188"/>
      <c r="TP40" s="188"/>
      <c r="TQ40" s="188"/>
      <c r="TR40" s="188"/>
      <c r="TS40" s="188"/>
      <c r="TT40" s="188"/>
      <c r="TU40" s="188"/>
      <c r="TV40" s="188"/>
      <c r="TW40" s="188"/>
      <c r="TX40" s="188"/>
      <c r="TY40" s="188"/>
      <c r="TZ40" s="188"/>
      <c r="UA40" s="188"/>
      <c r="UB40" s="188"/>
      <c r="UC40" s="188"/>
      <c r="UD40" s="188"/>
      <c r="UE40" s="188"/>
      <c r="UF40" s="188"/>
      <c r="UG40" s="188"/>
      <c r="UH40" s="188"/>
      <c r="UI40" s="188"/>
      <c r="UJ40" s="188"/>
      <c r="UK40" s="188"/>
      <c r="UL40" s="188"/>
      <c r="UM40" s="188"/>
      <c r="UN40" s="188"/>
      <c r="UO40" s="188"/>
      <c r="UP40" s="188"/>
      <c r="UQ40" s="188"/>
      <c r="UR40" s="188"/>
      <c r="US40" s="188"/>
      <c r="UT40" s="188"/>
      <c r="UU40" s="188"/>
      <c r="UV40" s="188"/>
      <c r="UW40" s="188"/>
      <c r="UX40" s="188"/>
      <c r="UY40" s="188"/>
      <c r="UZ40" s="188"/>
      <c r="VA40" s="188"/>
      <c r="VB40" s="188"/>
      <c r="VC40" s="188"/>
      <c r="VD40" s="188"/>
      <c r="VE40" s="188"/>
      <c r="VF40" s="188"/>
      <c r="VG40" s="188"/>
      <c r="VH40" s="188"/>
      <c r="VI40" s="188"/>
      <c r="VJ40" s="188"/>
      <c r="VK40" s="188"/>
      <c r="VL40" s="188"/>
      <c r="VM40" s="188"/>
      <c r="VN40" s="188"/>
      <c r="VO40" s="188"/>
      <c r="VP40" s="188"/>
      <c r="VQ40" s="188"/>
      <c r="VR40" s="188"/>
      <c r="VS40" s="188"/>
      <c r="VT40" s="188"/>
      <c r="VU40" s="188"/>
      <c r="VV40" s="188"/>
      <c r="VW40" s="188"/>
      <c r="VX40" s="188"/>
      <c r="VY40" s="188"/>
      <c r="VZ40" s="188"/>
      <c r="WA40" s="188"/>
      <c r="WB40" s="188"/>
      <c r="WC40" s="188"/>
      <c r="WD40" s="188"/>
      <c r="WE40" s="188"/>
      <c r="WF40" s="188"/>
      <c r="WG40" s="188"/>
      <c r="WH40" s="188"/>
      <c r="WI40" s="188"/>
      <c r="WJ40" s="188"/>
      <c r="WK40" s="188"/>
      <c r="WL40" s="188"/>
      <c r="WM40" s="188"/>
      <c r="WN40" s="188"/>
      <c r="WO40" s="188"/>
      <c r="WP40" s="188"/>
      <c r="WQ40" s="188"/>
      <c r="WR40" s="188"/>
      <c r="WS40" s="188"/>
      <c r="WT40" s="188"/>
      <c r="WU40" s="188"/>
      <c r="WV40" s="188"/>
      <c r="WW40" s="188"/>
      <c r="WX40" s="188"/>
      <c r="WY40" s="188"/>
      <c r="WZ40" s="188"/>
      <c r="XA40" s="188"/>
      <c r="XB40" s="188"/>
      <c r="XC40" s="188"/>
      <c r="XD40" s="188"/>
      <c r="XE40" s="188"/>
      <c r="XF40" s="188"/>
      <c r="XG40" s="188"/>
      <c r="XH40" s="188"/>
      <c r="XI40" s="188"/>
      <c r="XJ40" s="188"/>
      <c r="XK40" s="188"/>
      <c r="XL40" s="188"/>
      <c r="XM40" s="188"/>
      <c r="XN40" s="188"/>
      <c r="XO40" s="188"/>
      <c r="XP40" s="188"/>
      <c r="XQ40" s="188"/>
      <c r="XR40" s="188"/>
      <c r="XS40" s="188"/>
      <c r="XT40" s="188"/>
      <c r="XU40" s="188"/>
      <c r="XV40" s="188"/>
      <c r="XW40" s="188"/>
      <c r="XX40" s="188"/>
      <c r="XY40" s="188"/>
      <c r="XZ40" s="188"/>
      <c r="YA40" s="188"/>
      <c r="YB40" s="188"/>
      <c r="YC40" s="188"/>
      <c r="YD40" s="188"/>
      <c r="YE40" s="188"/>
      <c r="YF40" s="188"/>
      <c r="YG40" s="188"/>
      <c r="YH40" s="188"/>
      <c r="YI40" s="188"/>
      <c r="YJ40" s="188"/>
      <c r="YK40" s="188"/>
      <c r="YL40" s="188"/>
      <c r="YM40" s="188"/>
      <c r="YN40" s="188"/>
      <c r="YO40" s="188"/>
      <c r="YP40" s="188"/>
      <c r="YQ40" s="188"/>
      <c r="YR40" s="188"/>
      <c r="YS40" s="188"/>
      <c r="YT40" s="188"/>
      <c r="YU40" s="188"/>
      <c r="YV40" s="188"/>
      <c r="YW40" s="188"/>
      <c r="YX40" s="188"/>
      <c r="YY40" s="188"/>
      <c r="YZ40" s="188"/>
      <c r="ZA40" s="188"/>
      <c r="ZB40" s="188"/>
      <c r="ZC40" s="188"/>
      <c r="ZD40" s="188"/>
      <c r="ZE40" s="188"/>
      <c r="ZF40" s="188"/>
      <c r="ZG40" s="188"/>
      <c r="ZH40" s="188"/>
      <c r="ZI40" s="188"/>
      <c r="ZJ40" s="188"/>
      <c r="ZK40" s="188"/>
      <c r="ZL40" s="188"/>
      <c r="ZM40" s="188"/>
      <c r="ZN40" s="188"/>
      <c r="ZO40" s="188"/>
      <c r="ZP40" s="188"/>
      <c r="ZQ40" s="188"/>
      <c r="ZR40" s="188"/>
      <c r="ZS40" s="188"/>
      <c r="ZT40" s="188"/>
      <c r="ZU40" s="188"/>
      <c r="ZV40" s="188"/>
      <c r="ZW40" s="188"/>
      <c r="ZX40" s="188"/>
      <c r="ZY40" s="188"/>
      <c r="ZZ40" s="188"/>
      <c r="AAA40" s="188"/>
      <c r="AAB40" s="188"/>
      <c r="AAC40" s="188"/>
      <c r="AAD40" s="188"/>
      <c r="AAE40" s="188"/>
      <c r="AAF40" s="188"/>
      <c r="AAG40" s="188"/>
      <c r="AAH40" s="188"/>
      <c r="AAI40" s="188"/>
      <c r="AAJ40" s="188"/>
      <c r="AAK40" s="188"/>
      <c r="AAL40" s="188"/>
      <c r="AAM40" s="188"/>
      <c r="AAN40" s="188"/>
      <c r="AAO40" s="188"/>
      <c r="AAP40" s="188"/>
      <c r="AAQ40" s="188"/>
      <c r="AAR40" s="188"/>
      <c r="AAS40" s="188"/>
      <c r="AAT40" s="188"/>
      <c r="AAU40" s="188"/>
      <c r="AAV40" s="188"/>
      <c r="AAW40" s="188"/>
      <c r="AAX40" s="188"/>
      <c r="AAY40" s="188"/>
      <c r="AAZ40" s="188"/>
      <c r="ABA40" s="188"/>
      <c r="ABB40" s="188"/>
      <c r="ABC40" s="188"/>
      <c r="ABD40" s="188"/>
      <c r="ABE40" s="188"/>
      <c r="ABF40" s="188"/>
      <c r="ABG40" s="188"/>
      <c r="ABH40" s="188"/>
      <c r="ABI40" s="188"/>
      <c r="ABJ40" s="188"/>
      <c r="ABK40" s="188"/>
      <c r="ABL40" s="188"/>
      <c r="ABM40" s="188"/>
      <c r="ABN40" s="188"/>
      <c r="ABO40" s="188"/>
      <c r="ABP40" s="188"/>
      <c r="ABQ40" s="188"/>
      <c r="ABR40" s="188"/>
      <c r="ABS40" s="188"/>
      <c r="ABT40" s="188"/>
      <c r="ABU40" s="188"/>
      <c r="ABV40" s="188"/>
      <c r="ABW40" s="188"/>
      <c r="ABX40" s="188"/>
      <c r="ABY40" s="188"/>
      <c r="ABZ40" s="188"/>
      <c r="ACA40" s="188"/>
      <c r="ACB40" s="188"/>
      <c r="ACC40" s="188"/>
      <c r="ACD40" s="188"/>
      <c r="ACE40" s="188"/>
      <c r="ACF40" s="188"/>
      <c r="ACG40" s="188"/>
      <c r="ACH40" s="188"/>
      <c r="ACI40" s="188"/>
      <c r="ACJ40" s="188"/>
      <c r="ACK40" s="188"/>
      <c r="ACL40" s="188"/>
      <c r="ACM40" s="188"/>
      <c r="ACN40" s="188"/>
      <c r="ACO40" s="188"/>
      <c r="ACP40" s="188"/>
      <c r="ACQ40" s="188"/>
      <c r="ACR40" s="188"/>
      <c r="ACS40" s="188"/>
      <c r="ACT40" s="188"/>
      <c r="ACU40" s="188"/>
      <c r="ACV40" s="188"/>
      <c r="ACW40" s="188"/>
      <c r="ACX40" s="188"/>
      <c r="ACY40" s="188"/>
      <c r="ACZ40" s="188"/>
      <c r="ADA40" s="188"/>
      <c r="ADB40" s="188"/>
      <c r="ADC40" s="188"/>
      <c r="ADD40" s="188"/>
      <c r="ADE40" s="188"/>
      <c r="ADF40" s="188"/>
      <c r="ADG40" s="188"/>
      <c r="ADH40" s="188"/>
      <c r="ADI40" s="188"/>
      <c r="ADJ40" s="188"/>
      <c r="ADK40" s="188"/>
      <c r="ADL40" s="188"/>
      <c r="ADM40" s="188"/>
      <c r="ADN40" s="188"/>
      <c r="ADO40" s="188"/>
      <c r="ADP40" s="188"/>
      <c r="ADQ40" s="188"/>
      <c r="ADR40" s="188"/>
      <c r="ADS40" s="188"/>
      <c r="ADT40" s="188"/>
      <c r="ADU40" s="188"/>
      <c r="ADV40" s="188"/>
      <c r="ADW40" s="188"/>
      <c r="ADX40" s="188"/>
      <c r="ADY40" s="188"/>
      <c r="ADZ40" s="188"/>
      <c r="AEA40" s="188"/>
      <c r="AEB40" s="188"/>
      <c r="AEC40" s="188"/>
      <c r="AED40" s="188"/>
      <c r="AEE40" s="188"/>
      <c r="AEF40" s="188"/>
      <c r="AEG40" s="188"/>
      <c r="AEH40" s="188"/>
      <c r="AEI40" s="188"/>
      <c r="AEJ40" s="188"/>
      <c r="AEK40" s="188"/>
      <c r="AEL40" s="188"/>
      <c r="AEM40" s="188"/>
      <c r="AEN40" s="188"/>
      <c r="AEO40" s="188"/>
      <c r="AEP40" s="188"/>
      <c r="AEQ40" s="188"/>
      <c r="AER40" s="188"/>
      <c r="AES40" s="188"/>
      <c r="AET40" s="188"/>
      <c r="AEU40" s="188"/>
      <c r="AEV40" s="188"/>
      <c r="AEW40" s="188"/>
      <c r="AEX40" s="188"/>
      <c r="AEY40" s="188"/>
      <c r="AEZ40" s="188"/>
      <c r="AFA40" s="188"/>
      <c r="AFB40" s="188"/>
      <c r="AFC40" s="188"/>
      <c r="AFD40" s="188"/>
      <c r="AFE40" s="188"/>
      <c r="AFF40" s="188"/>
      <c r="AFG40" s="188"/>
      <c r="AFH40" s="188"/>
      <c r="AFI40" s="188"/>
      <c r="AFJ40" s="188"/>
      <c r="AFK40" s="188"/>
      <c r="AFL40" s="188"/>
      <c r="AFM40" s="188"/>
      <c r="AFN40" s="188"/>
      <c r="AFO40" s="188"/>
      <c r="AFP40" s="188"/>
      <c r="AFQ40" s="188"/>
      <c r="AFR40" s="188"/>
      <c r="AFS40" s="188"/>
      <c r="AFT40" s="188"/>
      <c r="AFU40" s="188"/>
      <c r="AFV40" s="188"/>
      <c r="AFW40" s="188"/>
      <c r="AFX40" s="188"/>
      <c r="AFY40" s="188"/>
      <c r="AFZ40" s="188"/>
      <c r="AGA40" s="188"/>
      <c r="AGB40" s="188"/>
      <c r="AGC40" s="188"/>
      <c r="AGD40" s="188"/>
      <c r="AGE40" s="188"/>
      <c r="AGF40" s="188"/>
      <c r="AGG40" s="188"/>
      <c r="AGH40" s="188"/>
      <c r="AGI40" s="188"/>
      <c r="AGJ40" s="188"/>
      <c r="AGK40" s="188"/>
      <c r="AGL40" s="188"/>
      <c r="AGM40" s="188"/>
      <c r="AGN40" s="188"/>
      <c r="AGO40" s="188"/>
      <c r="AGP40" s="188"/>
      <c r="AGQ40" s="188"/>
      <c r="AGR40" s="188"/>
      <c r="AGS40" s="188"/>
      <c r="AGT40" s="188"/>
      <c r="AGU40" s="188"/>
      <c r="AGV40" s="188"/>
      <c r="AGW40" s="188"/>
      <c r="AGX40" s="188"/>
      <c r="AGY40" s="188"/>
      <c r="AGZ40" s="188"/>
      <c r="AHA40" s="188"/>
      <c r="AHB40" s="188"/>
      <c r="AHC40" s="188"/>
      <c r="AHD40" s="188"/>
      <c r="AHE40" s="188"/>
      <c r="AHF40" s="188"/>
      <c r="AHG40" s="188"/>
      <c r="AHH40" s="188"/>
      <c r="AHI40" s="188"/>
      <c r="AHJ40" s="188"/>
      <c r="AHK40" s="188"/>
      <c r="AHL40" s="188"/>
      <c r="AHM40" s="188"/>
      <c r="AHN40" s="188"/>
      <c r="AHO40" s="188"/>
      <c r="AHP40" s="188"/>
      <c r="AHQ40" s="188"/>
      <c r="AHR40" s="188"/>
      <c r="AHS40" s="188"/>
      <c r="AHT40" s="188"/>
      <c r="AHU40" s="188"/>
      <c r="AHV40" s="188"/>
      <c r="AHW40" s="188"/>
      <c r="AHX40" s="188"/>
      <c r="AHY40" s="188"/>
      <c r="AHZ40" s="188"/>
      <c r="AIA40" s="188"/>
      <c r="AIB40" s="188"/>
      <c r="AIC40" s="188"/>
      <c r="AID40" s="188"/>
      <c r="AIE40" s="188"/>
      <c r="AIF40" s="188"/>
      <c r="AIG40" s="188"/>
      <c r="AIH40" s="188"/>
      <c r="AII40" s="188"/>
      <c r="AIJ40" s="188"/>
      <c r="AIK40" s="188"/>
      <c r="AIL40" s="188"/>
      <c r="AIM40" s="188"/>
      <c r="AIN40" s="188"/>
      <c r="AIO40" s="188"/>
      <c r="AIP40" s="188"/>
      <c r="AIQ40" s="188"/>
      <c r="AIR40" s="188"/>
      <c r="AIS40" s="188"/>
      <c r="AIT40" s="188"/>
      <c r="AIU40" s="188"/>
      <c r="AIV40" s="188"/>
      <c r="AIW40" s="188"/>
      <c r="AIX40" s="188"/>
      <c r="AIY40" s="188"/>
      <c r="AIZ40" s="188"/>
      <c r="AJA40" s="188"/>
      <c r="AJB40" s="188"/>
      <c r="AJC40" s="188"/>
      <c r="AJD40" s="188"/>
      <c r="AJE40" s="188"/>
      <c r="AJF40" s="188"/>
      <c r="AJG40" s="188"/>
      <c r="AJH40" s="188"/>
      <c r="AJI40" s="188"/>
      <c r="AJJ40" s="188"/>
      <c r="AJK40" s="188"/>
      <c r="AJL40" s="188"/>
      <c r="AJM40" s="188"/>
      <c r="AJN40" s="188"/>
      <c r="AJO40" s="188"/>
      <c r="AJP40" s="188"/>
      <c r="AJQ40" s="188"/>
      <c r="AJR40" s="188"/>
      <c r="AJS40" s="188"/>
      <c r="AJT40" s="188"/>
      <c r="AJU40" s="188"/>
      <c r="AJV40" s="188"/>
      <c r="AJW40" s="188"/>
      <c r="AJX40" s="188"/>
      <c r="AJY40" s="188"/>
      <c r="AJZ40" s="188"/>
      <c r="AKA40" s="188"/>
      <c r="AKB40" s="188"/>
      <c r="AKC40" s="188"/>
      <c r="AKD40" s="188"/>
      <c r="AKE40" s="188"/>
      <c r="AKF40" s="188"/>
      <c r="AKG40" s="188"/>
      <c r="AKH40" s="188"/>
      <c r="AKI40" s="188"/>
      <c r="AKJ40" s="188"/>
      <c r="AKK40" s="188"/>
      <c r="AKL40" s="188"/>
      <c r="AKM40" s="188"/>
      <c r="AKN40" s="188"/>
      <c r="AKO40" s="188"/>
      <c r="AKP40" s="188"/>
      <c r="AKQ40" s="188"/>
      <c r="AKR40" s="188"/>
      <c r="AKS40" s="188"/>
      <c r="AKT40" s="188"/>
      <c r="AKU40" s="188"/>
      <c r="AKV40" s="188"/>
      <c r="AKW40" s="188"/>
      <c r="AKX40" s="188"/>
      <c r="AKY40" s="188"/>
      <c r="AKZ40" s="188"/>
      <c r="ALA40" s="188"/>
      <c r="ALB40" s="188"/>
      <c r="ALC40" s="188"/>
      <c r="ALD40" s="188"/>
      <c r="ALE40" s="188"/>
      <c r="ALF40" s="188"/>
      <c r="ALG40" s="188"/>
      <c r="ALH40" s="188"/>
      <c r="ALI40" s="188"/>
      <c r="ALJ40" s="188"/>
      <c r="ALK40" s="188"/>
      <c r="ALL40" s="188"/>
      <c r="ALM40" s="188"/>
      <c r="ALN40" s="188"/>
      <c r="ALO40" s="188"/>
      <c r="ALP40" s="188"/>
      <c r="ALQ40" s="188"/>
      <c r="ALR40" s="188"/>
      <c r="ALS40" s="188"/>
      <c r="ALT40" s="188"/>
      <c r="ALU40" s="188"/>
      <c r="ALV40" s="188"/>
      <c r="ALW40" s="188"/>
      <c r="ALX40" s="188"/>
      <c r="ALY40" s="188"/>
      <c r="ALZ40" s="188"/>
      <c r="AMA40" s="188"/>
      <c r="AMB40" s="188"/>
      <c r="AMC40" s="188"/>
      <c r="AMD40" s="188"/>
      <c r="AME40" s="188"/>
      <c r="AMF40" s="188"/>
      <c r="AMG40" s="188"/>
      <c r="AMH40" s="188"/>
      <c r="AMI40" s="188"/>
      <c r="AMJ40" s="188"/>
      <c r="AMK40" s="188"/>
      <c r="AML40" s="188"/>
      <c r="AMM40" s="188"/>
      <c r="AMN40" s="188"/>
      <c r="AMO40" s="188"/>
      <c r="AMP40" s="188"/>
      <c r="AMQ40" s="188"/>
      <c r="AMR40" s="188"/>
      <c r="AMS40" s="188"/>
      <c r="AMT40" s="188"/>
      <c r="AMU40" s="188"/>
      <c r="AMV40" s="188"/>
      <c r="AMW40" s="188"/>
      <c r="AMX40" s="188"/>
      <c r="AMY40" s="188"/>
      <c r="AMZ40" s="188"/>
      <c r="ANA40" s="188"/>
      <c r="ANB40" s="188"/>
      <c r="ANC40" s="188"/>
      <c r="AND40" s="188"/>
      <c r="ANE40" s="188"/>
      <c r="ANF40" s="188"/>
      <c r="ANG40" s="188"/>
      <c r="ANH40" s="188"/>
      <c r="ANI40" s="188"/>
      <c r="ANJ40" s="188"/>
      <c r="ANK40" s="188"/>
      <c r="ANL40" s="188"/>
      <c r="ANM40" s="188"/>
      <c r="ANN40" s="188"/>
      <c r="ANO40" s="188"/>
      <c r="ANP40" s="188"/>
      <c r="ANQ40" s="188"/>
      <c r="ANR40" s="188"/>
      <c r="ANS40" s="188"/>
      <c r="ANT40" s="188"/>
      <c r="ANU40" s="188"/>
      <c r="ANV40" s="188"/>
      <c r="ANW40" s="188"/>
      <c r="ANX40" s="188"/>
      <c r="ANY40" s="188"/>
      <c r="ANZ40" s="188"/>
      <c r="AOA40" s="188"/>
      <c r="AOB40" s="188"/>
      <c r="AOC40" s="188"/>
      <c r="AOD40" s="188"/>
      <c r="AOE40" s="188"/>
      <c r="AOF40" s="188"/>
      <c r="AOG40" s="188"/>
      <c r="AOH40" s="188"/>
      <c r="AOI40" s="188"/>
      <c r="AOJ40" s="188"/>
      <c r="AOK40" s="188"/>
      <c r="AOL40" s="188"/>
      <c r="AOM40" s="188"/>
      <c r="AON40" s="188"/>
      <c r="AOO40" s="188"/>
      <c r="AOP40" s="188"/>
      <c r="AOQ40" s="188"/>
      <c r="AOR40" s="188"/>
      <c r="AOS40" s="188"/>
      <c r="AOT40" s="188"/>
      <c r="AOU40" s="188"/>
      <c r="AOV40" s="188"/>
      <c r="AOW40" s="188"/>
      <c r="AOX40" s="188"/>
      <c r="AOY40" s="188"/>
      <c r="AOZ40" s="188"/>
      <c r="APA40" s="188"/>
      <c r="APB40" s="188"/>
      <c r="APC40" s="188"/>
      <c r="APD40" s="188"/>
      <c r="APE40" s="188"/>
      <c r="APF40" s="188"/>
      <c r="APG40" s="188"/>
      <c r="APH40" s="188"/>
      <c r="API40" s="188"/>
      <c r="APJ40" s="188"/>
      <c r="APK40" s="188"/>
      <c r="APL40" s="188"/>
      <c r="APM40" s="188"/>
      <c r="APN40" s="188"/>
      <c r="APO40" s="188"/>
      <c r="APP40" s="188"/>
      <c r="APQ40" s="188"/>
      <c r="APR40" s="188"/>
      <c r="APS40" s="188"/>
      <c r="APT40" s="188"/>
      <c r="APU40" s="188"/>
      <c r="APV40" s="188"/>
      <c r="APW40" s="188"/>
      <c r="APX40" s="188"/>
      <c r="APY40" s="188"/>
      <c r="APZ40" s="188"/>
      <c r="AQA40" s="188"/>
      <c r="AQB40" s="188"/>
      <c r="AQC40" s="188"/>
      <c r="AQD40" s="188"/>
      <c r="AQE40" s="188"/>
      <c r="AQF40" s="188"/>
      <c r="AQG40" s="188"/>
      <c r="AQH40" s="188"/>
      <c r="AQI40" s="188"/>
      <c r="AQJ40" s="188"/>
      <c r="AQK40" s="188"/>
      <c r="AQL40" s="188"/>
      <c r="AQM40" s="188"/>
      <c r="AQN40" s="188"/>
      <c r="AQO40" s="188"/>
      <c r="AQP40" s="188"/>
      <c r="AQQ40" s="188"/>
      <c r="AQR40" s="188"/>
      <c r="AQS40" s="188"/>
      <c r="AQT40" s="188"/>
      <c r="AQU40" s="188"/>
      <c r="AQV40" s="188"/>
      <c r="AQW40" s="188"/>
      <c r="AQX40" s="188"/>
      <c r="AQY40" s="188"/>
      <c r="AQZ40" s="188"/>
      <c r="ARA40" s="188"/>
      <c r="ARB40" s="188"/>
      <c r="ARC40" s="188"/>
      <c r="ARD40" s="188"/>
      <c r="ARE40" s="188"/>
      <c r="ARF40" s="188"/>
      <c r="ARG40" s="188"/>
      <c r="ARH40" s="188"/>
      <c r="ARI40" s="188"/>
      <c r="ARJ40" s="188"/>
      <c r="ARK40" s="188"/>
      <c r="ARL40" s="188"/>
      <c r="ARM40" s="188"/>
      <c r="ARN40" s="188"/>
      <c r="ARO40" s="188"/>
      <c r="ARP40" s="188"/>
      <c r="ARQ40" s="188"/>
      <c r="ARR40" s="188"/>
      <c r="ARS40" s="188"/>
      <c r="ART40" s="188"/>
      <c r="ARU40" s="188"/>
      <c r="ARV40" s="188"/>
      <c r="ARW40" s="188"/>
      <c r="ARX40" s="188"/>
      <c r="ARY40" s="188"/>
      <c r="ARZ40" s="188"/>
      <c r="ASA40" s="188"/>
      <c r="ASB40" s="188"/>
      <c r="ASC40" s="188"/>
      <c r="ASD40" s="188"/>
      <c r="ASE40" s="188"/>
      <c r="ASF40" s="188"/>
      <c r="ASG40" s="188"/>
      <c r="ASH40" s="188"/>
      <c r="ASI40" s="188"/>
      <c r="ASJ40" s="188"/>
      <c r="ASK40" s="188"/>
      <c r="ASL40" s="188"/>
      <c r="ASM40" s="188"/>
      <c r="ASN40" s="188"/>
      <c r="ASO40" s="188"/>
      <c r="ASP40" s="188"/>
      <c r="ASQ40" s="188"/>
      <c r="ASR40" s="188"/>
      <c r="ASS40" s="188"/>
      <c r="AST40" s="188"/>
      <c r="ASU40" s="188"/>
      <c r="ASV40" s="188"/>
      <c r="ASW40" s="188"/>
      <c r="ASX40" s="188"/>
      <c r="ASY40" s="188"/>
      <c r="ASZ40" s="188"/>
      <c r="ATA40" s="188"/>
      <c r="ATB40" s="188"/>
      <c r="ATC40" s="188"/>
      <c r="ATD40" s="188"/>
      <c r="ATE40" s="188"/>
      <c r="ATF40" s="188"/>
      <c r="ATG40" s="188"/>
      <c r="ATH40" s="188"/>
      <c r="ATI40" s="188"/>
      <c r="ATJ40" s="188"/>
      <c r="ATK40" s="188"/>
      <c r="ATL40" s="188"/>
      <c r="ATM40" s="188"/>
      <c r="ATN40" s="188"/>
      <c r="ATO40" s="188"/>
      <c r="ATP40" s="188"/>
      <c r="ATQ40" s="188"/>
      <c r="ATR40" s="188"/>
      <c r="ATS40" s="188"/>
      <c r="ATT40" s="188"/>
      <c r="ATU40" s="188"/>
      <c r="ATV40" s="188"/>
      <c r="ATW40" s="188"/>
      <c r="ATX40" s="188"/>
      <c r="ATY40" s="188"/>
      <c r="ATZ40" s="188"/>
      <c r="AUA40" s="188"/>
      <c r="AUB40" s="188"/>
      <c r="AUC40" s="188"/>
      <c r="AUD40" s="188"/>
      <c r="AUE40" s="188"/>
      <c r="AUF40" s="188"/>
      <c r="AUG40" s="188"/>
      <c r="AUH40" s="188"/>
      <c r="AUI40" s="188"/>
      <c r="AUJ40" s="188"/>
      <c r="AUK40" s="188"/>
      <c r="AUL40" s="188"/>
      <c r="AUM40" s="188"/>
      <c r="AUN40" s="188"/>
      <c r="AUO40" s="188"/>
      <c r="AUP40" s="188"/>
      <c r="AUQ40" s="188"/>
      <c r="AUR40" s="188"/>
      <c r="AUS40" s="188"/>
      <c r="AUT40" s="188"/>
      <c r="AUU40" s="188"/>
      <c r="AUV40" s="188"/>
      <c r="AUW40" s="188"/>
      <c r="AUX40" s="188"/>
      <c r="AUY40" s="188"/>
      <c r="AUZ40" s="188"/>
      <c r="AVA40" s="188"/>
      <c r="AVB40" s="188"/>
      <c r="AVC40" s="188"/>
      <c r="AVD40" s="188"/>
      <c r="AVE40" s="188"/>
      <c r="AVF40" s="188"/>
      <c r="AVG40" s="188"/>
      <c r="AVH40" s="188"/>
      <c r="AVI40" s="188"/>
      <c r="AVJ40" s="188"/>
      <c r="AVK40" s="188"/>
      <c r="AVL40" s="188"/>
      <c r="AVM40" s="188"/>
      <c r="AVN40" s="188"/>
      <c r="AVO40" s="188"/>
      <c r="AVP40" s="188"/>
      <c r="AVQ40" s="188"/>
      <c r="AVR40" s="188"/>
      <c r="AVS40" s="188"/>
      <c r="AVT40" s="188"/>
      <c r="AVU40" s="188"/>
      <c r="AVV40" s="188"/>
      <c r="AVW40" s="188"/>
      <c r="AVX40" s="188"/>
      <c r="AVY40" s="188"/>
      <c r="AVZ40" s="188"/>
      <c r="AWA40" s="188"/>
      <c r="AWB40" s="188"/>
      <c r="AWC40" s="188"/>
      <c r="AWD40" s="188"/>
      <c r="AWE40" s="188"/>
      <c r="AWF40" s="188"/>
      <c r="AWG40" s="188"/>
      <c r="AWH40" s="188"/>
      <c r="AWI40" s="188"/>
      <c r="AWJ40" s="188"/>
      <c r="AWK40" s="188"/>
      <c r="AWL40" s="188"/>
      <c r="AWM40" s="188"/>
      <c r="AWN40" s="188"/>
      <c r="AWO40" s="188"/>
      <c r="AWP40" s="188"/>
      <c r="AWQ40" s="188"/>
      <c r="AWR40" s="188"/>
      <c r="AWS40" s="188"/>
      <c r="AWT40" s="188"/>
      <c r="AWU40" s="188"/>
      <c r="AWV40" s="188"/>
      <c r="AWW40" s="188"/>
      <c r="AWX40" s="188"/>
      <c r="AWY40" s="188"/>
      <c r="AWZ40" s="188"/>
      <c r="AXA40" s="188"/>
      <c r="AXB40" s="188"/>
      <c r="AXC40" s="188"/>
      <c r="AXD40" s="188"/>
      <c r="AXE40" s="188"/>
      <c r="AXF40" s="188"/>
      <c r="AXG40" s="188"/>
      <c r="AXH40" s="188"/>
      <c r="AXI40" s="188"/>
      <c r="AXJ40" s="188"/>
      <c r="AXK40" s="188"/>
      <c r="AXL40" s="188"/>
      <c r="AXM40" s="188"/>
      <c r="AXN40" s="188"/>
      <c r="AXO40" s="188"/>
      <c r="AXP40" s="188"/>
      <c r="AXQ40" s="188"/>
      <c r="AXR40" s="188"/>
      <c r="AXS40" s="188"/>
      <c r="AXT40" s="188"/>
      <c r="AXU40" s="188"/>
      <c r="AXV40" s="188"/>
      <c r="AXW40" s="188"/>
      <c r="AXX40" s="188"/>
      <c r="AXY40" s="188"/>
      <c r="AXZ40" s="188"/>
      <c r="AYA40" s="188"/>
      <c r="AYB40" s="188"/>
      <c r="AYC40" s="188"/>
      <c r="AYD40" s="188"/>
      <c r="AYE40" s="188"/>
      <c r="AYF40" s="188"/>
      <c r="AYG40" s="188"/>
      <c r="AYH40" s="188"/>
      <c r="AYI40" s="188"/>
      <c r="AYJ40" s="188"/>
      <c r="AYK40" s="188"/>
      <c r="AYL40" s="188"/>
      <c r="AYM40" s="188"/>
      <c r="AYN40" s="188"/>
      <c r="AYO40" s="188"/>
      <c r="AYP40" s="188"/>
      <c r="AYQ40" s="188"/>
      <c r="AYR40" s="188"/>
      <c r="AYS40" s="188"/>
      <c r="AYT40" s="188"/>
      <c r="AYU40" s="188"/>
      <c r="AYV40" s="188"/>
      <c r="AYW40" s="188"/>
      <c r="AYX40" s="188"/>
      <c r="AYY40" s="188"/>
      <c r="AYZ40" s="188"/>
      <c r="AZA40" s="188"/>
      <c r="AZB40" s="188"/>
      <c r="AZC40" s="188"/>
      <c r="AZD40" s="188"/>
      <c r="AZE40" s="188"/>
      <c r="AZF40" s="188"/>
      <c r="AZG40" s="188"/>
      <c r="AZH40" s="188"/>
      <c r="AZI40" s="188"/>
      <c r="AZJ40" s="188"/>
      <c r="AZK40" s="188"/>
      <c r="AZL40" s="188"/>
      <c r="AZM40" s="188"/>
      <c r="AZN40" s="188"/>
      <c r="AZO40" s="188"/>
      <c r="AZP40" s="188"/>
      <c r="AZQ40" s="188"/>
      <c r="AZR40" s="188"/>
      <c r="AZS40" s="188"/>
      <c r="AZT40" s="188"/>
      <c r="AZU40" s="188"/>
      <c r="AZV40" s="188"/>
      <c r="AZW40" s="188"/>
      <c r="AZX40" s="188"/>
      <c r="AZY40" s="188"/>
      <c r="AZZ40" s="188"/>
      <c r="BAA40" s="188"/>
      <c r="BAB40" s="188"/>
      <c r="BAC40" s="188"/>
      <c r="BAD40" s="188"/>
      <c r="BAE40" s="188"/>
      <c r="BAF40" s="188"/>
      <c r="BAG40" s="188"/>
      <c r="BAH40" s="188"/>
      <c r="BAI40" s="188"/>
      <c r="BAJ40" s="188"/>
      <c r="BAK40" s="188"/>
      <c r="BAL40" s="188"/>
      <c r="BAM40" s="188"/>
      <c r="BAN40" s="188"/>
      <c r="BAO40" s="188"/>
      <c r="BAP40" s="188"/>
      <c r="BAQ40" s="188"/>
      <c r="BAR40" s="188"/>
      <c r="BAS40" s="188"/>
      <c r="BAT40" s="188"/>
      <c r="BAU40" s="188"/>
      <c r="BAV40" s="188"/>
      <c r="BAW40" s="188"/>
      <c r="BAX40" s="188"/>
      <c r="BAY40" s="188"/>
      <c r="BAZ40" s="188"/>
      <c r="BBA40" s="188"/>
      <c r="BBB40" s="188"/>
      <c r="BBC40" s="188"/>
      <c r="BBD40" s="188"/>
      <c r="BBE40" s="188"/>
      <c r="BBF40" s="188"/>
      <c r="BBG40" s="188"/>
      <c r="BBH40" s="188"/>
      <c r="BBI40" s="188"/>
      <c r="BBJ40" s="188"/>
      <c r="BBK40" s="188"/>
      <c r="BBL40" s="188"/>
      <c r="BBM40" s="188"/>
      <c r="BBN40" s="188"/>
      <c r="BBO40" s="188"/>
      <c r="BBP40" s="188"/>
      <c r="BBQ40" s="188"/>
      <c r="BBR40" s="188"/>
      <c r="BBS40" s="188"/>
      <c r="BBT40" s="188"/>
      <c r="BBU40" s="188"/>
      <c r="BBV40" s="188"/>
      <c r="BBW40" s="188"/>
      <c r="BBX40" s="188"/>
      <c r="BBY40" s="188"/>
      <c r="BBZ40" s="188"/>
      <c r="BCA40" s="188"/>
      <c r="BCB40" s="188"/>
      <c r="BCC40" s="188"/>
      <c r="BCD40" s="188"/>
      <c r="BCE40" s="188"/>
      <c r="BCF40" s="188"/>
      <c r="BCG40" s="188"/>
      <c r="BCH40" s="188"/>
      <c r="BCI40" s="188"/>
      <c r="BCJ40" s="188"/>
      <c r="BCK40" s="188"/>
      <c r="BCL40" s="188"/>
      <c r="BCM40" s="188"/>
      <c r="BCN40" s="188"/>
      <c r="BCO40" s="188"/>
      <c r="BCP40" s="188"/>
      <c r="BCQ40" s="188"/>
      <c r="BCR40" s="188"/>
      <c r="BCS40" s="188"/>
      <c r="BCT40" s="188"/>
      <c r="BCU40" s="188"/>
      <c r="BCV40" s="188"/>
      <c r="BCW40" s="188"/>
      <c r="BCX40" s="188"/>
      <c r="BCY40" s="188"/>
      <c r="BCZ40" s="188"/>
      <c r="BDA40" s="188"/>
      <c r="BDB40" s="188"/>
      <c r="BDC40" s="188"/>
      <c r="BDD40" s="188"/>
      <c r="BDE40" s="188"/>
      <c r="BDF40" s="188"/>
      <c r="BDG40" s="188"/>
      <c r="BDH40" s="188"/>
      <c r="BDI40" s="188"/>
      <c r="BDJ40" s="188"/>
      <c r="BDK40" s="188"/>
      <c r="BDL40" s="188"/>
      <c r="BDM40" s="188"/>
      <c r="BDN40" s="188"/>
      <c r="BDO40" s="188"/>
      <c r="BDP40" s="188"/>
      <c r="BDQ40" s="188"/>
      <c r="BDR40" s="188"/>
      <c r="BDS40" s="188"/>
      <c r="BDT40" s="188"/>
      <c r="BDU40" s="188"/>
      <c r="BDV40" s="188"/>
      <c r="BDW40" s="188"/>
      <c r="BDX40" s="188"/>
      <c r="BDY40" s="188"/>
      <c r="BDZ40" s="188"/>
      <c r="BEA40" s="188"/>
      <c r="BEB40" s="188"/>
      <c r="BEC40" s="188"/>
      <c r="BED40" s="188"/>
      <c r="BEE40" s="188"/>
      <c r="BEF40" s="188"/>
      <c r="BEG40" s="188"/>
      <c r="BEH40" s="188"/>
      <c r="BEI40" s="188"/>
      <c r="BEJ40" s="188"/>
      <c r="BEK40" s="188"/>
      <c r="BEL40" s="188"/>
      <c r="BEM40" s="188"/>
      <c r="BEN40" s="188"/>
      <c r="BEO40" s="188"/>
      <c r="BEP40" s="188"/>
      <c r="BEQ40" s="188"/>
      <c r="BER40" s="188"/>
      <c r="BES40" s="188"/>
      <c r="BET40" s="188"/>
      <c r="BEU40" s="188"/>
      <c r="BEV40" s="188"/>
      <c r="BEW40" s="188"/>
      <c r="BEX40" s="188"/>
      <c r="BEY40" s="188"/>
      <c r="BEZ40" s="188"/>
      <c r="BFA40" s="188"/>
      <c r="BFB40" s="188"/>
      <c r="BFC40" s="188"/>
      <c r="BFD40" s="188"/>
      <c r="BFE40" s="188"/>
      <c r="BFF40" s="188"/>
      <c r="BFG40" s="188"/>
      <c r="BFH40" s="188"/>
      <c r="BFI40" s="188"/>
      <c r="BFJ40" s="188"/>
      <c r="BFK40" s="188"/>
      <c r="BFL40" s="188"/>
      <c r="BFM40" s="188"/>
      <c r="BFN40" s="188"/>
      <c r="BFO40" s="188"/>
      <c r="BFP40" s="188"/>
      <c r="BFQ40" s="188"/>
      <c r="BFR40" s="188"/>
      <c r="BFS40" s="188"/>
      <c r="BFT40" s="188"/>
      <c r="BFU40" s="188"/>
      <c r="BFV40" s="188"/>
      <c r="BFW40" s="188"/>
      <c r="BFX40" s="188"/>
      <c r="BFY40" s="188"/>
      <c r="BFZ40" s="188"/>
      <c r="BGA40" s="188"/>
      <c r="BGB40" s="188"/>
      <c r="BGC40" s="188"/>
      <c r="BGD40" s="188"/>
      <c r="BGE40" s="188"/>
      <c r="BGF40" s="188"/>
      <c r="BGG40" s="188"/>
      <c r="BGH40" s="188"/>
      <c r="BGI40" s="188"/>
      <c r="BGJ40" s="188"/>
      <c r="BGK40" s="188"/>
      <c r="BGL40" s="188"/>
      <c r="BGM40" s="188"/>
      <c r="BGN40" s="188"/>
      <c r="BGO40" s="188"/>
      <c r="BGP40" s="188"/>
      <c r="BGQ40" s="188"/>
      <c r="BGR40" s="188"/>
      <c r="BGS40" s="188"/>
      <c r="BGT40" s="188"/>
      <c r="BGU40" s="188"/>
      <c r="BGV40" s="188"/>
      <c r="BGW40" s="188"/>
      <c r="BGX40" s="188"/>
      <c r="BGY40" s="188"/>
      <c r="BGZ40" s="188"/>
      <c r="BHA40" s="188"/>
      <c r="BHB40" s="188"/>
      <c r="BHC40" s="188"/>
      <c r="BHD40" s="188"/>
      <c r="BHE40" s="188"/>
      <c r="BHF40" s="188"/>
      <c r="BHG40" s="188"/>
      <c r="BHH40" s="188"/>
      <c r="BHI40" s="188"/>
      <c r="BHJ40" s="188"/>
      <c r="BHK40" s="188"/>
      <c r="BHL40" s="188"/>
      <c r="BHM40" s="188"/>
      <c r="BHN40" s="188"/>
      <c r="BHO40" s="188"/>
      <c r="BHP40" s="188"/>
      <c r="BHQ40" s="188"/>
      <c r="BHR40" s="188"/>
      <c r="BHS40" s="188"/>
      <c r="BHT40" s="188"/>
      <c r="BHU40" s="188"/>
      <c r="BHV40" s="188"/>
      <c r="BHW40" s="188"/>
      <c r="BHX40" s="188"/>
      <c r="BHY40" s="188"/>
      <c r="BHZ40" s="188"/>
      <c r="BIA40" s="188"/>
      <c r="BIB40" s="188"/>
      <c r="BIC40" s="188"/>
      <c r="BID40" s="188"/>
      <c r="BIE40" s="188"/>
      <c r="BIF40" s="188"/>
      <c r="BIG40" s="188"/>
      <c r="BIH40" s="188"/>
      <c r="BII40" s="188"/>
      <c r="BIJ40" s="188"/>
      <c r="BIK40" s="188"/>
      <c r="BIL40" s="188"/>
      <c r="BIM40" s="188"/>
      <c r="BIN40" s="188"/>
      <c r="BIO40" s="188"/>
      <c r="BIP40" s="188"/>
      <c r="BIQ40" s="188"/>
      <c r="BIR40" s="188"/>
      <c r="BIS40" s="188"/>
      <c r="BIT40" s="188"/>
      <c r="BIU40" s="188"/>
      <c r="BIV40" s="188"/>
      <c r="BIW40" s="188"/>
      <c r="BIX40" s="188"/>
      <c r="BIY40" s="188"/>
      <c r="BIZ40" s="188"/>
      <c r="BJA40" s="188"/>
      <c r="BJB40" s="188"/>
      <c r="BJC40" s="188"/>
      <c r="BJD40" s="188"/>
      <c r="BJE40" s="188"/>
      <c r="BJF40" s="188"/>
      <c r="BJG40" s="188"/>
      <c r="BJH40" s="188"/>
      <c r="BJI40" s="188"/>
      <c r="BJJ40" s="188"/>
      <c r="BJK40" s="188"/>
      <c r="BJL40" s="188"/>
      <c r="BJM40" s="188"/>
      <c r="BJN40" s="188"/>
      <c r="BJO40" s="188"/>
      <c r="BJP40" s="188"/>
      <c r="BJQ40" s="188"/>
      <c r="BJR40" s="188"/>
      <c r="BJS40" s="188"/>
      <c r="BJT40" s="188"/>
      <c r="BJU40" s="188"/>
      <c r="BJV40" s="188"/>
      <c r="BJW40" s="188"/>
      <c r="BJX40" s="188"/>
      <c r="BJY40" s="188"/>
      <c r="BJZ40" s="188"/>
      <c r="BKA40" s="188"/>
      <c r="BKB40" s="188"/>
      <c r="BKC40" s="188"/>
      <c r="BKD40" s="188"/>
      <c r="BKE40" s="188"/>
      <c r="BKF40" s="188"/>
      <c r="BKG40" s="188"/>
      <c r="BKH40" s="188"/>
      <c r="BKI40" s="188"/>
      <c r="BKJ40" s="188"/>
      <c r="BKK40" s="188"/>
      <c r="BKL40" s="188"/>
      <c r="BKM40" s="188"/>
      <c r="BKN40" s="188"/>
      <c r="BKO40" s="188"/>
      <c r="BKP40" s="188"/>
      <c r="BKQ40" s="188"/>
      <c r="BKR40" s="188"/>
      <c r="BKS40" s="188"/>
      <c r="BKT40" s="188"/>
      <c r="BKU40" s="188"/>
      <c r="BKV40" s="188"/>
      <c r="BKW40" s="188"/>
      <c r="BKX40" s="188"/>
      <c r="BKY40" s="188"/>
      <c r="BKZ40" s="188"/>
      <c r="BLA40" s="188"/>
      <c r="BLB40" s="188"/>
      <c r="BLC40" s="188"/>
      <c r="BLD40" s="188"/>
      <c r="BLE40" s="188"/>
      <c r="BLF40" s="188"/>
      <c r="BLG40" s="188"/>
      <c r="BLH40" s="188"/>
      <c r="BLI40" s="188"/>
      <c r="BLJ40" s="188"/>
      <c r="BLK40" s="188"/>
      <c r="BLL40" s="188"/>
      <c r="BLM40" s="188"/>
      <c r="BLN40" s="188"/>
      <c r="BLO40" s="188"/>
      <c r="BLP40" s="188"/>
      <c r="BLQ40" s="188"/>
      <c r="BLR40" s="188"/>
      <c r="BLS40" s="188"/>
      <c r="BLT40" s="188"/>
      <c r="BLU40" s="188"/>
      <c r="BLV40" s="188"/>
      <c r="BLW40" s="188"/>
      <c r="BLX40" s="188"/>
      <c r="BLY40" s="188"/>
      <c r="BLZ40" s="188"/>
      <c r="BMA40" s="188"/>
      <c r="BMB40" s="188"/>
      <c r="BMC40" s="188"/>
      <c r="BMD40" s="188"/>
      <c r="BME40" s="188"/>
      <c r="BMF40" s="188"/>
      <c r="BMG40" s="188"/>
      <c r="BMH40" s="188"/>
      <c r="BMI40" s="188"/>
      <c r="BMJ40" s="188"/>
      <c r="BMK40" s="188"/>
      <c r="BML40" s="188"/>
      <c r="BMM40" s="188"/>
      <c r="BMN40" s="188"/>
      <c r="BMO40" s="188"/>
      <c r="BMP40" s="188"/>
      <c r="BMQ40" s="188"/>
      <c r="BMR40" s="188"/>
      <c r="BMS40" s="188"/>
      <c r="BMT40" s="188"/>
      <c r="BMU40" s="188"/>
      <c r="BMV40" s="188"/>
      <c r="BMW40" s="188"/>
      <c r="BMX40" s="188"/>
      <c r="BMY40" s="188"/>
      <c r="BMZ40" s="188"/>
      <c r="BNA40" s="188"/>
      <c r="BNB40" s="188"/>
      <c r="BNC40" s="188"/>
      <c r="BND40" s="188"/>
      <c r="BNE40" s="188"/>
      <c r="BNF40" s="188"/>
      <c r="BNG40" s="188"/>
      <c r="BNH40" s="188"/>
      <c r="BNI40" s="188"/>
      <c r="BNJ40" s="188"/>
      <c r="BNK40" s="188"/>
      <c r="BNL40" s="188"/>
      <c r="BNM40" s="188"/>
      <c r="BNN40" s="188"/>
      <c r="BNO40" s="188"/>
      <c r="BNP40" s="188"/>
      <c r="BNQ40" s="188"/>
      <c r="BNR40" s="188"/>
      <c r="BNS40" s="188"/>
      <c r="BNT40" s="188"/>
      <c r="BNU40" s="188"/>
      <c r="BNV40" s="188"/>
      <c r="BNW40" s="188"/>
      <c r="BNX40" s="188"/>
      <c r="BNY40" s="188"/>
      <c r="BNZ40" s="188"/>
      <c r="BOA40" s="188"/>
      <c r="BOB40" s="188"/>
      <c r="BOC40" s="188"/>
      <c r="BOD40" s="188"/>
      <c r="BOE40" s="188"/>
      <c r="BOF40" s="188"/>
      <c r="BOG40" s="188"/>
      <c r="BOH40" s="188"/>
      <c r="BOI40" s="188"/>
      <c r="BOJ40" s="188"/>
      <c r="BOK40" s="188"/>
      <c r="BOL40" s="188"/>
      <c r="BOM40" s="188"/>
      <c r="BON40" s="188"/>
      <c r="BOO40" s="188"/>
      <c r="BOP40" s="188"/>
      <c r="BOQ40" s="188"/>
      <c r="BOR40" s="188"/>
      <c r="BOS40" s="188"/>
      <c r="BOT40" s="188"/>
      <c r="BOU40" s="188"/>
      <c r="BOV40" s="188"/>
      <c r="BOW40" s="188"/>
      <c r="BOX40" s="188"/>
      <c r="BOY40" s="188"/>
      <c r="BOZ40" s="188"/>
      <c r="BPA40" s="188"/>
      <c r="BPB40" s="188"/>
      <c r="BPC40" s="188"/>
      <c r="BPD40" s="188"/>
      <c r="BPE40" s="188"/>
      <c r="BPF40" s="188"/>
      <c r="BPG40" s="188"/>
      <c r="BPH40" s="188"/>
      <c r="BPI40" s="188"/>
      <c r="BPJ40" s="188"/>
      <c r="BPK40" s="188"/>
      <c r="BPL40" s="188"/>
      <c r="BPM40" s="188"/>
      <c r="BPN40" s="188"/>
      <c r="BPO40" s="188"/>
      <c r="BPP40" s="188"/>
      <c r="BPQ40" s="188"/>
      <c r="BPR40" s="188"/>
      <c r="BPS40" s="188"/>
      <c r="BPT40" s="188"/>
      <c r="BPU40" s="188"/>
      <c r="BPV40" s="188"/>
      <c r="BPW40" s="188"/>
      <c r="BPX40" s="188"/>
      <c r="BPY40" s="188"/>
      <c r="BPZ40" s="188"/>
      <c r="BQA40" s="188"/>
      <c r="BQB40" s="188"/>
      <c r="BQC40" s="188"/>
      <c r="BQD40" s="188"/>
      <c r="BQE40" s="188"/>
      <c r="BQF40" s="188"/>
      <c r="BQG40" s="188"/>
      <c r="BQH40" s="188"/>
      <c r="BQI40" s="188"/>
      <c r="BQJ40" s="188"/>
      <c r="BQK40" s="188"/>
      <c r="BQL40" s="188"/>
      <c r="BQM40" s="188"/>
      <c r="BQN40" s="188"/>
      <c r="BQO40" s="188"/>
      <c r="BQP40" s="188"/>
      <c r="BQQ40" s="188"/>
      <c r="BQR40" s="188"/>
      <c r="BQS40" s="188"/>
      <c r="BQT40" s="188"/>
      <c r="BQU40" s="188"/>
      <c r="BQV40" s="188"/>
      <c r="BQW40" s="188"/>
      <c r="BQX40" s="188"/>
      <c r="BQY40" s="188"/>
      <c r="BQZ40" s="188"/>
      <c r="BRA40" s="188"/>
      <c r="BRB40" s="188"/>
      <c r="BRC40" s="188"/>
      <c r="BRD40" s="188"/>
      <c r="BRE40" s="188"/>
      <c r="BRF40" s="188"/>
      <c r="BRG40" s="188"/>
      <c r="BRH40" s="188"/>
      <c r="BRI40" s="188"/>
      <c r="BRJ40" s="188"/>
      <c r="BRK40" s="188"/>
      <c r="BRL40" s="188"/>
      <c r="BRM40" s="188"/>
      <c r="BRN40" s="188"/>
      <c r="BRO40" s="188"/>
      <c r="BRP40" s="188"/>
      <c r="BRQ40" s="188"/>
      <c r="BRR40" s="188"/>
      <c r="BRS40" s="188"/>
      <c r="BRT40" s="188"/>
      <c r="BRU40" s="188"/>
      <c r="BRV40" s="188"/>
      <c r="BRW40" s="188"/>
      <c r="BRX40" s="188"/>
      <c r="BRY40" s="188"/>
      <c r="BRZ40" s="188"/>
      <c r="BSA40" s="188"/>
      <c r="BSB40" s="188"/>
      <c r="BSC40" s="188"/>
      <c r="BSD40" s="188"/>
      <c r="BSE40" s="188"/>
      <c r="BSF40" s="188"/>
      <c r="BSG40" s="188"/>
      <c r="BSH40" s="188"/>
      <c r="BSI40" s="188"/>
      <c r="BSJ40" s="188"/>
      <c r="BSK40" s="188"/>
      <c r="BSL40" s="188"/>
      <c r="BSM40" s="188"/>
      <c r="BSN40" s="188"/>
      <c r="BSO40" s="188"/>
      <c r="BSP40" s="188"/>
      <c r="BSQ40" s="188"/>
      <c r="BSR40" s="188"/>
      <c r="BSS40" s="188"/>
      <c r="BST40" s="188"/>
      <c r="BSU40" s="188"/>
      <c r="BSV40" s="188"/>
      <c r="BSW40" s="188"/>
      <c r="BSX40" s="188"/>
      <c r="BSY40" s="188"/>
      <c r="BSZ40" s="188"/>
      <c r="BTA40" s="188"/>
      <c r="BTB40" s="188"/>
      <c r="BTC40" s="188"/>
      <c r="BTD40" s="188"/>
      <c r="BTE40" s="188"/>
      <c r="BTF40" s="188"/>
      <c r="BTG40" s="188"/>
      <c r="BTH40" s="188"/>
      <c r="BTI40" s="188"/>
      <c r="BTJ40" s="188"/>
      <c r="BTK40" s="188"/>
      <c r="BTL40" s="188"/>
      <c r="BTM40" s="188"/>
      <c r="BTN40" s="188"/>
      <c r="BTO40" s="188"/>
      <c r="BTP40" s="188"/>
      <c r="BTQ40" s="188"/>
      <c r="BTR40" s="188"/>
      <c r="BTS40" s="188"/>
      <c r="BTT40" s="188"/>
      <c r="BTU40" s="188"/>
      <c r="BTV40" s="188"/>
      <c r="BTW40" s="188"/>
      <c r="BTX40" s="188"/>
      <c r="BTY40" s="188"/>
      <c r="BTZ40" s="188"/>
      <c r="BUA40" s="188"/>
      <c r="BUB40" s="188"/>
      <c r="BUC40" s="188"/>
      <c r="BUD40" s="188"/>
      <c r="BUE40" s="188"/>
      <c r="BUF40" s="188"/>
      <c r="BUG40" s="188"/>
      <c r="BUH40" s="188"/>
      <c r="BUI40" s="188"/>
      <c r="BUJ40" s="188"/>
      <c r="BUK40" s="188"/>
      <c r="BUL40" s="188"/>
      <c r="BUM40" s="188"/>
      <c r="BUN40" s="188"/>
      <c r="BUO40" s="188"/>
      <c r="BUP40" s="188"/>
      <c r="BUQ40" s="188"/>
      <c r="BUR40" s="188"/>
      <c r="BUS40" s="188"/>
      <c r="BUT40" s="188"/>
      <c r="BUU40" s="188"/>
      <c r="BUV40" s="188"/>
      <c r="BUW40" s="188"/>
      <c r="BUX40" s="188"/>
      <c r="BUY40" s="188"/>
      <c r="BUZ40" s="188"/>
      <c r="BVA40" s="188"/>
      <c r="BVB40" s="188"/>
      <c r="BVC40" s="188"/>
      <c r="BVD40" s="188"/>
      <c r="BVE40" s="188"/>
      <c r="BVF40" s="188"/>
      <c r="BVG40" s="188"/>
      <c r="BVH40" s="188"/>
      <c r="BVI40" s="188"/>
      <c r="BVJ40" s="188"/>
      <c r="BVK40" s="188"/>
      <c r="BVL40" s="188"/>
      <c r="BVM40" s="188"/>
      <c r="BVN40" s="188"/>
      <c r="BVO40" s="188"/>
      <c r="BVP40" s="188"/>
      <c r="BVQ40" s="188"/>
      <c r="BVR40" s="188"/>
      <c r="BVS40" s="188"/>
      <c r="BVT40" s="188"/>
      <c r="BVU40" s="188"/>
      <c r="BVV40" s="188"/>
      <c r="BVW40" s="188"/>
      <c r="BVX40" s="188"/>
      <c r="BVY40" s="188"/>
      <c r="BVZ40" s="188"/>
      <c r="BWA40" s="188"/>
      <c r="BWB40" s="188"/>
      <c r="BWC40" s="188"/>
      <c r="BWD40" s="188"/>
      <c r="BWE40" s="188"/>
      <c r="BWF40" s="188"/>
      <c r="BWG40" s="188"/>
      <c r="BWH40" s="188"/>
      <c r="BWI40" s="188"/>
      <c r="BWJ40" s="188"/>
      <c r="BWK40" s="188"/>
      <c r="BWL40" s="188"/>
      <c r="BWM40" s="188"/>
      <c r="BWN40" s="188"/>
      <c r="BWO40" s="188"/>
      <c r="BWP40" s="188"/>
      <c r="BWQ40" s="188"/>
      <c r="BWR40" s="188"/>
      <c r="BWS40" s="188"/>
      <c r="BWT40" s="188"/>
      <c r="BWU40" s="188"/>
      <c r="BWV40" s="188"/>
      <c r="BWW40" s="188"/>
      <c r="BWX40" s="188"/>
      <c r="BWY40" s="188"/>
      <c r="BWZ40" s="188"/>
      <c r="BXA40" s="188"/>
      <c r="BXB40" s="188"/>
      <c r="BXC40" s="188"/>
      <c r="BXD40" s="188"/>
      <c r="BXE40" s="188"/>
      <c r="BXF40" s="188"/>
      <c r="BXG40" s="188"/>
      <c r="BXH40" s="188"/>
      <c r="BXI40" s="188"/>
      <c r="BXJ40" s="188"/>
      <c r="BXK40" s="188"/>
      <c r="BXL40" s="188"/>
      <c r="BXM40" s="188"/>
      <c r="BXN40" s="188"/>
      <c r="BXO40" s="188"/>
      <c r="BXP40" s="188"/>
      <c r="BXQ40" s="188"/>
      <c r="BXR40" s="188"/>
      <c r="BXS40" s="188"/>
      <c r="BXT40" s="188"/>
      <c r="BXU40" s="188"/>
      <c r="BXV40" s="188"/>
      <c r="BXW40" s="188"/>
      <c r="BXX40" s="188"/>
      <c r="BXY40" s="188"/>
      <c r="BXZ40" s="188"/>
      <c r="BYA40" s="188"/>
      <c r="BYB40" s="188"/>
      <c r="BYC40" s="188"/>
      <c r="BYD40" s="188"/>
      <c r="BYE40" s="188"/>
      <c r="BYF40" s="188"/>
      <c r="BYG40" s="188"/>
      <c r="BYH40" s="188"/>
      <c r="BYI40" s="188"/>
      <c r="BYJ40" s="188"/>
      <c r="BYK40" s="188"/>
      <c r="BYL40" s="188"/>
      <c r="BYM40" s="188"/>
      <c r="BYN40" s="188"/>
      <c r="BYO40" s="188"/>
      <c r="BYP40" s="188"/>
      <c r="BYQ40" s="188"/>
      <c r="BYR40" s="188"/>
      <c r="BYS40" s="188"/>
      <c r="BYT40" s="188"/>
      <c r="BYU40" s="188"/>
      <c r="BYV40" s="188"/>
      <c r="BYW40" s="188"/>
      <c r="BYX40" s="188"/>
      <c r="BYY40" s="188"/>
      <c r="BYZ40" s="188"/>
      <c r="BZA40" s="188"/>
      <c r="BZB40" s="188"/>
      <c r="BZC40" s="188"/>
      <c r="BZD40" s="188"/>
      <c r="BZE40" s="188"/>
      <c r="BZF40" s="188"/>
      <c r="BZG40" s="188"/>
      <c r="BZH40" s="188"/>
      <c r="BZI40" s="188"/>
      <c r="BZJ40" s="188"/>
      <c r="BZK40" s="188"/>
      <c r="BZL40" s="188"/>
      <c r="BZM40" s="188"/>
      <c r="BZN40" s="188"/>
      <c r="BZO40" s="188"/>
      <c r="BZP40" s="188"/>
      <c r="BZQ40" s="188"/>
      <c r="BZR40" s="188"/>
      <c r="BZS40" s="188"/>
      <c r="BZT40" s="188"/>
      <c r="BZU40" s="188"/>
      <c r="BZV40" s="188"/>
      <c r="BZW40" s="188"/>
      <c r="BZX40" s="188"/>
      <c r="BZY40" s="188"/>
      <c r="BZZ40" s="188"/>
      <c r="CAA40" s="188"/>
      <c r="CAB40" s="188"/>
      <c r="CAC40" s="188"/>
      <c r="CAD40" s="188"/>
      <c r="CAE40" s="188"/>
      <c r="CAF40" s="188"/>
      <c r="CAG40" s="188"/>
      <c r="CAH40" s="188"/>
      <c r="CAI40" s="188"/>
      <c r="CAJ40" s="188"/>
      <c r="CAK40" s="188"/>
      <c r="CAL40" s="188"/>
      <c r="CAM40" s="188"/>
      <c r="CAN40" s="188"/>
      <c r="CAO40" s="188"/>
      <c r="CAP40" s="188"/>
      <c r="CAQ40" s="188"/>
      <c r="CAR40" s="188"/>
      <c r="CAS40" s="188"/>
      <c r="CAT40" s="188"/>
      <c r="CAU40" s="188"/>
      <c r="CAV40" s="188"/>
      <c r="CAW40" s="188"/>
      <c r="CAX40" s="188"/>
      <c r="CAY40" s="188"/>
      <c r="CAZ40" s="188"/>
      <c r="CBA40" s="188"/>
      <c r="CBB40" s="188"/>
      <c r="CBC40" s="188"/>
      <c r="CBD40" s="188"/>
      <c r="CBE40" s="188"/>
      <c r="CBF40" s="188"/>
      <c r="CBG40" s="188"/>
      <c r="CBH40" s="188"/>
      <c r="CBI40" s="188"/>
      <c r="CBJ40" s="188"/>
      <c r="CBK40" s="188"/>
      <c r="CBL40" s="188"/>
      <c r="CBM40" s="188"/>
      <c r="CBN40" s="188"/>
      <c r="CBO40" s="188"/>
      <c r="CBP40" s="188"/>
      <c r="CBQ40" s="188"/>
      <c r="CBR40" s="188"/>
      <c r="CBS40" s="188"/>
      <c r="CBT40" s="188"/>
      <c r="CBU40" s="188"/>
      <c r="CBV40" s="188"/>
      <c r="CBW40" s="188"/>
      <c r="CBX40" s="188"/>
      <c r="CBY40" s="188"/>
      <c r="CBZ40" s="188"/>
      <c r="CCA40" s="188"/>
      <c r="CCB40" s="188"/>
      <c r="CCC40" s="188"/>
      <c r="CCD40" s="188"/>
      <c r="CCE40" s="188"/>
      <c r="CCF40" s="188"/>
      <c r="CCG40" s="188"/>
      <c r="CCH40" s="188"/>
      <c r="CCI40" s="188"/>
      <c r="CCJ40" s="188"/>
      <c r="CCK40" s="188"/>
      <c r="CCL40" s="188"/>
      <c r="CCM40" s="188"/>
      <c r="CCN40" s="188"/>
      <c r="CCO40" s="188"/>
      <c r="CCP40" s="188"/>
      <c r="CCQ40" s="188"/>
      <c r="CCR40" s="188"/>
      <c r="CCS40" s="188"/>
      <c r="CCT40" s="188"/>
      <c r="CCU40" s="188"/>
      <c r="CCV40" s="188"/>
      <c r="CCW40" s="188"/>
      <c r="CCX40" s="188"/>
      <c r="CCY40" s="188"/>
      <c r="CCZ40" s="188"/>
      <c r="CDA40" s="188"/>
      <c r="CDB40" s="188"/>
      <c r="CDC40" s="188"/>
      <c r="CDD40" s="188"/>
      <c r="CDE40" s="188"/>
      <c r="CDF40" s="188"/>
      <c r="CDG40" s="188"/>
      <c r="CDH40" s="188"/>
      <c r="CDI40" s="188"/>
      <c r="CDJ40" s="188"/>
      <c r="CDK40" s="188"/>
      <c r="CDL40" s="188"/>
      <c r="CDM40" s="188"/>
      <c r="CDN40" s="188"/>
      <c r="CDO40" s="188"/>
      <c r="CDP40" s="188"/>
      <c r="CDQ40" s="188"/>
      <c r="CDR40" s="188"/>
      <c r="CDS40" s="188"/>
      <c r="CDT40" s="188"/>
      <c r="CDU40" s="188"/>
      <c r="CDV40" s="188"/>
      <c r="CDW40" s="188"/>
      <c r="CDX40" s="188"/>
      <c r="CDY40" s="188"/>
      <c r="CDZ40" s="188"/>
      <c r="CEA40" s="188"/>
      <c r="CEB40" s="188"/>
      <c r="CEC40" s="188"/>
      <c r="CED40" s="188"/>
      <c r="CEE40" s="188"/>
      <c r="CEF40" s="188"/>
      <c r="CEG40" s="188"/>
      <c r="CEH40" s="188"/>
      <c r="CEI40" s="188"/>
      <c r="CEJ40" s="188"/>
      <c r="CEK40" s="188"/>
      <c r="CEL40" s="188"/>
      <c r="CEM40" s="188"/>
      <c r="CEN40" s="188"/>
      <c r="CEO40" s="188"/>
      <c r="CEP40" s="188"/>
      <c r="CEQ40" s="188"/>
      <c r="CER40" s="188"/>
      <c r="CES40" s="188"/>
      <c r="CET40" s="188"/>
      <c r="CEU40" s="188"/>
      <c r="CEV40" s="188"/>
      <c r="CEW40" s="188"/>
      <c r="CEX40" s="188"/>
      <c r="CEY40" s="188"/>
      <c r="CEZ40" s="188"/>
      <c r="CFA40" s="188"/>
      <c r="CFB40" s="188"/>
      <c r="CFC40" s="188"/>
      <c r="CFD40" s="188"/>
      <c r="CFE40" s="188"/>
      <c r="CFF40" s="188"/>
      <c r="CFG40" s="188"/>
      <c r="CFH40" s="188"/>
      <c r="CFI40" s="188"/>
      <c r="CFJ40" s="188"/>
      <c r="CFK40" s="188"/>
      <c r="CFL40" s="188"/>
      <c r="CFM40" s="188"/>
      <c r="CFN40" s="188"/>
      <c r="CFO40" s="188"/>
      <c r="CFP40" s="188"/>
      <c r="CFQ40" s="188"/>
      <c r="CFR40" s="188"/>
      <c r="CFS40" s="188"/>
      <c r="CFT40" s="188"/>
      <c r="CFU40" s="188"/>
      <c r="CFV40" s="188"/>
      <c r="CFW40" s="188"/>
      <c r="CFX40" s="188"/>
      <c r="CFY40" s="188"/>
      <c r="CFZ40" s="188"/>
      <c r="CGA40" s="188"/>
      <c r="CGB40" s="188"/>
      <c r="CGC40" s="188"/>
      <c r="CGD40" s="188"/>
      <c r="CGE40" s="188"/>
      <c r="CGF40" s="188"/>
      <c r="CGG40" s="188"/>
      <c r="CGH40" s="188"/>
      <c r="CGI40" s="188"/>
      <c r="CGJ40" s="188"/>
      <c r="CGK40" s="188"/>
      <c r="CGL40" s="188"/>
      <c r="CGM40" s="188"/>
      <c r="CGN40" s="188"/>
      <c r="CGO40" s="188"/>
      <c r="CGP40" s="188"/>
      <c r="CGQ40" s="188"/>
      <c r="CGR40" s="188"/>
      <c r="CGS40" s="188"/>
      <c r="CGT40" s="188"/>
      <c r="CGU40" s="188"/>
      <c r="CGV40" s="188"/>
      <c r="CGW40" s="188"/>
      <c r="CGX40" s="188"/>
      <c r="CGY40" s="188"/>
      <c r="CGZ40" s="188"/>
      <c r="CHA40" s="188"/>
      <c r="CHB40" s="188"/>
      <c r="CHC40" s="188"/>
      <c r="CHD40" s="188"/>
      <c r="CHE40" s="188"/>
      <c r="CHF40" s="188"/>
      <c r="CHG40" s="188"/>
      <c r="CHH40" s="188"/>
      <c r="CHI40" s="188"/>
      <c r="CHJ40" s="188"/>
      <c r="CHK40" s="188"/>
      <c r="CHL40" s="188"/>
      <c r="CHM40" s="188"/>
      <c r="CHN40" s="188"/>
      <c r="CHO40" s="188"/>
      <c r="CHP40" s="188"/>
      <c r="CHQ40" s="188"/>
      <c r="CHR40" s="188"/>
      <c r="CHS40" s="188"/>
      <c r="CHT40" s="188"/>
      <c r="CHU40" s="188"/>
      <c r="CHV40" s="188"/>
      <c r="CHW40" s="188"/>
      <c r="CHX40" s="188"/>
      <c r="CHY40" s="188"/>
      <c r="CHZ40" s="188"/>
      <c r="CIA40" s="188"/>
      <c r="CIB40" s="188"/>
      <c r="CIC40" s="188"/>
      <c r="CID40" s="188"/>
      <c r="CIE40" s="188"/>
      <c r="CIF40" s="188"/>
      <c r="CIG40" s="188"/>
      <c r="CIH40" s="188"/>
      <c r="CII40" s="188"/>
      <c r="CIJ40" s="188"/>
      <c r="CIK40" s="188"/>
      <c r="CIL40" s="188"/>
      <c r="CIM40" s="188"/>
      <c r="CIN40" s="188"/>
      <c r="CIO40" s="188"/>
      <c r="CIP40" s="188"/>
      <c r="CIQ40" s="188"/>
      <c r="CIR40" s="188"/>
      <c r="CIS40" s="188"/>
      <c r="CIT40" s="188"/>
      <c r="CIU40" s="188"/>
      <c r="CIV40" s="188"/>
      <c r="CIW40" s="188"/>
      <c r="CIX40" s="188"/>
      <c r="CIY40" s="188"/>
      <c r="CIZ40" s="188"/>
      <c r="CJA40" s="188"/>
      <c r="CJB40" s="188"/>
      <c r="CJC40" s="188"/>
      <c r="CJD40" s="188"/>
      <c r="CJE40" s="188"/>
      <c r="CJF40" s="188"/>
      <c r="CJG40" s="188"/>
      <c r="CJH40" s="188"/>
      <c r="CJI40" s="188"/>
      <c r="CJJ40" s="188"/>
      <c r="CJK40" s="188"/>
      <c r="CJL40" s="188"/>
      <c r="CJM40" s="188"/>
      <c r="CJN40" s="188"/>
      <c r="CJO40" s="188"/>
      <c r="CJP40" s="188"/>
      <c r="CJQ40" s="188"/>
      <c r="CJR40" s="188"/>
      <c r="CJS40" s="188"/>
      <c r="CJT40" s="188"/>
      <c r="CJU40" s="188"/>
      <c r="CJV40" s="188"/>
      <c r="CJW40" s="188"/>
      <c r="CJX40" s="188"/>
      <c r="CJY40" s="188"/>
      <c r="CJZ40" s="188"/>
      <c r="CKA40" s="188"/>
      <c r="CKB40" s="188"/>
      <c r="CKC40" s="188"/>
      <c r="CKD40" s="188"/>
      <c r="CKE40" s="188"/>
      <c r="CKF40" s="188"/>
      <c r="CKG40" s="188"/>
      <c r="CKH40" s="188"/>
      <c r="CKI40" s="188"/>
      <c r="CKJ40" s="188"/>
      <c r="CKK40" s="188"/>
      <c r="CKL40" s="188"/>
      <c r="CKM40" s="188"/>
      <c r="CKN40" s="188"/>
      <c r="CKO40" s="188"/>
      <c r="CKP40" s="188"/>
      <c r="CKQ40" s="188"/>
      <c r="CKR40" s="188"/>
      <c r="CKS40" s="188"/>
      <c r="CKT40" s="188"/>
      <c r="CKU40" s="188"/>
      <c r="CKV40" s="188"/>
      <c r="CKW40" s="188"/>
      <c r="CKX40" s="188"/>
      <c r="CKY40" s="188"/>
      <c r="CKZ40" s="188"/>
      <c r="CLA40" s="188"/>
      <c r="CLB40" s="188"/>
      <c r="CLC40" s="188"/>
      <c r="CLD40" s="188"/>
      <c r="CLE40" s="188"/>
      <c r="CLF40" s="188"/>
      <c r="CLG40" s="188"/>
      <c r="CLH40" s="188"/>
      <c r="CLI40" s="188"/>
      <c r="CLJ40" s="188"/>
      <c r="CLK40" s="188"/>
      <c r="CLL40" s="188"/>
      <c r="CLM40" s="188"/>
      <c r="CLN40" s="188"/>
      <c r="CLO40" s="188"/>
      <c r="CLP40" s="188"/>
      <c r="CLQ40" s="188"/>
      <c r="CLR40" s="188"/>
      <c r="CLS40" s="188"/>
      <c r="CLT40" s="188"/>
      <c r="CLU40" s="188"/>
      <c r="CLV40" s="188"/>
      <c r="CLW40" s="188"/>
      <c r="CLX40" s="188"/>
      <c r="CLY40" s="188"/>
      <c r="CLZ40" s="188"/>
      <c r="CMA40" s="188"/>
      <c r="CMB40" s="188"/>
      <c r="CMC40" s="188"/>
      <c r="CMD40" s="188"/>
      <c r="CME40" s="188"/>
      <c r="CMF40" s="188"/>
      <c r="CMG40" s="188"/>
      <c r="CMH40" s="188"/>
      <c r="CMI40" s="188"/>
      <c r="CMJ40" s="188"/>
      <c r="CMK40" s="188"/>
      <c r="CML40" s="188"/>
      <c r="CMM40" s="188"/>
      <c r="CMN40" s="188"/>
      <c r="CMO40" s="188"/>
      <c r="CMP40" s="188"/>
      <c r="CMQ40" s="188"/>
      <c r="CMR40" s="188"/>
      <c r="CMS40" s="188"/>
      <c r="CMT40" s="188"/>
      <c r="CMU40" s="188"/>
      <c r="CMV40" s="188"/>
      <c r="CMW40" s="188"/>
      <c r="CMX40" s="188"/>
      <c r="CMY40" s="188"/>
      <c r="CMZ40" s="188"/>
      <c r="CNA40" s="188"/>
      <c r="CNB40" s="188"/>
      <c r="CNC40" s="188"/>
      <c r="CND40" s="188"/>
      <c r="CNE40" s="188"/>
      <c r="CNF40" s="188"/>
      <c r="CNG40" s="188"/>
      <c r="CNH40" s="188"/>
      <c r="CNI40" s="188"/>
      <c r="CNJ40" s="188"/>
      <c r="CNK40" s="188"/>
      <c r="CNL40" s="188"/>
      <c r="CNM40" s="188"/>
      <c r="CNN40" s="188"/>
      <c r="CNO40" s="188"/>
      <c r="CNP40" s="188"/>
      <c r="CNQ40" s="188"/>
      <c r="CNR40" s="188"/>
      <c r="CNS40" s="188"/>
      <c r="CNT40" s="188"/>
      <c r="CNU40" s="188"/>
      <c r="CNV40" s="188"/>
      <c r="CNW40" s="188"/>
      <c r="CNX40" s="188"/>
      <c r="CNY40" s="188"/>
      <c r="CNZ40" s="188"/>
      <c r="COA40" s="188"/>
      <c r="COB40" s="188"/>
      <c r="COC40" s="188"/>
      <c r="COD40" s="188"/>
      <c r="COE40" s="188"/>
      <c r="COF40" s="188"/>
      <c r="COG40" s="188"/>
      <c r="COH40" s="188"/>
      <c r="COI40" s="188"/>
      <c r="COJ40" s="188"/>
      <c r="COK40" s="188"/>
      <c r="COL40" s="188"/>
      <c r="COM40" s="188"/>
      <c r="CON40" s="188"/>
      <c r="COO40" s="188"/>
      <c r="COP40" s="188"/>
      <c r="COQ40" s="188"/>
      <c r="COR40" s="188"/>
      <c r="COS40" s="188"/>
      <c r="COT40" s="188"/>
      <c r="COU40" s="188"/>
      <c r="COV40" s="188"/>
      <c r="COW40" s="188"/>
      <c r="COX40" s="188"/>
      <c r="COY40" s="188"/>
      <c r="COZ40" s="188"/>
      <c r="CPA40" s="188"/>
      <c r="CPB40" s="188"/>
      <c r="CPC40" s="188"/>
      <c r="CPD40" s="188"/>
      <c r="CPE40" s="188"/>
      <c r="CPF40" s="188"/>
      <c r="CPG40" s="188"/>
      <c r="CPH40" s="188"/>
      <c r="CPI40" s="188"/>
      <c r="CPJ40" s="188"/>
      <c r="CPK40" s="188"/>
      <c r="CPL40" s="188"/>
      <c r="CPM40" s="188"/>
      <c r="CPN40" s="188"/>
      <c r="CPO40" s="188"/>
      <c r="CPP40" s="188"/>
      <c r="CPQ40" s="188"/>
      <c r="CPR40" s="188"/>
      <c r="CPS40" s="188"/>
      <c r="CPT40" s="188"/>
      <c r="CPU40" s="188"/>
      <c r="CPV40" s="188"/>
      <c r="CPW40" s="188"/>
      <c r="CPX40" s="188"/>
      <c r="CPY40" s="188"/>
      <c r="CPZ40" s="188"/>
      <c r="CQA40" s="188"/>
      <c r="CQB40" s="188"/>
      <c r="CQC40" s="188"/>
      <c r="CQD40" s="188"/>
      <c r="CQE40" s="188"/>
      <c r="CQF40" s="188"/>
      <c r="CQG40" s="188"/>
      <c r="CQH40" s="188"/>
      <c r="CQI40" s="188"/>
      <c r="CQJ40" s="188"/>
      <c r="CQK40" s="188"/>
      <c r="CQL40" s="188"/>
      <c r="CQM40" s="188"/>
      <c r="CQN40" s="188"/>
      <c r="CQO40" s="188"/>
      <c r="CQP40" s="188"/>
      <c r="CQQ40" s="188"/>
      <c r="CQR40" s="188"/>
      <c r="CQS40" s="188"/>
      <c r="CQT40" s="188"/>
      <c r="CQU40" s="188"/>
      <c r="CQV40" s="188"/>
      <c r="CQW40" s="188"/>
      <c r="CQX40" s="188"/>
      <c r="CQY40" s="188"/>
      <c r="CQZ40" s="188"/>
      <c r="CRA40" s="188"/>
      <c r="CRB40" s="188"/>
      <c r="CRC40" s="188"/>
      <c r="CRD40" s="188"/>
      <c r="CRE40" s="188"/>
      <c r="CRF40" s="188"/>
      <c r="CRG40" s="188"/>
      <c r="CRH40" s="188"/>
      <c r="CRI40" s="188"/>
      <c r="CRJ40" s="188"/>
      <c r="CRK40" s="188"/>
      <c r="CRL40" s="188"/>
      <c r="CRM40" s="188"/>
      <c r="CRN40" s="188"/>
      <c r="CRO40" s="188"/>
      <c r="CRP40" s="188"/>
      <c r="CRQ40" s="188"/>
      <c r="CRR40" s="188"/>
      <c r="CRS40" s="188"/>
      <c r="CRT40" s="188"/>
      <c r="CRU40" s="188"/>
      <c r="CRV40" s="188"/>
      <c r="CRW40" s="188"/>
      <c r="CRX40" s="188"/>
      <c r="CRY40" s="188"/>
      <c r="CRZ40" s="188"/>
      <c r="CSA40" s="188"/>
      <c r="CSB40" s="188"/>
      <c r="CSC40" s="188"/>
      <c r="CSD40" s="188"/>
      <c r="CSE40" s="188"/>
      <c r="CSF40" s="188"/>
      <c r="CSG40" s="188"/>
      <c r="CSH40" s="188"/>
      <c r="CSI40" s="188"/>
      <c r="CSJ40" s="188"/>
      <c r="CSK40" s="188"/>
      <c r="CSL40" s="188"/>
      <c r="CSM40" s="188"/>
      <c r="CSN40" s="188"/>
      <c r="CSO40" s="188"/>
      <c r="CSP40" s="188"/>
      <c r="CSQ40" s="188"/>
      <c r="CSR40" s="188"/>
      <c r="CSS40" s="188"/>
      <c r="CST40" s="188"/>
      <c r="CSU40" s="188"/>
      <c r="CSV40" s="188"/>
      <c r="CSW40" s="188"/>
      <c r="CSX40" s="188"/>
      <c r="CSY40" s="188"/>
      <c r="CSZ40" s="188"/>
      <c r="CTA40" s="188"/>
      <c r="CTB40" s="188"/>
      <c r="CTC40" s="188"/>
      <c r="CTD40" s="188"/>
      <c r="CTE40" s="188"/>
      <c r="CTF40" s="188"/>
      <c r="CTG40" s="188"/>
      <c r="CTH40" s="188"/>
      <c r="CTI40" s="188"/>
      <c r="CTJ40" s="188"/>
      <c r="CTK40" s="188"/>
      <c r="CTL40" s="188"/>
      <c r="CTM40" s="188"/>
      <c r="CTN40" s="188"/>
      <c r="CTO40" s="188"/>
      <c r="CTP40" s="188"/>
      <c r="CTQ40" s="188"/>
      <c r="CTR40" s="188"/>
      <c r="CTS40" s="188"/>
      <c r="CTT40" s="188"/>
      <c r="CTU40" s="188"/>
      <c r="CTV40" s="188"/>
      <c r="CTW40" s="188"/>
      <c r="CTX40" s="188"/>
      <c r="CTY40" s="188"/>
      <c r="CTZ40" s="188"/>
      <c r="CUA40" s="188"/>
    </row>
    <row r="41" s="189" customFormat="1" spans="1:1024 1025:2575">
      <c r="A41" s="216" t="s">
        <v>42</v>
      </c>
      <c r="B41" s="84">
        <f t="shared" si="31"/>
        <v>6</v>
      </c>
      <c r="C41" s="217">
        <f t="shared" si="26"/>
        <v>45531</v>
      </c>
      <c r="D41" s="218">
        <f t="shared" si="22"/>
        <v>45537</v>
      </c>
      <c r="E41" s="219">
        <v>1302</v>
      </c>
      <c r="F41" s="220">
        <f t="shared" si="27"/>
        <v>45551</v>
      </c>
      <c r="G41" s="219">
        <v>1079</v>
      </c>
      <c r="H41" s="54">
        <f t="shared" si="10"/>
        <v>0.828725038402458</v>
      </c>
      <c r="I41" s="218">
        <f t="shared" si="28"/>
        <v>45568</v>
      </c>
      <c r="J41" s="219">
        <v>1000</v>
      </c>
      <c r="K41" s="54">
        <f t="shared" si="0"/>
        <v>0.768049155145929</v>
      </c>
      <c r="L41" s="218">
        <f t="shared" si="29"/>
        <v>45571</v>
      </c>
      <c r="M41" s="219">
        <v>999</v>
      </c>
      <c r="N41" s="219">
        <v>8352</v>
      </c>
      <c r="O41" s="54">
        <f t="shared" si="1"/>
        <v>0.767281105990783</v>
      </c>
      <c r="P41" s="54">
        <f t="shared" si="7"/>
        <v>0.0614439324116743</v>
      </c>
      <c r="Q41" s="221">
        <f t="shared" si="2"/>
        <v>8.36036036036036</v>
      </c>
      <c r="R41" s="218">
        <f t="shared" si="30"/>
        <v>45603</v>
      </c>
      <c r="S41" s="203">
        <v>8099</v>
      </c>
      <c r="T41" s="84">
        <v>860</v>
      </c>
      <c r="U41" s="54">
        <f t="shared" si="3"/>
        <v>0.96970785440613</v>
      </c>
      <c r="V41" s="218">
        <f t="shared" si="19"/>
        <v>45638</v>
      </c>
      <c r="W41" s="203">
        <v>7965</v>
      </c>
      <c r="X41" s="54">
        <f t="shared" si="4"/>
        <v>0.983454747499691</v>
      </c>
      <c r="Y41" s="84">
        <v>19462</v>
      </c>
      <c r="Z41" s="203">
        <v>14.8</v>
      </c>
      <c r="AA41" s="8">
        <f t="shared" si="32"/>
        <v>2.44344005021971</v>
      </c>
      <c r="AB41" s="8">
        <f t="shared" si="5"/>
        <v>6.11751152073733</v>
      </c>
      <c r="AC41" s="8">
        <v>3.34</v>
      </c>
      <c r="AD41" s="203">
        <v>3.29</v>
      </c>
      <c r="AE41" s="8">
        <v>58.5</v>
      </c>
      <c r="AF41" s="203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8"/>
      <c r="CA41" s="188"/>
      <c r="CB41" s="188"/>
      <c r="CC41" s="188"/>
      <c r="CD41" s="188"/>
      <c r="CE41" s="188"/>
      <c r="CF41" s="188"/>
      <c r="CG41" s="188"/>
      <c r="CH41" s="188"/>
      <c r="CI41" s="188"/>
      <c r="CJ41" s="188"/>
      <c r="CK41" s="188"/>
      <c r="CL41" s="188"/>
      <c r="CM41" s="188"/>
      <c r="CN41" s="188"/>
      <c r="CO41" s="188"/>
      <c r="CP41" s="188"/>
      <c r="CQ41" s="188"/>
      <c r="CR41" s="188"/>
      <c r="CS41" s="188"/>
      <c r="CT41" s="188"/>
      <c r="CU41" s="188"/>
      <c r="CV41" s="188"/>
      <c r="CW41" s="188"/>
      <c r="CX41" s="188"/>
      <c r="CY41" s="188"/>
      <c r="CZ41" s="188"/>
      <c r="DA41" s="188"/>
      <c r="DB41" s="188"/>
      <c r="DC41" s="188"/>
      <c r="DD41" s="188"/>
      <c r="DE41" s="188"/>
      <c r="DF41" s="188"/>
      <c r="DG41" s="188"/>
      <c r="DH41" s="188"/>
      <c r="DI41" s="188"/>
      <c r="DJ41" s="188"/>
      <c r="DK41" s="188"/>
      <c r="DL41" s="188"/>
      <c r="DM41" s="188"/>
      <c r="DN41" s="188"/>
      <c r="DO41" s="188"/>
      <c r="DP41" s="188"/>
      <c r="DQ41" s="188"/>
      <c r="DR41" s="188"/>
      <c r="DS41" s="188"/>
      <c r="DT41" s="188"/>
      <c r="DU41" s="188"/>
      <c r="DV41" s="188"/>
      <c r="DW41" s="188"/>
      <c r="DX41" s="188"/>
      <c r="DY41" s="188"/>
      <c r="DZ41" s="188"/>
      <c r="EA41" s="188"/>
      <c r="EB41" s="188"/>
      <c r="EC41" s="188"/>
      <c r="ED41" s="188"/>
      <c r="EE41" s="188"/>
      <c r="EF41" s="188"/>
      <c r="EG41" s="188"/>
      <c r="EH41" s="188"/>
      <c r="EI41" s="188"/>
      <c r="EJ41" s="188"/>
      <c r="EK41" s="188"/>
      <c r="EL41" s="188"/>
      <c r="EM41" s="188"/>
      <c r="EN41" s="188"/>
      <c r="EO41" s="188"/>
      <c r="EP41" s="188"/>
      <c r="EQ41" s="188"/>
      <c r="ER41" s="188"/>
      <c r="ES41" s="188"/>
      <c r="ET41" s="188"/>
      <c r="EU41" s="188"/>
      <c r="EV41" s="188"/>
      <c r="EW41" s="188"/>
      <c r="EX41" s="188"/>
      <c r="EY41" s="188"/>
      <c r="EZ41" s="188"/>
      <c r="FA41" s="188"/>
      <c r="FB41" s="188"/>
      <c r="FC41" s="188"/>
      <c r="FD41" s="188"/>
      <c r="FE41" s="188"/>
      <c r="FF41" s="188"/>
      <c r="FG41" s="188"/>
      <c r="FH41" s="188"/>
      <c r="FI41" s="188"/>
      <c r="FJ41" s="188"/>
      <c r="FK41" s="188"/>
      <c r="FL41" s="188"/>
      <c r="FM41" s="188"/>
      <c r="FN41" s="188"/>
      <c r="FO41" s="188"/>
      <c r="FP41" s="188"/>
      <c r="FQ41" s="188"/>
      <c r="FR41" s="188"/>
      <c r="FS41" s="188"/>
      <c r="FT41" s="188"/>
      <c r="FU41" s="188"/>
      <c r="FV41" s="188"/>
      <c r="FW41" s="188"/>
      <c r="FX41" s="188"/>
      <c r="FY41" s="188"/>
      <c r="FZ41" s="188"/>
      <c r="GA41" s="188"/>
      <c r="GB41" s="188"/>
      <c r="GC41" s="188"/>
      <c r="GD41" s="188"/>
      <c r="GE41" s="188"/>
      <c r="GF41" s="188"/>
      <c r="GG41" s="188"/>
      <c r="GH41" s="188"/>
      <c r="GI41" s="188"/>
      <c r="GJ41" s="188"/>
      <c r="GK41" s="188"/>
      <c r="GL41" s="188"/>
      <c r="GM41" s="188"/>
      <c r="GN41" s="188"/>
      <c r="GO41" s="188"/>
      <c r="GP41" s="188"/>
      <c r="GQ41" s="188"/>
      <c r="GR41" s="188"/>
      <c r="GS41" s="188"/>
      <c r="GT41" s="188"/>
      <c r="GU41" s="188"/>
      <c r="GV41" s="188"/>
      <c r="GW41" s="188"/>
      <c r="GX41" s="188"/>
      <c r="GY41" s="188"/>
      <c r="GZ41" s="188"/>
      <c r="HA41" s="188"/>
      <c r="HB41" s="188"/>
      <c r="HC41" s="188"/>
      <c r="HD41" s="188"/>
      <c r="HE41" s="188"/>
      <c r="HF41" s="188"/>
      <c r="HG41" s="188"/>
      <c r="HH41" s="188"/>
      <c r="HI41" s="188"/>
      <c r="HJ41" s="188"/>
      <c r="HK41" s="188"/>
      <c r="HL41" s="188"/>
      <c r="HM41" s="188"/>
      <c r="HN41" s="188"/>
      <c r="HO41" s="188"/>
      <c r="HP41" s="188"/>
      <c r="HQ41" s="188"/>
      <c r="HR41" s="188"/>
      <c r="HS41" s="188"/>
      <c r="HT41" s="188"/>
      <c r="HU41" s="188"/>
      <c r="HV41" s="188"/>
      <c r="HW41" s="188"/>
      <c r="HX41" s="188"/>
      <c r="HY41" s="188"/>
      <c r="HZ41" s="188"/>
      <c r="IA41" s="188"/>
      <c r="IB41" s="188"/>
      <c r="IC41" s="188"/>
      <c r="ID41" s="188"/>
      <c r="IE41" s="188"/>
      <c r="IF41" s="188"/>
      <c r="IG41" s="188"/>
      <c r="IH41" s="188"/>
      <c r="II41" s="188"/>
      <c r="IJ41" s="188"/>
      <c r="IK41" s="188"/>
      <c r="IL41" s="188"/>
      <c r="IM41" s="188"/>
      <c r="IN41" s="188"/>
      <c r="IO41" s="188"/>
      <c r="IP41" s="188"/>
      <c r="IQ41" s="188"/>
      <c r="IR41" s="188"/>
      <c r="IS41" s="188"/>
      <c r="IT41" s="188"/>
      <c r="IU41" s="188"/>
      <c r="IV41" s="188"/>
      <c r="IW41" s="188"/>
      <c r="IX41" s="188"/>
      <c r="IY41" s="188"/>
      <c r="IZ41" s="188"/>
      <c r="JA41" s="188"/>
      <c r="JB41" s="188"/>
      <c r="JC41" s="188"/>
      <c r="JD41" s="188"/>
      <c r="JE41" s="188"/>
      <c r="JF41" s="188"/>
      <c r="JG41" s="188"/>
      <c r="JH41" s="188"/>
      <c r="JI41" s="188"/>
      <c r="JJ41" s="188"/>
      <c r="JK41" s="188"/>
      <c r="JL41" s="188"/>
      <c r="JM41" s="188"/>
      <c r="JN41" s="188"/>
      <c r="JO41" s="188"/>
      <c r="JP41" s="188"/>
      <c r="JQ41" s="188"/>
      <c r="JR41" s="188"/>
      <c r="JS41" s="188"/>
      <c r="JT41" s="188"/>
      <c r="JU41" s="188"/>
      <c r="JV41" s="188"/>
      <c r="JW41" s="188"/>
      <c r="JX41" s="188"/>
      <c r="JY41" s="188"/>
      <c r="JZ41" s="188"/>
      <c r="KA41" s="188"/>
      <c r="KB41" s="188"/>
      <c r="KC41" s="188"/>
      <c r="KD41" s="188"/>
      <c r="KE41" s="188"/>
      <c r="KF41" s="188"/>
      <c r="KG41" s="188"/>
      <c r="KH41" s="188"/>
      <c r="KI41" s="188"/>
      <c r="KJ41" s="188"/>
      <c r="KK41" s="188"/>
      <c r="KL41" s="188"/>
      <c r="KM41" s="188"/>
      <c r="KN41" s="188"/>
      <c r="KO41" s="188"/>
      <c r="KP41" s="188"/>
      <c r="KQ41" s="188"/>
      <c r="KR41" s="188"/>
      <c r="KS41" s="188"/>
      <c r="KT41" s="188"/>
      <c r="KU41" s="188"/>
      <c r="KV41" s="188"/>
      <c r="KW41" s="188"/>
      <c r="KX41" s="188"/>
      <c r="KY41" s="188"/>
      <c r="KZ41" s="188"/>
      <c r="LA41" s="188"/>
      <c r="LB41" s="188"/>
      <c r="LC41" s="188"/>
      <c r="LD41" s="188"/>
      <c r="LE41" s="188"/>
      <c r="LF41" s="188"/>
      <c r="LG41" s="188"/>
      <c r="LH41" s="188"/>
      <c r="LI41" s="188"/>
      <c r="LJ41" s="188"/>
      <c r="LK41" s="188"/>
      <c r="LL41" s="188"/>
      <c r="LM41" s="188"/>
      <c r="LN41" s="188"/>
      <c r="LO41" s="188"/>
      <c r="LP41" s="188"/>
      <c r="LQ41" s="188"/>
      <c r="LR41" s="188"/>
      <c r="LS41" s="188"/>
      <c r="LT41" s="188"/>
      <c r="LU41" s="188"/>
      <c r="LV41" s="188"/>
      <c r="LW41" s="188"/>
      <c r="LX41" s="188"/>
      <c r="LY41" s="188"/>
      <c r="LZ41" s="188"/>
      <c r="MA41" s="188"/>
      <c r="MB41" s="188"/>
      <c r="MC41" s="188"/>
      <c r="MD41" s="188"/>
      <c r="ME41" s="188"/>
      <c r="MF41" s="188"/>
      <c r="MG41" s="188"/>
      <c r="MH41" s="188"/>
      <c r="MI41" s="188"/>
      <c r="MJ41" s="188"/>
      <c r="MK41" s="188"/>
      <c r="ML41" s="188"/>
      <c r="MM41" s="188"/>
      <c r="MN41" s="188"/>
      <c r="MO41" s="188"/>
      <c r="MP41" s="188"/>
      <c r="MQ41" s="188"/>
      <c r="MR41" s="188"/>
      <c r="MS41" s="188"/>
      <c r="MT41" s="188"/>
      <c r="MU41" s="188"/>
      <c r="MV41" s="188"/>
      <c r="MW41" s="188"/>
      <c r="MX41" s="188"/>
      <c r="MY41" s="188"/>
      <c r="MZ41" s="188"/>
      <c r="NA41" s="188"/>
      <c r="NB41" s="188"/>
      <c r="NC41" s="188"/>
      <c r="ND41" s="188"/>
      <c r="NE41" s="188"/>
      <c r="NF41" s="188"/>
      <c r="NG41" s="188"/>
      <c r="NH41" s="188"/>
      <c r="NI41" s="188"/>
      <c r="NJ41" s="188"/>
      <c r="NK41" s="188"/>
      <c r="NL41" s="188"/>
      <c r="NM41" s="188"/>
      <c r="NN41" s="188"/>
      <c r="NO41" s="188"/>
      <c r="NP41" s="188"/>
      <c r="NQ41" s="188"/>
      <c r="NR41" s="188"/>
      <c r="NS41" s="188"/>
      <c r="NT41" s="188"/>
      <c r="NU41" s="188"/>
      <c r="NV41" s="188"/>
      <c r="NW41" s="188"/>
      <c r="NX41" s="188"/>
      <c r="NY41" s="188"/>
      <c r="NZ41" s="188"/>
      <c r="OA41" s="188"/>
      <c r="OB41" s="188"/>
      <c r="OC41" s="188"/>
      <c r="OD41" s="188"/>
      <c r="OE41" s="188"/>
      <c r="OF41" s="188"/>
      <c r="OG41" s="188"/>
      <c r="OH41" s="188"/>
      <c r="OI41" s="188"/>
      <c r="OJ41" s="188"/>
      <c r="OK41" s="188"/>
      <c r="OL41" s="188"/>
      <c r="OM41" s="188"/>
      <c r="ON41" s="188"/>
      <c r="OO41" s="188"/>
      <c r="OP41" s="188"/>
      <c r="OQ41" s="188"/>
      <c r="OR41" s="188"/>
      <c r="OS41" s="188"/>
      <c r="OT41" s="188"/>
      <c r="OU41" s="188"/>
      <c r="OV41" s="188"/>
      <c r="OW41" s="188"/>
      <c r="OX41" s="188"/>
      <c r="OY41" s="188"/>
      <c r="OZ41" s="188"/>
      <c r="PA41" s="188"/>
      <c r="PB41" s="188"/>
      <c r="PC41" s="188"/>
      <c r="PD41" s="188"/>
      <c r="PE41" s="188"/>
      <c r="PF41" s="188"/>
      <c r="PG41" s="188"/>
      <c r="PH41" s="188"/>
      <c r="PI41" s="188"/>
      <c r="PJ41" s="188"/>
      <c r="PK41" s="188"/>
      <c r="PL41" s="188"/>
      <c r="PM41" s="188"/>
      <c r="PN41" s="188"/>
      <c r="PO41" s="188"/>
      <c r="PP41" s="188"/>
      <c r="PQ41" s="188"/>
      <c r="PR41" s="188"/>
      <c r="PS41" s="188"/>
      <c r="PT41" s="188"/>
      <c r="PU41" s="188"/>
      <c r="PV41" s="188"/>
      <c r="PW41" s="188"/>
      <c r="PX41" s="188"/>
      <c r="PY41" s="188"/>
      <c r="PZ41" s="188"/>
      <c r="QA41" s="188"/>
      <c r="QB41" s="188"/>
      <c r="QC41" s="188"/>
      <c r="QD41" s="188"/>
      <c r="QE41" s="188"/>
      <c r="QF41" s="188"/>
      <c r="QG41" s="188"/>
      <c r="QH41" s="188"/>
      <c r="QI41" s="188"/>
      <c r="QJ41" s="188"/>
      <c r="QK41" s="188"/>
      <c r="QL41" s="188"/>
      <c r="QM41" s="188"/>
      <c r="QN41" s="188"/>
      <c r="QO41" s="188"/>
      <c r="QP41" s="188"/>
      <c r="QQ41" s="188"/>
      <c r="QR41" s="188"/>
      <c r="QS41" s="188"/>
      <c r="QT41" s="188"/>
      <c r="QU41" s="188"/>
      <c r="QV41" s="188"/>
      <c r="QW41" s="188"/>
      <c r="QX41" s="188"/>
      <c r="QY41" s="188"/>
      <c r="QZ41" s="188"/>
      <c r="RA41" s="188"/>
      <c r="RB41" s="188"/>
      <c r="RC41" s="188"/>
      <c r="RD41" s="188"/>
      <c r="RE41" s="188"/>
      <c r="RF41" s="188"/>
      <c r="RG41" s="188"/>
      <c r="RH41" s="188"/>
      <c r="RI41" s="188"/>
      <c r="RJ41" s="188"/>
      <c r="RK41" s="188"/>
      <c r="RL41" s="188"/>
      <c r="RM41" s="188"/>
      <c r="RN41" s="188"/>
      <c r="RO41" s="188"/>
      <c r="RP41" s="188"/>
      <c r="RQ41" s="188"/>
      <c r="RR41" s="188"/>
      <c r="RS41" s="188"/>
      <c r="RT41" s="188"/>
      <c r="RU41" s="188"/>
      <c r="RV41" s="188"/>
      <c r="RW41" s="188"/>
      <c r="RX41" s="188"/>
      <c r="RY41" s="188"/>
      <c r="RZ41" s="188"/>
      <c r="SA41" s="188"/>
      <c r="SB41" s="188"/>
      <c r="SC41" s="188"/>
      <c r="SD41" s="188"/>
      <c r="SE41" s="188"/>
      <c r="SF41" s="188"/>
      <c r="SG41" s="188"/>
      <c r="SH41" s="188"/>
      <c r="SI41" s="188"/>
      <c r="SJ41" s="188"/>
      <c r="SK41" s="188"/>
      <c r="SL41" s="188"/>
      <c r="SM41" s="188"/>
      <c r="SN41" s="188"/>
      <c r="SO41" s="188"/>
      <c r="SP41" s="188"/>
      <c r="SQ41" s="188"/>
      <c r="SR41" s="188"/>
      <c r="SS41" s="188"/>
      <c r="ST41" s="188"/>
      <c r="SU41" s="188"/>
      <c r="SV41" s="188"/>
      <c r="SW41" s="188"/>
      <c r="SX41" s="188"/>
      <c r="SY41" s="188"/>
      <c r="SZ41" s="188"/>
      <c r="TA41" s="188"/>
      <c r="TB41" s="188"/>
      <c r="TC41" s="188"/>
      <c r="TD41" s="188"/>
      <c r="TE41" s="188"/>
      <c r="TF41" s="188"/>
      <c r="TG41" s="188"/>
      <c r="TH41" s="188"/>
      <c r="TI41" s="188"/>
      <c r="TJ41" s="188"/>
      <c r="TK41" s="188"/>
      <c r="TL41" s="188"/>
      <c r="TM41" s="188"/>
      <c r="TN41" s="188"/>
      <c r="TO41" s="188"/>
      <c r="TP41" s="188"/>
      <c r="TQ41" s="188"/>
      <c r="TR41" s="188"/>
      <c r="TS41" s="188"/>
      <c r="TT41" s="188"/>
      <c r="TU41" s="188"/>
      <c r="TV41" s="188"/>
      <c r="TW41" s="188"/>
      <c r="TX41" s="188"/>
      <c r="TY41" s="188"/>
      <c r="TZ41" s="188"/>
      <c r="UA41" s="188"/>
      <c r="UB41" s="188"/>
      <c r="UC41" s="188"/>
      <c r="UD41" s="188"/>
      <c r="UE41" s="188"/>
      <c r="UF41" s="188"/>
      <c r="UG41" s="188"/>
      <c r="UH41" s="188"/>
      <c r="UI41" s="188"/>
      <c r="UJ41" s="188"/>
      <c r="UK41" s="188"/>
      <c r="UL41" s="188"/>
      <c r="UM41" s="188"/>
      <c r="UN41" s="188"/>
      <c r="UO41" s="188"/>
      <c r="UP41" s="188"/>
      <c r="UQ41" s="188"/>
      <c r="UR41" s="188"/>
      <c r="US41" s="188"/>
      <c r="UT41" s="188"/>
      <c r="UU41" s="188"/>
      <c r="UV41" s="188"/>
      <c r="UW41" s="188"/>
      <c r="UX41" s="188"/>
      <c r="UY41" s="188"/>
      <c r="UZ41" s="188"/>
      <c r="VA41" s="188"/>
      <c r="VB41" s="188"/>
      <c r="VC41" s="188"/>
      <c r="VD41" s="188"/>
      <c r="VE41" s="188"/>
      <c r="VF41" s="188"/>
      <c r="VG41" s="188"/>
      <c r="VH41" s="188"/>
      <c r="VI41" s="188"/>
      <c r="VJ41" s="188"/>
      <c r="VK41" s="188"/>
      <c r="VL41" s="188"/>
      <c r="VM41" s="188"/>
      <c r="VN41" s="188"/>
      <c r="VO41" s="188"/>
      <c r="VP41" s="188"/>
      <c r="VQ41" s="188"/>
      <c r="VR41" s="188"/>
      <c r="VS41" s="188"/>
      <c r="VT41" s="188"/>
      <c r="VU41" s="188"/>
      <c r="VV41" s="188"/>
      <c r="VW41" s="188"/>
      <c r="VX41" s="188"/>
      <c r="VY41" s="188"/>
      <c r="VZ41" s="188"/>
      <c r="WA41" s="188"/>
      <c r="WB41" s="188"/>
      <c r="WC41" s="188"/>
      <c r="WD41" s="188"/>
      <c r="WE41" s="188"/>
      <c r="WF41" s="188"/>
      <c r="WG41" s="188"/>
      <c r="WH41" s="188"/>
      <c r="WI41" s="188"/>
      <c r="WJ41" s="188"/>
      <c r="WK41" s="188"/>
      <c r="WL41" s="188"/>
      <c r="WM41" s="188"/>
      <c r="WN41" s="188"/>
      <c r="WO41" s="188"/>
      <c r="WP41" s="188"/>
      <c r="WQ41" s="188"/>
      <c r="WR41" s="188"/>
      <c r="WS41" s="188"/>
      <c r="WT41" s="188"/>
      <c r="WU41" s="188"/>
      <c r="WV41" s="188"/>
      <c r="WW41" s="188"/>
      <c r="WX41" s="188"/>
      <c r="WY41" s="188"/>
      <c r="WZ41" s="188"/>
      <c r="XA41" s="188"/>
      <c r="XB41" s="188"/>
      <c r="XC41" s="188"/>
      <c r="XD41" s="188"/>
      <c r="XE41" s="188"/>
      <c r="XF41" s="188"/>
      <c r="XG41" s="188"/>
      <c r="XH41" s="188"/>
      <c r="XI41" s="188"/>
      <c r="XJ41" s="188"/>
      <c r="XK41" s="188"/>
      <c r="XL41" s="188"/>
      <c r="XM41" s="188"/>
      <c r="XN41" s="188"/>
      <c r="XO41" s="188"/>
      <c r="XP41" s="188"/>
      <c r="XQ41" s="188"/>
      <c r="XR41" s="188"/>
      <c r="XS41" s="188"/>
      <c r="XT41" s="188"/>
      <c r="XU41" s="188"/>
      <c r="XV41" s="188"/>
      <c r="XW41" s="188"/>
      <c r="XX41" s="188"/>
      <c r="XY41" s="188"/>
      <c r="XZ41" s="188"/>
      <c r="YA41" s="188"/>
      <c r="YB41" s="188"/>
      <c r="YC41" s="188"/>
      <c r="YD41" s="188"/>
      <c r="YE41" s="188"/>
      <c r="YF41" s="188"/>
      <c r="YG41" s="188"/>
      <c r="YH41" s="188"/>
      <c r="YI41" s="188"/>
      <c r="YJ41" s="188"/>
      <c r="YK41" s="188"/>
      <c r="YL41" s="188"/>
      <c r="YM41" s="188"/>
      <c r="YN41" s="188"/>
      <c r="YO41" s="188"/>
      <c r="YP41" s="188"/>
      <c r="YQ41" s="188"/>
      <c r="YR41" s="188"/>
      <c r="YS41" s="188"/>
      <c r="YT41" s="188"/>
      <c r="YU41" s="188"/>
      <c r="YV41" s="188"/>
      <c r="YW41" s="188"/>
      <c r="YX41" s="188"/>
      <c r="YY41" s="188"/>
      <c r="YZ41" s="188"/>
      <c r="ZA41" s="188"/>
      <c r="ZB41" s="188"/>
      <c r="ZC41" s="188"/>
      <c r="ZD41" s="188"/>
      <c r="ZE41" s="188"/>
      <c r="ZF41" s="188"/>
      <c r="ZG41" s="188"/>
      <c r="ZH41" s="188"/>
      <c r="ZI41" s="188"/>
      <c r="ZJ41" s="188"/>
      <c r="ZK41" s="188"/>
      <c r="ZL41" s="188"/>
      <c r="ZM41" s="188"/>
      <c r="ZN41" s="188"/>
      <c r="ZO41" s="188"/>
      <c r="ZP41" s="188"/>
      <c r="ZQ41" s="188"/>
      <c r="ZR41" s="188"/>
      <c r="ZS41" s="188"/>
      <c r="ZT41" s="188"/>
      <c r="ZU41" s="188"/>
      <c r="ZV41" s="188"/>
      <c r="ZW41" s="188"/>
      <c r="ZX41" s="188"/>
      <c r="ZY41" s="188"/>
      <c r="ZZ41" s="188"/>
      <c r="AAA41" s="188"/>
      <c r="AAB41" s="188"/>
      <c r="AAC41" s="188"/>
      <c r="AAD41" s="188"/>
      <c r="AAE41" s="188"/>
      <c r="AAF41" s="188"/>
      <c r="AAG41" s="188"/>
      <c r="AAH41" s="188"/>
      <c r="AAI41" s="188"/>
      <c r="AAJ41" s="188"/>
      <c r="AAK41" s="188"/>
      <c r="AAL41" s="188"/>
      <c r="AAM41" s="188"/>
      <c r="AAN41" s="188"/>
      <c r="AAO41" s="188"/>
      <c r="AAP41" s="188"/>
      <c r="AAQ41" s="188"/>
      <c r="AAR41" s="188"/>
      <c r="AAS41" s="188"/>
      <c r="AAT41" s="188"/>
      <c r="AAU41" s="188"/>
      <c r="AAV41" s="188"/>
      <c r="AAW41" s="188"/>
      <c r="AAX41" s="188"/>
      <c r="AAY41" s="188"/>
      <c r="AAZ41" s="188"/>
      <c r="ABA41" s="188"/>
      <c r="ABB41" s="188"/>
      <c r="ABC41" s="188"/>
      <c r="ABD41" s="188"/>
      <c r="ABE41" s="188"/>
      <c r="ABF41" s="188"/>
      <c r="ABG41" s="188"/>
      <c r="ABH41" s="188"/>
      <c r="ABI41" s="188"/>
      <c r="ABJ41" s="188"/>
      <c r="ABK41" s="188"/>
      <c r="ABL41" s="188"/>
      <c r="ABM41" s="188"/>
      <c r="ABN41" s="188"/>
      <c r="ABO41" s="188"/>
      <c r="ABP41" s="188"/>
      <c r="ABQ41" s="188"/>
      <c r="ABR41" s="188"/>
      <c r="ABS41" s="188"/>
      <c r="ABT41" s="188"/>
      <c r="ABU41" s="188"/>
      <c r="ABV41" s="188"/>
      <c r="ABW41" s="188"/>
      <c r="ABX41" s="188"/>
      <c r="ABY41" s="188"/>
      <c r="ABZ41" s="188"/>
      <c r="ACA41" s="188"/>
      <c r="ACB41" s="188"/>
      <c r="ACC41" s="188"/>
      <c r="ACD41" s="188"/>
      <c r="ACE41" s="188"/>
      <c r="ACF41" s="188"/>
      <c r="ACG41" s="188"/>
      <c r="ACH41" s="188"/>
      <c r="ACI41" s="188"/>
      <c r="ACJ41" s="188"/>
      <c r="ACK41" s="188"/>
      <c r="ACL41" s="188"/>
      <c r="ACM41" s="188"/>
      <c r="ACN41" s="188"/>
      <c r="ACO41" s="188"/>
      <c r="ACP41" s="188"/>
      <c r="ACQ41" s="188"/>
      <c r="ACR41" s="188"/>
      <c r="ACS41" s="188"/>
      <c r="ACT41" s="188"/>
      <c r="ACU41" s="188"/>
      <c r="ACV41" s="188"/>
      <c r="ACW41" s="188"/>
      <c r="ACX41" s="188"/>
      <c r="ACY41" s="188"/>
      <c r="ACZ41" s="188"/>
      <c r="ADA41" s="188"/>
      <c r="ADB41" s="188"/>
      <c r="ADC41" s="188"/>
      <c r="ADD41" s="188"/>
      <c r="ADE41" s="188"/>
      <c r="ADF41" s="188"/>
      <c r="ADG41" s="188"/>
      <c r="ADH41" s="188"/>
      <c r="ADI41" s="188"/>
      <c r="ADJ41" s="188"/>
      <c r="ADK41" s="188"/>
      <c r="ADL41" s="188"/>
      <c r="ADM41" s="188"/>
      <c r="ADN41" s="188"/>
      <c r="ADO41" s="188"/>
      <c r="ADP41" s="188"/>
      <c r="ADQ41" s="188"/>
      <c r="ADR41" s="188"/>
      <c r="ADS41" s="188"/>
      <c r="ADT41" s="188"/>
      <c r="ADU41" s="188"/>
      <c r="ADV41" s="188"/>
      <c r="ADW41" s="188"/>
      <c r="ADX41" s="188"/>
      <c r="ADY41" s="188"/>
      <c r="ADZ41" s="188"/>
      <c r="AEA41" s="188"/>
      <c r="AEB41" s="188"/>
      <c r="AEC41" s="188"/>
      <c r="AED41" s="188"/>
      <c r="AEE41" s="188"/>
      <c r="AEF41" s="188"/>
      <c r="AEG41" s="188"/>
      <c r="AEH41" s="188"/>
      <c r="AEI41" s="188"/>
      <c r="AEJ41" s="188"/>
      <c r="AEK41" s="188"/>
      <c r="AEL41" s="188"/>
      <c r="AEM41" s="188"/>
      <c r="AEN41" s="188"/>
      <c r="AEO41" s="188"/>
      <c r="AEP41" s="188"/>
      <c r="AEQ41" s="188"/>
      <c r="AER41" s="188"/>
      <c r="AES41" s="188"/>
      <c r="AET41" s="188"/>
      <c r="AEU41" s="188"/>
      <c r="AEV41" s="188"/>
      <c r="AEW41" s="188"/>
      <c r="AEX41" s="188"/>
      <c r="AEY41" s="188"/>
      <c r="AEZ41" s="188"/>
      <c r="AFA41" s="188"/>
      <c r="AFB41" s="188"/>
      <c r="AFC41" s="188"/>
      <c r="AFD41" s="188"/>
      <c r="AFE41" s="188"/>
      <c r="AFF41" s="188"/>
      <c r="AFG41" s="188"/>
      <c r="AFH41" s="188"/>
      <c r="AFI41" s="188"/>
      <c r="AFJ41" s="188"/>
      <c r="AFK41" s="188"/>
      <c r="AFL41" s="188"/>
      <c r="AFM41" s="188"/>
      <c r="AFN41" s="188"/>
      <c r="AFO41" s="188"/>
      <c r="AFP41" s="188"/>
      <c r="AFQ41" s="188"/>
      <c r="AFR41" s="188"/>
      <c r="AFS41" s="188"/>
      <c r="AFT41" s="188"/>
      <c r="AFU41" s="188"/>
      <c r="AFV41" s="188"/>
      <c r="AFW41" s="188"/>
      <c r="AFX41" s="188"/>
      <c r="AFY41" s="188"/>
      <c r="AFZ41" s="188"/>
      <c r="AGA41" s="188"/>
      <c r="AGB41" s="188"/>
      <c r="AGC41" s="188"/>
      <c r="AGD41" s="188"/>
      <c r="AGE41" s="188"/>
      <c r="AGF41" s="188"/>
      <c r="AGG41" s="188"/>
      <c r="AGH41" s="188"/>
      <c r="AGI41" s="188"/>
      <c r="AGJ41" s="188"/>
      <c r="AGK41" s="188"/>
      <c r="AGL41" s="188"/>
      <c r="AGM41" s="188"/>
      <c r="AGN41" s="188"/>
      <c r="AGO41" s="188"/>
      <c r="AGP41" s="188"/>
      <c r="AGQ41" s="188"/>
      <c r="AGR41" s="188"/>
      <c r="AGS41" s="188"/>
      <c r="AGT41" s="188"/>
      <c r="AGU41" s="188"/>
      <c r="AGV41" s="188"/>
      <c r="AGW41" s="188"/>
      <c r="AGX41" s="188"/>
      <c r="AGY41" s="188"/>
      <c r="AGZ41" s="188"/>
      <c r="AHA41" s="188"/>
      <c r="AHB41" s="188"/>
      <c r="AHC41" s="188"/>
      <c r="AHD41" s="188"/>
      <c r="AHE41" s="188"/>
      <c r="AHF41" s="188"/>
      <c r="AHG41" s="188"/>
      <c r="AHH41" s="188"/>
      <c r="AHI41" s="188"/>
      <c r="AHJ41" s="188"/>
      <c r="AHK41" s="188"/>
      <c r="AHL41" s="188"/>
      <c r="AHM41" s="188"/>
      <c r="AHN41" s="188"/>
      <c r="AHO41" s="188"/>
      <c r="AHP41" s="188"/>
      <c r="AHQ41" s="188"/>
      <c r="AHR41" s="188"/>
      <c r="AHS41" s="188"/>
      <c r="AHT41" s="188"/>
      <c r="AHU41" s="188"/>
      <c r="AHV41" s="188"/>
      <c r="AHW41" s="188"/>
      <c r="AHX41" s="188"/>
      <c r="AHY41" s="188"/>
      <c r="AHZ41" s="188"/>
      <c r="AIA41" s="188"/>
      <c r="AIB41" s="188"/>
      <c r="AIC41" s="188"/>
      <c r="AID41" s="188"/>
      <c r="AIE41" s="188"/>
      <c r="AIF41" s="188"/>
      <c r="AIG41" s="188"/>
      <c r="AIH41" s="188"/>
      <c r="AII41" s="188"/>
      <c r="AIJ41" s="188"/>
      <c r="AIK41" s="188"/>
      <c r="AIL41" s="188"/>
      <c r="AIM41" s="188"/>
      <c r="AIN41" s="188"/>
      <c r="AIO41" s="188"/>
      <c r="AIP41" s="188"/>
      <c r="AIQ41" s="188"/>
      <c r="AIR41" s="188"/>
      <c r="AIS41" s="188"/>
      <c r="AIT41" s="188"/>
      <c r="AIU41" s="188"/>
      <c r="AIV41" s="188"/>
      <c r="AIW41" s="188"/>
      <c r="AIX41" s="188"/>
      <c r="AIY41" s="188"/>
      <c r="AIZ41" s="188"/>
      <c r="AJA41" s="188"/>
      <c r="AJB41" s="188"/>
      <c r="AJC41" s="188"/>
      <c r="AJD41" s="188"/>
      <c r="AJE41" s="188"/>
      <c r="AJF41" s="188"/>
      <c r="AJG41" s="188"/>
      <c r="AJH41" s="188"/>
      <c r="AJI41" s="188"/>
      <c r="AJJ41" s="188"/>
      <c r="AJK41" s="188"/>
      <c r="AJL41" s="188"/>
      <c r="AJM41" s="188"/>
      <c r="AJN41" s="188"/>
      <c r="AJO41" s="188"/>
      <c r="AJP41" s="188"/>
      <c r="AJQ41" s="188"/>
      <c r="AJR41" s="188"/>
      <c r="AJS41" s="188"/>
      <c r="AJT41" s="188"/>
      <c r="AJU41" s="188"/>
      <c r="AJV41" s="188"/>
      <c r="AJW41" s="188"/>
      <c r="AJX41" s="188"/>
      <c r="AJY41" s="188"/>
      <c r="AJZ41" s="188"/>
      <c r="AKA41" s="188"/>
      <c r="AKB41" s="188"/>
      <c r="AKC41" s="188"/>
      <c r="AKD41" s="188"/>
      <c r="AKE41" s="188"/>
      <c r="AKF41" s="188"/>
      <c r="AKG41" s="188"/>
      <c r="AKH41" s="188"/>
      <c r="AKI41" s="188"/>
      <c r="AKJ41" s="188"/>
      <c r="AKK41" s="188"/>
      <c r="AKL41" s="188"/>
      <c r="AKM41" s="188"/>
      <c r="AKN41" s="188"/>
      <c r="AKO41" s="188"/>
      <c r="AKP41" s="188"/>
      <c r="AKQ41" s="188"/>
      <c r="AKR41" s="188"/>
      <c r="AKS41" s="188"/>
      <c r="AKT41" s="188"/>
      <c r="AKU41" s="188"/>
      <c r="AKV41" s="188"/>
      <c r="AKW41" s="188"/>
      <c r="AKX41" s="188"/>
      <c r="AKY41" s="188"/>
      <c r="AKZ41" s="188"/>
      <c r="ALA41" s="188"/>
      <c r="ALB41" s="188"/>
      <c r="ALC41" s="188"/>
      <c r="ALD41" s="188"/>
      <c r="ALE41" s="188"/>
      <c r="ALF41" s="188"/>
      <c r="ALG41" s="188"/>
      <c r="ALH41" s="188"/>
      <c r="ALI41" s="188"/>
      <c r="ALJ41" s="188"/>
      <c r="ALK41" s="188"/>
      <c r="ALL41" s="188"/>
      <c r="ALM41" s="188"/>
      <c r="ALN41" s="188"/>
      <c r="ALO41" s="188"/>
      <c r="ALP41" s="188"/>
      <c r="ALQ41" s="188"/>
      <c r="ALR41" s="188"/>
      <c r="ALS41" s="188"/>
      <c r="ALT41" s="188"/>
      <c r="ALU41" s="188"/>
      <c r="ALV41" s="188"/>
      <c r="ALW41" s="188"/>
      <c r="ALX41" s="188"/>
      <c r="ALY41" s="188"/>
      <c r="ALZ41" s="188"/>
      <c r="AMA41" s="188"/>
      <c r="AMB41" s="188"/>
      <c r="AMC41" s="188"/>
      <c r="AMD41" s="188"/>
      <c r="AME41" s="188"/>
      <c r="AMF41" s="188"/>
      <c r="AMG41" s="188"/>
      <c r="AMH41" s="188"/>
      <c r="AMI41" s="188"/>
      <c r="AMJ41" s="188"/>
      <c r="AMK41" s="188"/>
      <c r="AML41" s="188"/>
      <c r="AMM41" s="188"/>
      <c r="AMN41" s="188"/>
      <c r="AMO41" s="188"/>
      <c r="AMP41" s="188"/>
      <c r="AMQ41" s="188"/>
      <c r="AMR41" s="188"/>
      <c r="AMS41" s="188"/>
      <c r="AMT41" s="188"/>
      <c r="AMU41" s="188"/>
      <c r="AMV41" s="188"/>
      <c r="AMW41" s="188"/>
      <c r="AMX41" s="188"/>
      <c r="AMY41" s="188"/>
      <c r="AMZ41" s="188"/>
      <c r="ANA41" s="188"/>
      <c r="ANB41" s="188"/>
      <c r="ANC41" s="188"/>
      <c r="AND41" s="188"/>
      <c r="ANE41" s="188"/>
      <c r="ANF41" s="188"/>
      <c r="ANG41" s="188"/>
      <c r="ANH41" s="188"/>
      <c r="ANI41" s="188"/>
      <c r="ANJ41" s="188"/>
      <c r="ANK41" s="188"/>
      <c r="ANL41" s="188"/>
      <c r="ANM41" s="188"/>
      <c r="ANN41" s="188"/>
      <c r="ANO41" s="188"/>
      <c r="ANP41" s="188"/>
      <c r="ANQ41" s="188"/>
      <c r="ANR41" s="188"/>
      <c r="ANS41" s="188"/>
      <c r="ANT41" s="188"/>
      <c r="ANU41" s="188"/>
      <c r="ANV41" s="188"/>
      <c r="ANW41" s="188"/>
      <c r="ANX41" s="188"/>
      <c r="ANY41" s="188"/>
      <c r="ANZ41" s="188"/>
      <c r="AOA41" s="188"/>
      <c r="AOB41" s="188"/>
      <c r="AOC41" s="188"/>
      <c r="AOD41" s="188"/>
      <c r="AOE41" s="188"/>
      <c r="AOF41" s="188"/>
      <c r="AOG41" s="188"/>
      <c r="AOH41" s="188"/>
      <c r="AOI41" s="188"/>
      <c r="AOJ41" s="188"/>
      <c r="AOK41" s="188"/>
      <c r="AOL41" s="188"/>
      <c r="AOM41" s="188"/>
      <c r="AON41" s="188"/>
      <c r="AOO41" s="188"/>
      <c r="AOP41" s="188"/>
      <c r="AOQ41" s="188"/>
      <c r="AOR41" s="188"/>
      <c r="AOS41" s="188"/>
      <c r="AOT41" s="188"/>
      <c r="AOU41" s="188"/>
      <c r="AOV41" s="188"/>
      <c r="AOW41" s="188"/>
      <c r="AOX41" s="188"/>
      <c r="AOY41" s="188"/>
      <c r="AOZ41" s="188"/>
      <c r="APA41" s="188"/>
      <c r="APB41" s="188"/>
      <c r="APC41" s="188"/>
      <c r="APD41" s="188"/>
      <c r="APE41" s="188"/>
      <c r="APF41" s="188"/>
      <c r="APG41" s="188"/>
      <c r="APH41" s="188"/>
      <c r="API41" s="188"/>
      <c r="APJ41" s="188"/>
      <c r="APK41" s="188"/>
      <c r="APL41" s="188"/>
      <c r="APM41" s="188"/>
      <c r="APN41" s="188"/>
      <c r="APO41" s="188"/>
      <c r="APP41" s="188"/>
      <c r="APQ41" s="188"/>
      <c r="APR41" s="188"/>
      <c r="APS41" s="188"/>
      <c r="APT41" s="188"/>
      <c r="APU41" s="188"/>
      <c r="APV41" s="188"/>
      <c r="APW41" s="188"/>
      <c r="APX41" s="188"/>
      <c r="APY41" s="188"/>
      <c r="APZ41" s="188"/>
      <c r="AQA41" s="188"/>
      <c r="AQB41" s="188"/>
      <c r="AQC41" s="188"/>
      <c r="AQD41" s="188"/>
      <c r="AQE41" s="188"/>
      <c r="AQF41" s="188"/>
      <c r="AQG41" s="188"/>
      <c r="AQH41" s="188"/>
      <c r="AQI41" s="188"/>
      <c r="AQJ41" s="188"/>
      <c r="AQK41" s="188"/>
      <c r="AQL41" s="188"/>
      <c r="AQM41" s="188"/>
      <c r="AQN41" s="188"/>
      <c r="AQO41" s="188"/>
      <c r="AQP41" s="188"/>
      <c r="AQQ41" s="188"/>
      <c r="AQR41" s="188"/>
      <c r="AQS41" s="188"/>
      <c r="AQT41" s="188"/>
      <c r="AQU41" s="188"/>
      <c r="AQV41" s="188"/>
      <c r="AQW41" s="188"/>
      <c r="AQX41" s="188"/>
      <c r="AQY41" s="188"/>
      <c r="AQZ41" s="188"/>
      <c r="ARA41" s="188"/>
      <c r="ARB41" s="188"/>
      <c r="ARC41" s="188"/>
      <c r="ARD41" s="188"/>
      <c r="ARE41" s="188"/>
      <c r="ARF41" s="188"/>
      <c r="ARG41" s="188"/>
      <c r="ARH41" s="188"/>
      <c r="ARI41" s="188"/>
      <c r="ARJ41" s="188"/>
      <c r="ARK41" s="188"/>
      <c r="ARL41" s="188"/>
      <c r="ARM41" s="188"/>
      <c r="ARN41" s="188"/>
      <c r="ARO41" s="188"/>
      <c r="ARP41" s="188"/>
      <c r="ARQ41" s="188"/>
      <c r="ARR41" s="188"/>
      <c r="ARS41" s="188"/>
      <c r="ART41" s="188"/>
      <c r="ARU41" s="188"/>
      <c r="ARV41" s="188"/>
      <c r="ARW41" s="188"/>
      <c r="ARX41" s="188"/>
      <c r="ARY41" s="188"/>
      <c r="ARZ41" s="188"/>
      <c r="ASA41" s="188"/>
      <c r="ASB41" s="188"/>
      <c r="ASC41" s="188"/>
      <c r="ASD41" s="188"/>
      <c r="ASE41" s="188"/>
      <c r="ASF41" s="188"/>
      <c r="ASG41" s="188"/>
      <c r="ASH41" s="188"/>
      <c r="ASI41" s="188"/>
      <c r="ASJ41" s="188"/>
      <c r="ASK41" s="188"/>
      <c r="ASL41" s="188"/>
      <c r="ASM41" s="188"/>
      <c r="ASN41" s="188"/>
      <c r="ASO41" s="188"/>
      <c r="ASP41" s="188"/>
      <c r="ASQ41" s="188"/>
      <c r="ASR41" s="188"/>
      <c r="ASS41" s="188"/>
      <c r="AST41" s="188"/>
      <c r="ASU41" s="188"/>
      <c r="ASV41" s="188"/>
      <c r="ASW41" s="188"/>
      <c r="ASX41" s="188"/>
      <c r="ASY41" s="188"/>
      <c r="ASZ41" s="188"/>
      <c r="ATA41" s="188"/>
      <c r="ATB41" s="188"/>
      <c r="ATC41" s="188"/>
      <c r="ATD41" s="188"/>
      <c r="ATE41" s="188"/>
      <c r="ATF41" s="188"/>
      <c r="ATG41" s="188"/>
      <c r="ATH41" s="188"/>
      <c r="ATI41" s="188"/>
      <c r="ATJ41" s="188"/>
      <c r="ATK41" s="188"/>
      <c r="ATL41" s="188"/>
      <c r="ATM41" s="188"/>
      <c r="ATN41" s="188"/>
      <c r="ATO41" s="188"/>
      <c r="ATP41" s="188"/>
      <c r="ATQ41" s="188"/>
      <c r="ATR41" s="188"/>
      <c r="ATS41" s="188"/>
      <c r="ATT41" s="188"/>
      <c r="ATU41" s="188"/>
      <c r="ATV41" s="188"/>
      <c r="ATW41" s="188"/>
      <c r="ATX41" s="188"/>
      <c r="ATY41" s="188"/>
      <c r="ATZ41" s="188"/>
      <c r="AUA41" s="188"/>
      <c r="AUB41" s="188"/>
      <c r="AUC41" s="188"/>
      <c r="AUD41" s="188"/>
      <c r="AUE41" s="188"/>
      <c r="AUF41" s="188"/>
      <c r="AUG41" s="188"/>
      <c r="AUH41" s="188"/>
      <c r="AUI41" s="188"/>
      <c r="AUJ41" s="188"/>
      <c r="AUK41" s="188"/>
      <c r="AUL41" s="188"/>
      <c r="AUM41" s="188"/>
      <c r="AUN41" s="188"/>
      <c r="AUO41" s="188"/>
      <c r="AUP41" s="188"/>
      <c r="AUQ41" s="188"/>
      <c r="AUR41" s="188"/>
      <c r="AUS41" s="188"/>
      <c r="AUT41" s="188"/>
      <c r="AUU41" s="188"/>
      <c r="AUV41" s="188"/>
      <c r="AUW41" s="188"/>
      <c r="AUX41" s="188"/>
      <c r="AUY41" s="188"/>
      <c r="AUZ41" s="188"/>
      <c r="AVA41" s="188"/>
      <c r="AVB41" s="188"/>
      <c r="AVC41" s="188"/>
      <c r="AVD41" s="188"/>
      <c r="AVE41" s="188"/>
      <c r="AVF41" s="188"/>
      <c r="AVG41" s="188"/>
      <c r="AVH41" s="188"/>
      <c r="AVI41" s="188"/>
      <c r="AVJ41" s="188"/>
      <c r="AVK41" s="188"/>
      <c r="AVL41" s="188"/>
      <c r="AVM41" s="188"/>
      <c r="AVN41" s="188"/>
      <c r="AVO41" s="188"/>
      <c r="AVP41" s="188"/>
      <c r="AVQ41" s="188"/>
      <c r="AVR41" s="188"/>
      <c r="AVS41" s="188"/>
      <c r="AVT41" s="188"/>
      <c r="AVU41" s="188"/>
      <c r="AVV41" s="188"/>
      <c r="AVW41" s="188"/>
      <c r="AVX41" s="188"/>
      <c r="AVY41" s="188"/>
      <c r="AVZ41" s="188"/>
      <c r="AWA41" s="188"/>
      <c r="AWB41" s="188"/>
      <c r="AWC41" s="188"/>
      <c r="AWD41" s="188"/>
      <c r="AWE41" s="188"/>
      <c r="AWF41" s="188"/>
      <c r="AWG41" s="188"/>
      <c r="AWH41" s="188"/>
      <c r="AWI41" s="188"/>
      <c r="AWJ41" s="188"/>
      <c r="AWK41" s="188"/>
      <c r="AWL41" s="188"/>
      <c r="AWM41" s="188"/>
      <c r="AWN41" s="188"/>
      <c r="AWO41" s="188"/>
      <c r="AWP41" s="188"/>
      <c r="AWQ41" s="188"/>
      <c r="AWR41" s="188"/>
      <c r="AWS41" s="188"/>
      <c r="AWT41" s="188"/>
      <c r="AWU41" s="188"/>
      <c r="AWV41" s="188"/>
      <c r="AWW41" s="188"/>
      <c r="AWX41" s="188"/>
      <c r="AWY41" s="188"/>
      <c r="AWZ41" s="188"/>
      <c r="AXA41" s="188"/>
      <c r="AXB41" s="188"/>
      <c r="AXC41" s="188"/>
      <c r="AXD41" s="188"/>
      <c r="AXE41" s="188"/>
      <c r="AXF41" s="188"/>
      <c r="AXG41" s="188"/>
      <c r="AXH41" s="188"/>
      <c r="AXI41" s="188"/>
      <c r="AXJ41" s="188"/>
      <c r="AXK41" s="188"/>
      <c r="AXL41" s="188"/>
      <c r="AXM41" s="188"/>
      <c r="AXN41" s="188"/>
      <c r="AXO41" s="188"/>
      <c r="AXP41" s="188"/>
      <c r="AXQ41" s="188"/>
      <c r="AXR41" s="188"/>
      <c r="AXS41" s="188"/>
      <c r="AXT41" s="188"/>
      <c r="AXU41" s="188"/>
      <c r="AXV41" s="188"/>
      <c r="AXW41" s="188"/>
      <c r="AXX41" s="188"/>
      <c r="AXY41" s="188"/>
      <c r="AXZ41" s="188"/>
      <c r="AYA41" s="188"/>
      <c r="AYB41" s="188"/>
      <c r="AYC41" s="188"/>
      <c r="AYD41" s="188"/>
      <c r="AYE41" s="188"/>
      <c r="AYF41" s="188"/>
      <c r="AYG41" s="188"/>
      <c r="AYH41" s="188"/>
      <c r="AYI41" s="188"/>
      <c r="AYJ41" s="188"/>
      <c r="AYK41" s="188"/>
      <c r="AYL41" s="188"/>
      <c r="AYM41" s="188"/>
      <c r="AYN41" s="188"/>
      <c r="AYO41" s="188"/>
      <c r="AYP41" s="188"/>
      <c r="AYQ41" s="188"/>
      <c r="AYR41" s="188"/>
      <c r="AYS41" s="188"/>
      <c r="AYT41" s="188"/>
      <c r="AYU41" s="188"/>
      <c r="AYV41" s="188"/>
      <c r="AYW41" s="188"/>
      <c r="AYX41" s="188"/>
      <c r="AYY41" s="188"/>
      <c r="AYZ41" s="188"/>
      <c r="AZA41" s="188"/>
      <c r="AZB41" s="188"/>
      <c r="AZC41" s="188"/>
      <c r="AZD41" s="188"/>
      <c r="AZE41" s="188"/>
      <c r="AZF41" s="188"/>
      <c r="AZG41" s="188"/>
      <c r="AZH41" s="188"/>
      <c r="AZI41" s="188"/>
      <c r="AZJ41" s="188"/>
      <c r="AZK41" s="188"/>
      <c r="AZL41" s="188"/>
      <c r="AZM41" s="188"/>
      <c r="AZN41" s="188"/>
      <c r="AZO41" s="188"/>
      <c r="AZP41" s="188"/>
      <c r="AZQ41" s="188"/>
      <c r="AZR41" s="188"/>
      <c r="AZS41" s="188"/>
      <c r="AZT41" s="188"/>
      <c r="AZU41" s="188"/>
      <c r="AZV41" s="188"/>
      <c r="AZW41" s="188"/>
      <c r="AZX41" s="188"/>
      <c r="AZY41" s="188"/>
      <c r="AZZ41" s="188"/>
      <c r="BAA41" s="188"/>
      <c r="BAB41" s="188"/>
      <c r="BAC41" s="188"/>
      <c r="BAD41" s="188"/>
      <c r="BAE41" s="188"/>
      <c r="BAF41" s="188"/>
      <c r="BAG41" s="188"/>
      <c r="BAH41" s="188"/>
      <c r="BAI41" s="188"/>
      <c r="BAJ41" s="188"/>
      <c r="BAK41" s="188"/>
      <c r="BAL41" s="188"/>
      <c r="BAM41" s="188"/>
      <c r="BAN41" s="188"/>
      <c r="BAO41" s="188"/>
      <c r="BAP41" s="188"/>
      <c r="BAQ41" s="188"/>
      <c r="BAR41" s="188"/>
      <c r="BAS41" s="188"/>
      <c r="BAT41" s="188"/>
      <c r="BAU41" s="188"/>
      <c r="BAV41" s="188"/>
      <c r="BAW41" s="188"/>
      <c r="BAX41" s="188"/>
      <c r="BAY41" s="188"/>
      <c r="BAZ41" s="188"/>
      <c r="BBA41" s="188"/>
      <c r="BBB41" s="188"/>
      <c r="BBC41" s="188"/>
      <c r="BBD41" s="188"/>
      <c r="BBE41" s="188"/>
      <c r="BBF41" s="188"/>
      <c r="BBG41" s="188"/>
      <c r="BBH41" s="188"/>
      <c r="BBI41" s="188"/>
      <c r="BBJ41" s="188"/>
      <c r="BBK41" s="188"/>
      <c r="BBL41" s="188"/>
      <c r="BBM41" s="188"/>
      <c r="BBN41" s="188"/>
      <c r="BBO41" s="188"/>
      <c r="BBP41" s="188"/>
      <c r="BBQ41" s="188"/>
      <c r="BBR41" s="188"/>
      <c r="BBS41" s="188"/>
      <c r="BBT41" s="188"/>
      <c r="BBU41" s="188"/>
      <c r="BBV41" s="188"/>
      <c r="BBW41" s="188"/>
      <c r="BBX41" s="188"/>
      <c r="BBY41" s="188"/>
      <c r="BBZ41" s="188"/>
      <c r="BCA41" s="188"/>
      <c r="BCB41" s="188"/>
      <c r="BCC41" s="188"/>
      <c r="BCD41" s="188"/>
      <c r="BCE41" s="188"/>
      <c r="BCF41" s="188"/>
      <c r="BCG41" s="188"/>
      <c r="BCH41" s="188"/>
      <c r="BCI41" s="188"/>
      <c r="BCJ41" s="188"/>
      <c r="BCK41" s="188"/>
      <c r="BCL41" s="188"/>
      <c r="BCM41" s="188"/>
      <c r="BCN41" s="188"/>
      <c r="BCO41" s="188"/>
      <c r="BCP41" s="188"/>
      <c r="BCQ41" s="188"/>
      <c r="BCR41" s="188"/>
      <c r="BCS41" s="188"/>
      <c r="BCT41" s="188"/>
      <c r="BCU41" s="188"/>
      <c r="BCV41" s="188"/>
      <c r="BCW41" s="188"/>
      <c r="BCX41" s="188"/>
      <c r="BCY41" s="188"/>
      <c r="BCZ41" s="188"/>
      <c r="BDA41" s="188"/>
      <c r="BDB41" s="188"/>
      <c r="BDC41" s="188"/>
      <c r="BDD41" s="188"/>
      <c r="BDE41" s="188"/>
      <c r="BDF41" s="188"/>
      <c r="BDG41" s="188"/>
      <c r="BDH41" s="188"/>
      <c r="BDI41" s="188"/>
      <c r="BDJ41" s="188"/>
      <c r="BDK41" s="188"/>
      <c r="BDL41" s="188"/>
      <c r="BDM41" s="188"/>
      <c r="BDN41" s="188"/>
      <c r="BDO41" s="188"/>
      <c r="BDP41" s="188"/>
      <c r="BDQ41" s="188"/>
      <c r="BDR41" s="188"/>
      <c r="BDS41" s="188"/>
      <c r="BDT41" s="188"/>
      <c r="BDU41" s="188"/>
      <c r="BDV41" s="188"/>
      <c r="BDW41" s="188"/>
      <c r="BDX41" s="188"/>
      <c r="BDY41" s="188"/>
      <c r="BDZ41" s="188"/>
      <c r="BEA41" s="188"/>
      <c r="BEB41" s="188"/>
      <c r="BEC41" s="188"/>
      <c r="BED41" s="188"/>
      <c r="BEE41" s="188"/>
      <c r="BEF41" s="188"/>
      <c r="BEG41" s="188"/>
      <c r="BEH41" s="188"/>
      <c r="BEI41" s="188"/>
      <c r="BEJ41" s="188"/>
      <c r="BEK41" s="188"/>
      <c r="BEL41" s="188"/>
      <c r="BEM41" s="188"/>
      <c r="BEN41" s="188"/>
      <c r="BEO41" s="188"/>
      <c r="BEP41" s="188"/>
      <c r="BEQ41" s="188"/>
      <c r="BER41" s="188"/>
      <c r="BES41" s="188"/>
      <c r="BET41" s="188"/>
      <c r="BEU41" s="188"/>
      <c r="BEV41" s="188"/>
      <c r="BEW41" s="188"/>
      <c r="BEX41" s="188"/>
      <c r="BEY41" s="188"/>
      <c r="BEZ41" s="188"/>
      <c r="BFA41" s="188"/>
      <c r="BFB41" s="188"/>
      <c r="BFC41" s="188"/>
      <c r="BFD41" s="188"/>
      <c r="BFE41" s="188"/>
      <c r="BFF41" s="188"/>
      <c r="BFG41" s="188"/>
      <c r="BFH41" s="188"/>
      <c r="BFI41" s="188"/>
      <c r="BFJ41" s="188"/>
      <c r="BFK41" s="188"/>
      <c r="BFL41" s="188"/>
      <c r="BFM41" s="188"/>
      <c r="BFN41" s="188"/>
      <c r="BFO41" s="188"/>
      <c r="BFP41" s="188"/>
      <c r="BFQ41" s="188"/>
      <c r="BFR41" s="188"/>
      <c r="BFS41" s="188"/>
      <c r="BFT41" s="188"/>
      <c r="BFU41" s="188"/>
      <c r="BFV41" s="188"/>
      <c r="BFW41" s="188"/>
      <c r="BFX41" s="188"/>
      <c r="BFY41" s="188"/>
      <c r="BFZ41" s="188"/>
      <c r="BGA41" s="188"/>
      <c r="BGB41" s="188"/>
      <c r="BGC41" s="188"/>
      <c r="BGD41" s="188"/>
      <c r="BGE41" s="188"/>
      <c r="BGF41" s="188"/>
      <c r="BGG41" s="188"/>
      <c r="BGH41" s="188"/>
      <c r="BGI41" s="188"/>
      <c r="BGJ41" s="188"/>
      <c r="BGK41" s="188"/>
      <c r="BGL41" s="188"/>
      <c r="BGM41" s="188"/>
      <c r="BGN41" s="188"/>
      <c r="BGO41" s="188"/>
      <c r="BGP41" s="188"/>
      <c r="BGQ41" s="188"/>
      <c r="BGR41" s="188"/>
      <c r="BGS41" s="188"/>
      <c r="BGT41" s="188"/>
      <c r="BGU41" s="188"/>
      <c r="BGV41" s="188"/>
      <c r="BGW41" s="188"/>
      <c r="BGX41" s="188"/>
      <c r="BGY41" s="188"/>
      <c r="BGZ41" s="188"/>
      <c r="BHA41" s="188"/>
      <c r="BHB41" s="188"/>
      <c r="BHC41" s="188"/>
      <c r="BHD41" s="188"/>
      <c r="BHE41" s="188"/>
      <c r="BHF41" s="188"/>
      <c r="BHG41" s="188"/>
      <c r="BHH41" s="188"/>
      <c r="BHI41" s="188"/>
      <c r="BHJ41" s="188"/>
      <c r="BHK41" s="188"/>
      <c r="BHL41" s="188"/>
      <c r="BHM41" s="188"/>
      <c r="BHN41" s="188"/>
      <c r="BHO41" s="188"/>
      <c r="BHP41" s="188"/>
      <c r="BHQ41" s="188"/>
      <c r="BHR41" s="188"/>
      <c r="BHS41" s="188"/>
      <c r="BHT41" s="188"/>
      <c r="BHU41" s="188"/>
      <c r="BHV41" s="188"/>
      <c r="BHW41" s="188"/>
      <c r="BHX41" s="188"/>
      <c r="BHY41" s="188"/>
      <c r="BHZ41" s="188"/>
      <c r="BIA41" s="188"/>
      <c r="BIB41" s="188"/>
      <c r="BIC41" s="188"/>
      <c r="BID41" s="188"/>
      <c r="BIE41" s="188"/>
      <c r="BIF41" s="188"/>
      <c r="BIG41" s="188"/>
      <c r="BIH41" s="188"/>
      <c r="BII41" s="188"/>
      <c r="BIJ41" s="188"/>
      <c r="BIK41" s="188"/>
      <c r="BIL41" s="188"/>
      <c r="BIM41" s="188"/>
      <c r="BIN41" s="188"/>
      <c r="BIO41" s="188"/>
      <c r="BIP41" s="188"/>
      <c r="BIQ41" s="188"/>
      <c r="BIR41" s="188"/>
      <c r="BIS41" s="188"/>
      <c r="BIT41" s="188"/>
      <c r="BIU41" s="188"/>
      <c r="BIV41" s="188"/>
      <c r="BIW41" s="188"/>
      <c r="BIX41" s="188"/>
      <c r="BIY41" s="188"/>
      <c r="BIZ41" s="188"/>
      <c r="BJA41" s="188"/>
      <c r="BJB41" s="188"/>
      <c r="BJC41" s="188"/>
      <c r="BJD41" s="188"/>
      <c r="BJE41" s="188"/>
      <c r="BJF41" s="188"/>
      <c r="BJG41" s="188"/>
      <c r="BJH41" s="188"/>
      <c r="BJI41" s="188"/>
      <c r="BJJ41" s="188"/>
      <c r="BJK41" s="188"/>
      <c r="BJL41" s="188"/>
      <c r="BJM41" s="188"/>
      <c r="BJN41" s="188"/>
      <c r="BJO41" s="188"/>
      <c r="BJP41" s="188"/>
      <c r="BJQ41" s="188"/>
      <c r="BJR41" s="188"/>
      <c r="BJS41" s="188"/>
      <c r="BJT41" s="188"/>
      <c r="BJU41" s="188"/>
      <c r="BJV41" s="188"/>
      <c r="BJW41" s="188"/>
      <c r="BJX41" s="188"/>
      <c r="BJY41" s="188"/>
      <c r="BJZ41" s="188"/>
      <c r="BKA41" s="188"/>
      <c r="BKB41" s="188"/>
      <c r="BKC41" s="188"/>
      <c r="BKD41" s="188"/>
      <c r="BKE41" s="188"/>
      <c r="BKF41" s="188"/>
      <c r="BKG41" s="188"/>
      <c r="BKH41" s="188"/>
      <c r="BKI41" s="188"/>
      <c r="BKJ41" s="188"/>
      <c r="BKK41" s="188"/>
      <c r="BKL41" s="188"/>
      <c r="BKM41" s="188"/>
      <c r="BKN41" s="188"/>
      <c r="BKO41" s="188"/>
      <c r="BKP41" s="188"/>
      <c r="BKQ41" s="188"/>
      <c r="BKR41" s="188"/>
      <c r="BKS41" s="188"/>
      <c r="BKT41" s="188"/>
      <c r="BKU41" s="188"/>
      <c r="BKV41" s="188"/>
      <c r="BKW41" s="188"/>
      <c r="BKX41" s="188"/>
      <c r="BKY41" s="188"/>
      <c r="BKZ41" s="188"/>
      <c r="BLA41" s="188"/>
      <c r="BLB41" s="188"/>
      <c r="BLC41" s="188"/>
      <c r="BLD41" s="188"/>
      <c r="BLE41" s="188"/>
      <c r="BLF41" s="188"/>
      <c r="BLG41" s="188"/>
      <c r="BLH41" s="188"/>
      <c r="BLI41" s="188"/>
      <c r="BLJ41" s="188"/>
      <c r="BLK41" s="188"/>
      <c r="BLL41" s="188"/>
      <c r="BLM41" s="188"/>
      <c r="BLN41" s="188"/>
      <c r="BLO41" s="188"/>
      <c r="BLP41" s="188"/>
      <c r="BLQ41" s="188"/>
      <c r="BLR41" s="188"/>
      <c r="BLS41" s="188"/>
      <c r="BLT41" s="188"/>
      <c r="BLU41" s="188"/>
      <c r="BLV41" s="188"/>
      <c r="BLW41" s="188"/>
      <c r="BLX41" s="188"/>
      <c r="BLY41" s="188"/>
      <c r="BLZ41" s="188"/>
      <c r="BMA41" s="188"/>
      <c r="BMB41" s="188"/>
      <c r="BMC41" s="188"/>
      <c r="BMD41" s="188"/>
      <c r="BME41" s="188"/>
      <c r="BMF41" s="188"/>
      <c r="BMG41" s="188"/>
      <c r="BMH41" s="188"/>
      <c r="BMI41" s="188"/>
      <c r="BMJ41" s="188"/>
      <c r="BMK41" s="188"/>
      <c r="BML41" s="188"/>
      <c r="BMM41" s="188"/>
      <c r="BMN41" s="188"/>
      <c r="BMO41" s="188"/>
      <c r="BMP41" s="188"/>
      <c r="BMQ41" s="188"/>
      <c r="BMR41" s="188"/>
      <c r="BMS41" s="188"/>
      <c r="BMT41" s="188"/>
      <c r="BMU41" s="188"/>
      <c r="BMV41" s="188"/>
      <c r="BMW41" s="188"/>
      <c r="BMX41" s="188"/>
      <c r="BMY41" s="188"/>
      <c r="BMZ41" s="188"/>
      <c r="BNA41" s="188"/>
      <c r="BNB41" s="188"/>
      <c r="BNC41" s="188"/>
      <c r="BND41" s="188"/>
      <c r="BNE41" s="188"/>
      <c r="BNF41" s="188"/>
      <c r="BNG41" s="188"/>
      <c r="BNH41" s="188"/>
      <c r="BNI41" s="188"/>
      <c r="BNJ41" s="188"/>
      <c r="BNK41" s="188"/>
      <c r="BNL41" s="188"/>
      <c r="BNM41" s="188"/>
      <c r="BNN41" s="188"/>
      <c r="BNO41" s="188"/>
      <c r="BNP41" s="188"/>
      <c r="BNQ41" s="188"/>
      <c r="BNR41" s="188"/>
      <c r="BNS41" s="188"/>
      <c r="BNT41" s="188"/>
      <c r="BNU41" s="188"/>
      <c r="BNV41" s="188"/>
      <c r="BNW41" s="188"/>
      <c r="BNX41" s="188"/>
      <c r="BNY41" s="188"/>
      <c r="BNZ41" s="188"/>
      <c r="BOA41" s="188"/>
      <c r="BOB41" s="188"/>
      <c r="BOC41" s="188"/>
      <c r="BOD41" s="188"/>
      <c r="BOE41" s="188"/>
      <c r="BOF41" s="188"/>
      <c r="BOG41" s="188"/>
      <c r="BOH41" s="188"/>
      <c r="BOI41" s="188"/>
      <c r="BOJ41" s="188"/>
      <c r="BOK41" s="188"/>
      <c r="BOL41" s="188"/>
      <c r="BOM41" s="188"/>
      <c r="BON41" s="188"/>
      <c r="BOO41" s="188"/>
      <c r="BOP41" s="188"/>
      <c r="BOQ41" s="188"/>
      <c r="BOR41" s="188"/>
      <c r="BOS41" s="188"/>
      <c r="BOT41" s="188"/>
      <c r="BOU41" s="188"/>
      <c r="BOV41" s="188"/>
      <c r="BOW41" s="188"/>
      <c r="BOX41" s="188"/>
      <c r="BOY41" s="188"/>
      <c r="BOZ41" s="188"/>
      <c r="BPA41" s="188"/>
      <c r="BPB41" s="188"/>
      <c r="BPC41" s="188"/>
      <c r="BPD41" s="188"/>
      <c r="BPE41" s="188"/>
      <c r="BPF41" s="188"/>
      <c r="BPG41" s="188"/>
      <c r="BPH41" s="188"/>
      <c r="BPI41" s="188"/>
      <c r="BPJ41" s="188"/>
      <c r="BPK41" s="188"/>
      <c r="BPL41" s="188"/>
      <c r="BPM41" s="188"/>
      <c r="BPN41" s="188"/>
      <c r="BPO41" s="188"/>
      <c r="BPP41" s="188"/>
      <c r="BPQ41" s="188"/>
      <c r="BPR41" s="188"/>
      <c r="BPS41" s="188"/>
      <c r="BPT41" s="188"/>
      <c r="BPU41" s="188"/>
      <c r="BPV41" s="188"/>
      <c r="BPW41" s="188"/>
      <c r="BPX41" s="188"/>
      <c r="BPY41" s="188"/>
      <c r="BPZ41" s="188"/>
      <c r="BQA41" s="188"/>
      <c r="BQB41" s="188"/>
      <c r="BQC41" s="188"/>
      <c r="BQD41" s="188"/>
      <c r="BQE41" s="188"/>
      <c r="BQF41" s="188"/>
      <c r="BQG41" s="188"/>
      <c r="BQH41" s="188"/>
      <c r="BQI41" s="188"/>
      <c r="BQJ41" s="188"/>
      <c r="BQK41" s="188"/>
      <c r="BQL41" s="188"/>
      <c r="BQM41" s="188"/>
      <c r="BQN41" s="188"/>
      <c r="BQO41" s="188"/>
      <c r="BQP41" s="188"/>
      <c r="BQQ41" s="188"/>
      <c r="BQR41" s="188"/>
      <c r="BQS41" s="188"/>
      <c r="BQT41" s="188"/>
      <c r="BQU41" s="188"/>
      <c r="BQV41" s="188"/>
      <c r="BQW41" s="188"/>
      <c r="BQX41" s="188"/>
      <c r="BQY41" s="188"/>
      <c r="BQZ41" s="188"/>
      <c r="BRA41" s="188"/>
      <c r="BRB41" s="188"/>
      <c r="BRC41" s="188"/>
      <c r="BRD41" s="188"/>
      <c r="BRE41" s="188"/>
      <c r="BRF41" s="188"/>
      <c r="BRG41" s="188"/>
      <c r="BRH41" s="188"/>
      <c r="BRI41" s="188"/>
      <c r="BRJ41" s="188"/>
      <c r="BRK41" s="188"/>
      <c r="BRL41" s="188"/>
      <c r="BRM41" s="188"/>
      <c r="BRN41" s="188"/>
      <c r="BRO41" s="188"/>
      <c r="BRP41" s="188"/>
      <c r="BRQ41" s="188"/>
      <c r="BRR41" s="188"/>
      <c r="BRS41" s="188"/>
      <c r="BRT41" s="188"/>
      <c r="BRU41" s="188"/>
      <c r="BRV41" s="188"/>
      <c r="BRW41" s="188"/>
      <c r="BRX41" s="188"/>
      <c r="BRY41" s="188"/>
      <c r="BRZ41" s="188"/>
      <c r="BSA41" s="188"/>
      <c r="BSB41" s="188"/>
      <c r="BSC41" s="188"/>
      <c r="BSD41" s="188"/>
      <c r="BSE41" s="188"/>
      <c r="BSF41" s="188"/>
      <c r="BSG41" s="188"/>
      <c r="BSH41" s="188"/>
      <c r="BSI41" s="188"/>
      <c r="BSJ41" s="188"/>
      <c r="BSK41" s="188"/>
      <c r="BSL41" s="188"/>
      <c r="BSM41" s="188"/>
      <c r="BSN41" s="188"/>
      <c r="BSO41" s="188"/>
      <c r="BSP41" s="188"/>
      <c r="BSQ41" s="188"/>
      <c r="BSR41" s="188"/>
      <c r="BSS41" s="188"/>
      <c r="BST41" s="188"/>
      <c r="BSU41" s="188"/>
      <c r="BSV41" s="188"/>
      <c r="BSW41" s="188"/>
      <c r="BSX41" s="188"/>
      <c r="BSY41" s="188"/>
      <c r="BSZ41" s="188"/>
      <c r="BTA41" s="188"/>
      <c r="BTB41" s="188"/>
      <c r="BTC41" s="188"/>
      <c r="BTD41" s="188"/>
      <c r="BTE41" s="188"/>
      <c r="BTF41" s="188"/>
      <c r="BTG41" s="188"/>
      <c r="BTH41" s="188"/>
      <c r="BTI41" s="188"/>
      <c r="BTJ41" s="188"/>
      <c r="BTK41" s="188"/>
      <c r="BTL41" s="188"/>
      <c r="BTM41" s="188"/>
      <c r="BTN41" s="188"/>
      <c r="BTO41" s="188"/>
      <c r="BTP41" s="188"/>
      <c r="BTQ41" s="188"/>
      <c r="BTR41" s="188"/>
      <c r="BTS41" s="188"/>
      <c r="BTT41" s="188"/>
      <c r="BTU41" s="188"/>
      <c r="BTV41" s="188"/>
      <c r="BTW41" s="188"/>
      <c r="BTX41" s="188"/>
      <c r="BTY41" s="188"/>
      <c r="BTZ41" s="188"/>
      <c r="BUA41" s="188"/>
      <c r="BUB41" s="188"/>
      <c r="BUC41" s="188"/>
      <c r="BUD41" s="188"/>
      <c r="BUE41" s="188"/>
      <c r="BUF41" s="188"/>
      <c r="BUG41" s="188"/>
      <c r="BUH41" s="188"/>
      <c r="BUI41" s="188"/>
      <c r="BUJ41" s="188"/>
      <c r="BUK41" s="188"/>
      <c r="BUL41" s="188"/>
      <c r="BUM41" s="188"/>
      <c r="BUN41" s="188"/>
      <c r="BUO41" s="188"/>
      <c r="BUP41" s="188"/>
      <c r="BUQ41" s="188"/>
      <c r="BUR41" s="188"/>
      <c r="BUS41" s="188"/>
      <c r="BUT41" s="188"/>
      <c r="BUU41" s="188"/>
      <c r="BUV41" s="188"/>
      <c r="BUW41" s="188"/>
      <c r="BUX41" s="188"/>
      <c r="BUY41" s="188"/>
      <c r="BUZ41" s="188"/>
      <c r="BVA41" s="188"/>
      <c r="BVB41" s="188"/>
      <c r="BVC41" s="188"/>
      <c r="BVD41" s="188"/>
      <c r="BVE41" s="188"/>
      <c r="BVF41" s="188"/>
      <c r="BVG41" s="188"/>
      <c r="BVH41" s="188"/>
      <c r="BVI41" s="188"/>
      <c r="BVJ41" s="188"/>
      <c r="BVK41" s="188"/>
      <c r="BVL41" s="188"/>
      <c r="BVM41" s="188"/>
      <c r="BVN41" s="188"/>
      <c r="BVO41" s="188"/>
      <c r="BVP41" s="188"/>
      <c r="BVQ41" s="188"/>
      <c r="BVR41" s="188"/>
      <c r="BVS41" s="188"/>
      <c r="BVT41" s="188"/>
      <c r="BVU41" s="188"/>
      <c r="BVV41" s="188"/>
      <c r="BVW41" s="188"/>
      <c r="BVX41" s="188"/>
      <c r="BVY41" s="188"/>
      <c r="BVZ41" s="188"/>
      <c r="BWA41" s="188"/>
      <c r="BWB41" s="188"/>
      <c r="BWC41" s="188"/>
      <c r="BWD41" s="188"/>
      <c r="BWE41" s="188"/>
      <c r="BWF41" s="188"/>
      <c r="BWG41" s="188"/>
      <c r="BWH41" s="188"/>
      <c r="BWI41" s="188"/>
      <c r="BWJ41" s="188"/>
      <c r="BWK41" s="188"/>
      <c r="BWL41" s="188"/>
      <c r="BWM41" s="188"/>
      <c r="BWN41" s="188"/>
      <c r="BWO41" s="188"/>
      <c r="BWP41" s="188"/>
      <c r="BWQ41" s="188"/>
      <c r="BWR41" s="188"/>
      <c r="BWS41" s="188"/>
      <c r="BWT41" s="188"/>
      <c r="BWU41" s="188"/>
      <c r="BWV41" s="188"/>
      <c r="BWW41" s="188"/>
      <c r="BWX41" s="188"/>
      <c r="BWY41" s="188"/>
      <c r="BWZ41" s="188"/>
      <c r="BXA41" s="188"/>
      <c r="BXB41" s="188"/>
      <c r="BXC41" s="188"/>
      <c r="BXD41" s="188"/>
      <c r="BXE41" s="188"/>
      <c r="BXF41" s="188"/>
      <c r="BXG41" s="188"/>
      <c r="BXH41" s="188"/>
      <c r="BXI41" s="188"/>
      <c r="BXJ41" s="188"/>
      <c r="BXK41" s="188"/>
      <c r="BXL41" s="188"/>
      <c r="BXM41" s="188"/>
      <c r="BXN41" s="188"/>
      <c r="BXO41" s="188"/>
      <c r="BXP41" s="188"/>
      <c r="BXQ41" s="188"/>
      <c r="BXR41" s="188"/>
      <c r="BXS41" s="188"/>
      <c r="BXT41" s="188"/>
      <c r="BXU41" s="188"/>
      <c r="BXV41" s="188"/>
      <c r="BXW41" s="188"/>
      <c r="BXX41" s="188"/>
      <c r="BXY41" s="188"/>
      <c r="BXZ41" s="188"/>
      <c r="BYA41" s="188"/>
      <c r="BYB41" s="188"/>
      <c r="BYC41" s="188"/>
      <c r="BYD41" s="188"/>
      <c r="BYE41" s="188"/>
      <c r="BYF41" s="188"/>
      <c r="BYG41" s="188"/>
      <c r="BYH41" s="188"/>
      <c r="BYI41" s="188"/>
      <c r="BYJ41" s="188"/>
      <c r="BYK41" s="188"/>
      <c r="BYL41" s="188"/>
      <c r="BYM41" s="188"/>
      <c r="BYN41" s="188"/>
      <c r="BYO41" s="188"/>
      <c r="BYP41" s="188"/>
      <c r="BYQ41" s="188"/>
      <c r="BYR41" s="188"/>
      <c r="BYS41" s="188"/>
      <c r="BYT41" s="188"/>
      <c r="BYU41" s="188"/>
      <c r="BYV41" s="188"/>
      <c r="BYW41" s="188"/>
      <c r="BYX41" s="188"/>
      <c r="BYY41" s="188"/>
      <c r="BYZ41" s="188"/>
      <c r="BZA41" s="188"/>
      <c r="BZB41" s="188"/>
      <c r="BZC41" s="188"/>
      <c r="BZD41" s="188"/>
      <c r="BZE41" s="188"/>
      <c r="BZF41" s="188"/>
      <c r="BZG41" s="188"/>
      <c r="BZH41" s="188"/>
      <c r="BZI41" s="188"/>
      <c r="BZJ41" s="188"/>
      <c r="BZK41" s="188"/>
      <c r="BZL41" s="188"/>
      <c r="BZM41" s="188"/>
      <c r="BZN41" s="188"/>
      <c r="BZO41" s="188"/>
      <c r="BZP41" s="188"/>
      <c r="BZQ41" s="188"/>
      <c r="BZR41" s="188"/>
      <c r="BZS41" s="188"/>
      <c r="BZT41" s="188"/>
      <c r="BZU41" s="188"/>
      <c r="BZV41" s="188"/>
      <c r="BZW41" s="188"/>
      <c r="BZX41" s="188"/>
      <c r="BZY41" s="188"/>
      <c r="BZZ41" s="188"/>
      <c r="CAA41" s="188"/>
      <c r="CAB41" s="188"/>
      <c r="CAC41" s="188"/>
      <c r="CAD41" s="188"/>
      <c r="CAE41" s="188"/>
      <c r="CAF41" s="188"/>
      <c r="CAG41" s="188"/>
      <c r="CAH41" s="188"/>
      <c r="CAI41" s="188"/>
      <c r="CAJ41" s="188"/>
      <c r="CAK41" s="188"/>
      <c r="CAL41" s="188"/>
      <c r="CAM41" s="188"/>
      <c r="CAN41" s="188"/>
      <c r="CAO41" s="188"/>
      <c r="CAP41" s="188"/>
      <c r="CAQ41" s="188"/>
      <c r="CAR41" s="188"/>
      <c r="CAS41" s="188"/>
      <c r="CAT41" s="188"/>
      <c r="CAU41" s="188"/>
      <c r="CAV41" s="188"/>
      <c r="CAW41" s="188"/>
      <c r="CAX41" s="188"/>
      <c r="CAY41" s="188"/>
      <c r="CAZ41" s="188"/>
      <c r="CBA41" s="188"/>
      <c r="CBB41" s="188"/>
      <c r="CBC41" s="188"/>
      <c r="CBD41" s="188"/>
      <c r="CBE41" s="188"/>
      <c r="CBF41" s="188"/>
      <c r="CBG41" s="188"/>
      <c r="CBH41" s="188"/>
      <c r="CBI41" s="188"/>
      <c r="CBJ41" s="188"/>
      <c r="CBK41" s="188"/>
      <c r="CBL41" s="188"/>
      <c r="CBM41" s="188"/>
      <c r="CBN41" s="188"/>
      <c r="CBO41" s="188"/>
      <c r="CBP41" s="188"/>
      <c r="CBQ41" s="188"/>
      <c r="CBR41" s="188"/>
      <c r="CBS41" s="188"/>
      <c r="CBT41" s="188"/>
      <c r="CBU41" s="188"/>
      <c r="CBV41" s="188"/>
      <c r="CBW41" s="188"/>
      <c r="CBX41" s="188"/>
      <c r="CBY41" s="188"/>
      <c r="CBZ41" s="188"/>
      <c r="CCA41" s="188"/>
      <c r="CCB41" s="188"/>
      <c r="CCC41" s="188"/>
      <c r="CCD41" s="188"/>
      <c r="CCE41" s="188"/>
      <c r="CCF41" s="188"/>
      <c r="CCG41" s="188"/>
      <c r="CCH41" s="188"/>
      <c r="CCI41" s="188"/>
      <c r="CCJ41" s="188"/>
      <c r="CCK41" s="188"/>
      <c r="CCL41" s="188"/>
      <c r="CCM41" s="188"/>
      <c r="CCN41" s="188"/>
      <c r="CCO41" s="188"/>
      <c r="CCP41" s="188"/>
      <c r="CCQ41" s="188"/>
      <c r="CCR41" s="188"/>
      <c r="CCS41" s="188"/>
      <c r="CCT41" s="188"/>
      <c r="CCU41" s="188"/>
      <c r="CCV41" s="188"/>
      <c r="CCW41" s="188"/>
      <c r="CCX41" s="188"/>
      <c r="CCY41" s="188"/>
      <c r="CCZ41" s="188"/>
      <c r="CDA41" s="188"/>
      <c r="CDB41" s="188"/>
      <c r="CDC41" s="188"/>
      <c r="CDD41" s="188"/>
      <c r="CDE41" s="188"/>
      <c r="CDF41" s="188"/>
      <c r="CDG41" s="188"/>
      <c r="CDH41" s="188"/>
      <c r="CDI41" s="188"/>
      <c r="CDJ41" s="188"/>
      <c r="CDK41" s="188"/>
      <c r="CDL41" s="188"/>
      <c r="CDM41" s="188"/>
      <c r="CDN41" s="188"/>
      <c r="CDO41" s="188"/>
      <c r="CDP41" s="188"/>
      <c r="CDQ41" s="188"/>
      <c r="CDR41" s="188"/>
      <c r="CDS41" s="188"/>
      <c r="CDT41" s="188"/>
      <c r="CDU41" s="188"/>
      <c r="CDV41" s="188"/>
      <c r="CDW41" s="188"/>
      <c r="CDX41" s="188"/>
      <c r="CDY41" s="188"/>
      <c r="CDZ41" s="188"/>
      <c r="CEA41" s="188"/>
      <c r="CEB41" s="188"/>
      <c r="CEC41" s="188"/>
      <c r="CED41" s="188"/>
      <c r="CEE41" s="188"/>
      <c r="CEF41" s="188"/>
      <c r="CEG41" s="188"/>
      <c r="CEH41" s="188"/>
      <c r="CEI41" s="188"/>
      <c r="CEJ41" s="188"/>
      <c r="CEK41" s="188"/>
      <c r="CEL41" s="188"/>
      <c r="CEM41" s="188"/>
      <c r="CEN41" s="188"/>
      <c r="CEO41" s="188"/>
      <c r="CEP41" s="188"/>
      <c r="CEQ41" s="188"/>
      <c r="CER41" s="188"/>
      <c r="CES41" s="188"/>
      <c r="CET41" s="188"/>
      <c r="CEU41" s="188"/>
      <c r="CEV41" s="188"/>
      <c r="CEW41" s="188"/>
      <c r="CEX41" s="188"/>
      <c r="CEY41" s="188"/>
      <c r="CEZ41" s="188"/>
      <c r="CFA41" s="188"/>
      <c r="CFB41" s="188"/>
      <c r="CFC41" s="188"/>
      <c r="CFD41" s="188"/>
      <c r="CFE41" s="188"/>
      <c r="CFF41" s="188"/>
      <c r="CFG41" s="188"/>
      <c r="CFH41" s="188"/>
      <c r="CFI41" s="188"/>
      <c r="CFJ41" s="188"/>
      <c r="CFK41" s="188"/>
      <c r="CFL41" s="188"/>
      <c r="CFM41" s="188"/>
      <c r="CFN41" s="188"/>
      <c r="CFO41" s="188"/>
      <c r="CFP41" s="188"/>
      <c r="CFQ41" s="188"/>
      <c r="CFR41" s="188"/>
      <c r="CFS41" s="188"/>
      <c r="CFT41" s="188"/>
      <c r="CFU41" s="188"/>
      <c r="CFV41" s="188"/>
      <c r="CFW41" s="188"/>
      <c r="CFX41" s="188"/>
      <c r="CFY41" s="188"/>
      <c r="CFZ41" s="188"/>
      <c r="CGA41" s="188"/>
      <c r="CGB41" s="188"/>
      <c r="CGC41" s="188"/>
      <c r="CGD41" s="188"/>
      <c r="CGE41" s="188"/>
      <c r="CGF41" s="188"/>
      <c r="CGG41" s="188"/>
      <c r="CGH41" s="188"/>
      <c r="CGI41" s="188"/>
      <c r="CGJ41" s="188"/>
      <c r="CGK41" s="188"/>
      <c r="CGL41" s="188"/>
      <c r="CGM41" s="188"/>
      <c r="CGN41" s="188"/>
      <c r="CGO41" s="188"/>
      <c r="CGP41" s="188"/>
      <c r="CGQ41" s="188"/>
      <c r="CGR41" s="188"/>
      <c r="CGS41" s="188"/>
      <c r="CGT41" s="188"/>
      <c r="CGU41" s="188"/>
      <c r="CGV41" s="188"/>
      <c r="CGW41" s="188"/>
      <c r="CGX41" s="188"/>
      <c r="CGY41" s="188"/>
      <c r="CGZ41" s="188"/>
      <c r="CHA41" s="188"/>
      <c r="CHB41" s="188"/>
      <c r="CHC41" s="188"/>
      <c r="CHD41" s="188"/>
      <c r="CHE41" s="188"/>
      <c r="CHF41" s="188"/>
      <c r="CHG41" s="188"/>
      <c r="CHH41" s="188"/>
      <c r="CHI41" s="188"/>
      <c r="CHJ41" s="188"/>
      <c r="CHK41" s="188"/>
      <c r="CHL41" s="188"/>
      <c r="CHM41" s="188"/>
      <c r="CHN41" s="188"/>
      <c r="CHO41" s="188"/>
      <c r="CHP41" s="188"/>
      <c r="CHQ41" s="188"/>
      <c r="CHR41" s="188"/>
      <c r="CHS41" s="188"/>
      <c r="CHT41" s="188"/>
      <c r="CHU41" s="188"/>
      <c r="CHV41" s="188"/>
      <c r="CHW41" s="188"/>
      <c r="CHX41" s="188"/>
      <c r="CHY41" s="188"/>
      <c r="CHZ41" s="188"/>
      <c r="CIA41" s="188"/>
      <c r="CIB41" s="188"/>
      <c r="CIC41" s="188"/>
      <c r="CID41" s="188"/>
      <c r="CIE41" s="188"/>
      <c r="CIF41" s="188"/>
      <c r="CIG41" s="188"/>
      <c r="CIH41" s="188"/>
      <c r="CII41" s="188"/>
      <c r="CIJ41" s="188"/>
      <c r="CIK41" s="188"/>
      <c r="CIL41" s="188"/>
      <c r="CIM41" s="188"/>
      <c r="CIN41" s="188"/>
      <c r="CIO41" s="188"/>
      <c r="CIP41" s="188"/>
      <c r="CIQ41" s="188"/>
      <c r="CIR41" s="188"/>
      <c r="CIS41" s="188"/>
      <c r="CIT41" s="188"/>
      <c r="CIU41" s="188"/>
      <c r="CIV41" s="188"/>
      <c r="CIW41" s="188"/>
      <c r="CIX41" s="188"/>
      <c r="CIY41" s="188"/>
      <c r="CIZ41" s="188"/>
      <c r="CJA41" s="188"/>
      <c r="CJB41" s="188"/>
      <c r="CJC41" s="188"/>
      <c r="CJD41" s="188"/>
      <c r="CJE41" s="188"/>
      <c r="CJF41" s="188"/>
      <c r="CJG41" s="188"/>
      <c r="CJH41" s="188"/>
      <c r="CJI41" s="188"/>
      <c r="CJJ41" s="188"/>
      <c r="CJK41" s="188"/>
      <c r="CJL41" s="188"/>
      <c r="CJM41" s="188"/>
      <c r="CJN41" s="188"/>
      <c r="CJO41" s="188"/>
      <c r="CJP41" s="188"/>
      <c r="CJQ41" s="188"/>
      <c r="CJR41" s="188"/>
      <c r="CJS41" s="188"/>
      <c r="CJT41" s="188"/>
      <c r="CJU41" s="188"/>
      <c r="CJV41" s="188"/>
      <c r="CJW41" s="188"/>
      <c r="CJX41" s="188"/>
      <c r="CJY41" s="188"/>
      <c r="CJZ41" s="188"/>
      <c r="CKA41" s="188"/>
      <c r="CKB41" s="188"/>
      <c r="CKC41" s="188"/>
      <c r="CKD41" s="188"/>
      <c r="CKE41" s="188"/>
      <c r="CKF41" s="188"/>
      <c r="CKG41" s="188"/>
      <c r="CKH41" s="188"/>
      <c r="CKI41" s="188"/>
      <c r="CKJ41" s="188"/>
      <c r="CKK41" s="188"/>
      <c r="CKL41" s="188"/>
      <c r="CKM41" s="188"/>
      <c r="CKN41" s="188"/>
      <c r="CKO41" s="188"/>
      <c r="CKP41" s="188"/>
      <c r="CKQ41" s="188"/>
      <c r="CKR41" s="188"/>
      <c r="CKS41" s="188"/>
      <c r="CKT41" s="188"/>
      <c r="CKU41" s="188"/>
      <c r="CKV41" s="188"/>
      <c r="CKW41" s="188"/>
      <c r="CKX41" s="188"/>
      <c r="CKY41" s="188"/>
      <c r="CKZ41" s="188"/>
      <c r="CLA41" s="188"/>
      <c r="CLB41" s="188"/>
      <c r="CLC41" s="188"/>
      <c r="CLD41" s="188"/>
      <c r="CLE41" s="188"/>
      <c r="CLF41" s="188"/>
      <c r="CLG41" s="188"/>
      <c r="CLH41" s="188"/>
      <c r="CLI41" s="188"/>
      <c r="CLJ41" s="188"/>
      <c r="CLK41" s="188"/>
      <c r="CLL41" s="188"/>
      <c r="CLM41" s="188"/>
      <c r="CLN41" s="188"/>
      <c r="CLO41" s="188"/>
      <c r="CLP41" s="188"/>
      <c r="CLQ41" s="188"/>
      <c r="CLR41" s="188"/>
      <c r="CLS41" s="188"/>
      <c r="CLT41" s="188"/>
      <c r="CLU41" s="188"/>
      <c r="CLV41" s="188"/>
      <c r="CLW41" s="188"/>
      <c r="CLX41" s="188"/>
      <c r="CLY41" s="188"/>
      <c r="CLZ41" s="188"/>
      <c r="CMA41" s="188"/>
      <c r="CMB41" s="188"/>
      <c r="CMC41" s="188"/>
      <c r="CMD41" s="188"/>
      <c r="CME41" s="188"/>
      <c r="CMF41" s="188"/>
      <c r="CMG41" s="188"/>
      <c r="CMH41" s="188"/>
      <c r="CMI41" s="188"/>
      <c r="CMJ41" s="188"/>
      <c r="CMK41" s="188"/>
      <c r="CML41" s="188"/>
      <c r="CMM41" s="188"/>
      <c r="CMN41" s="188"/>
      <c r="CMO41" s="188"/>
      <c r="CMP41" s="188"/>
      <c r="CMQ41" s="188"/>
      <c r="CMR41" s="188"/>
      <c r="CMS41" s="188"/>
      <c r="CMT41" s="188"/>
      <c r="CMU41" s="188"/>
      <c r="CMV41" s="188"/>
      <c r="CMW41" s="188"/>
      <c r="CMX41" s="188"/>
      <c r="CMY41" s="188"/>
      <c r="CMZ41" s="188"/>
      <c r="CNA41" s="188"/>
      <c r="CNB41" s="188"/>
      <c r="CNC41" s="188"/>
      <c r="CND41" s="188"/>
      <c r="CNE41" s="188"/>
      <c r="CNF41" s="188"/>
      <c r="CNG41" s="188"/>
      <c r="CNH41" s="188"/>
      <c r="CNI41" s="188"/>
      <c r="CNJ41" s="188"/>
      <c r="CNK41" s="188"/>
      <c r="CNL41" s="188"/>
      <c r="CNM41" s="188"/>
      <c r="CNN41" s="188"/>
      <c r="CNO41" s="188"/>
      <c r="CNP41" s="188"/>
      <c r="CNQ41" s="188"/>
      <c r="CNR41" s="188"/>
      <c r="CNS41" s="188"/>
      <c r="CNT41" s="188"/>
      <c r="CNU41" s="188"/>
      <c r="CNV41" s="188"/>
      <c r="CNW41" s="188"/>
      <c r="CNX41" s="188"/>
      <c r="CNY41" s="188"/>
      <c r="CNZ41" s="188"/>
      <c r="COA41" s="188"/>
      <c r="COB41" s="188"/>
      <c r="COC41" s="188"/>
      <c r="COD41" s="188"/>
      <c r="COE41" s="188"/>
      <c r="COF41" s="188"/>
      <c r="COG41" s="188"/>
      <c r="COH41" s="188"/>
      <c r="COI41" s="188"/>
      <c r="COJ41" s="188"/>
      <c r="COK41" s="188"/>
      <c r="COL41" s="188"/>
      <c r="COM41" s="188"/>
      <c r="CON41" s="188"/>
      <c r="COO41" s="188"/>
      <c r="COP41" s="188"/>
      <c r="COQ41" s="188"/>
      <c r="COR41" s="188"/>
      <c r="COS41" s="188"/>
      <c r="COT41" s="188"/>
      <c r="COU41" s="188"/>
      <c r="COV41" s="188"/>
      <c r="COW41" s="188"/>
      <c r="COX41" s="188"/>
      <c r="COY41" s="188"/>
      <c r="COZ41" s="188"/>
      <c r="CPA41" s="188"/>
      <c r="CPB41" s="188"/>
      <c r="CPC41" s="188"/>
      <c r="CPD41" s="188"/>
      <c r="CPE41" s="188"/>
      <c r="CPF41" s="188"/>
      <c r="CPG41" s="188"/>
      <c r="CPH41" s="188"/>
      <c r="CPI41" s="188"/>
      <c r="CPJ41" s="188"/>
      <c r="CPK41" s="188"/>
      <c r="CPL41" s="188"/>
      <c r="CPM41" s="188"/>
      <c r="CPN41" s="188"/>
      <c r="CPO41" s="188"/>
      <c r="CPP41" s="188"/>
      <c r="CPQ41" s="188"/>
      <c r="CPR41" s="188"/>
      <c r="CPS41" s="188"/>
      <c r="CPT41" s="188"/>
      <c r="CPU41" s="188"/>
      <c r="CPV41" s="188"/>
      <c r="CPW41" s="188"/>
      <c r="CPX41" s="188"/>
      <c r="CPY41" s="188"/>
      <c r="CPZ41" s="188"/>
      <c r="CQA41" s="188"/>
      <c r="CQB41" s="188"/>
      <c r="CQC41" s="188"/>
      <c r="CQD41" s="188"/>
      <c r="CQE41" s="188"/>
      <c r="CQF41" s="188"/>
      <c r="CQG41" s="188"/>
      <c r="CQH41" s="188"/>
      <c r="CQI41" s="188"/>
      <c r="CQJ41" s="188"/>
      <c r="CQK41" s="188"/>
      <c r="CQL41" s="188"/>
      <c r="CQM41" s="188"/>
      <c r="CQN41" s="188"/>
      <c r="CQO41" s="188"/>
      <c r="CQP41" s="188"/>
      <c r="CQQ41" s="188"/>
      <c r="CQR41" s="188"/>
      <c r="CQS41" s="188"/>
      <c r="CQT41" s="188"/>
      <c r="CQU41" s="188"/>
      <c r="CQV41" s="188"/>
      <c r="CQW41" s="188"/>
      <c r="CQX41" s="188"/>
      <c r="CQY41" s="188"/>
      <c r="CQZ41" s="188"/>
      <c r="CRA41" s="188"/>
      <c r="CRB41" s="188"/>
      <c r="CRC41" s="188"/>
      <c r="CRD41" s="188"/>
      <c r="CRE41" s="188"/>
      <c r="CRF41" s="188"/>
      <c r="CRG41" s="188"/>
      <c r="CRH41" s="188"/>
      <c r="CRI41" s="188"/>
      <c r="CRJ41" s="188"/>
      <c r="CRK41" s="188"/>
      <c r="CRL41" s="188"/>
      <c r="CRM41" s="188"/>
      <c r="CRN41" s="188"/>
      <c r="CRO41" s="188"/>
      <c r="CRP41" s="188"/>
      <c r="CRQ41" s="188"/>
      <c r="CRR41" s="188"/>
      <c r="CRS41" s="188"/>
      <c r="CRT41" s="188"/>
      <c r="CRU41" s="188"/>
      <c r="CRV41" s="188"/>
      <c r="CRW41" s="188"/>
      <c r="CRX41" s="188"/>
      <c r="CRY41" s="188"/>
      <c r="CRZ41" s="188"/>
      <c r="CSA41" s="188"/>
      <c r="CSB41" s="188"/>
      <c r="CSC41" s="188"/>
      <c r="CSD41" s="188"/>
      <c r="CSE41" s="188"/>
      <c r="CSF41" s="188"/>
      <c r="CSG41" s="188"/>
      <c r="CSH41" s="188"/>
      <c r="CSI41" s="188"/>
      <c r="CSJ41" s="188"/>
      <c r="CSK41" s="188"/>
      <c r="CSL41" s="188"/>
      <c r="CSM41" s="188"/>
      <c r="CSN41" s="188"/>
      <c r="CSO41" s="188"/>
      <c r="CSP41" s="188"/>
      <c r="CSQ41" s="188"/>
      <c r="CSR41" s="188"/>
      <c r="CSS41" s="188"/>
      <c r="CST41" s="188"/>
      <c r="CSU41" s="188"/>
      <c r="CSV41" s="188"/>
      <c r="CSW41" s="188"/>
      <c r="CSX41" s="188"/>
      <c r="CSY41" s="188"/>
      <c r="CSZ41" s="188"/>
      <c r="CTA41" s="188"/>
      <c r="CTB41" s="188"/>
      <c r="CTC41" s="188"/>
      <c r="CTD41" s="188"/>
      <c r="CTE41" s="188"/>
      <c r="CTF41" s="188"/>
      <c r="CTG41" s="188"/>
      <c r="CTH41" s="188"/>
      <c r="CTI41" s="188"/>
      <c r="CTJ41" s="188"/>
      <c r="CTK41" s="188"/>
      <c r="CTL41" s="188"/>
      <c r="CTM41" s="188"/>
      <c r="CTN41" s="188"/>
      <c r="CTO41" s="188"/>
      <c r="CTP41" s="188"/>
      <c r="CTQ41" s="188"/>
      <c r="CTR41" s="188"/>
      <c r="CTS41" s="188"/>
      <c r="CTT41" s="188"/>
      <c r="CTU41" s="188"/>
      <c r="CTV41" s="188"/>
      <c r="CTW41" s="188"/>
      <c r="CTX41" s="188"/>
      <c r="CTY41" s="188"/>
      <c r="CTZ41" s="188"/>
      <c r="CUA41" s="188"/>
    </row>
    <row r="42" s="191" customFormat="1" spans="1:1024 1025:2575">
      <c r="A42" s="227" t="s">
        <v>37</v>
      </c>
      <c r="B42" s="228">
        <f t="shared" si="31"/>
        <v>9</v>
      </c>
      <c r="C42" s="229">
        <f t="shared" si="26"/>
        <v>45538</v>
      </c>
      <c r="D42" s="230">
        <f t="shared" si="22"/>
        <v>45544</v>
      </c>
      <c r="E42" s="231">
        <v>1307</v>
      </c>
      <c r="F42" s="232">
        <f t="shared" si="27"/>
        <v>45558</v>
      </c>
      <c r="G42" s="231">
        <v>1149</v>
      </c>
      <c r="H42" s="233">
        <f t="shared" si="10"/>
        <v>0.87911247130834</v>
      </c>
      <c r="I42" s="230">
        <f t="shared" si="28"/>
        <v>45575</v>
      </c>
      <c r="J42" s="231">
        <v>1074</v>
      </c>
      <c r="K42" s="233">
        <f t="shared" si="0"/>
        <v>0.821729150726855</v>
      </c>
      <c r="L42" s="230">
        <f t="shared" si="29"/>
        <v>45578</v>
      </c>
      <c r="M42" s="231">
        <v>1074</v>
      </c>
      <c r="N42" s="231">
        <v>9550</v>
      </c>
      <c r="O42" s="233">
        <f t="shared" si="1"/>
        <v>0.821729150726855</v>
      </c>
      <c r="P42" s="233">
        <f t="shared" si="7"/>
        <v>0.0573833205814843</v>
      </c>
      <c r="Q42" s="234">
        <f t="shared" si="2"/>
        <v>8.89199255121043</v>
      </c>
      <c r="R42" s="230">
        <f t="shared" si="30"/>
        <v>45610</v>
      </c>
      <c r="S42" s="235">
        <v>9350</v>
      </c>
      <c r="T42" s="228">
        <v>901</v>
      </c>
      <c r="U42" s="233">
        <f t="shared" si="3"/>
        <v>0.979057591623037</v>
      </c>
      <c r="V42" s="230">
        <f t="shared" si="19"/>
        <v>45645</v>
      </c>
      <c r="W42" s="235">
        <v>9129</v>
      </c>
      <c r="X42" s="233">
        <f t="shared" si="4"/>
        <v>0.976363636363636</v>
      </c>
      <c r="Y42" s="228">
        <v>22574</v>
      </c>
      <c r="Z42" s="236">
        <v>15.2</v>
      </c>
      <c r="AA42" s="236">
        <f t="shared" si="32"/>
        <v>2.47277905575638</v>
      </c>
      <c r="AB42" s="236">
        <f t="shared" si="5"/>
        <v>6.98469778117827</v>
      </c>
      <c r="AC42" s="236">
        <v>3.23</v>
      </c>
      <c r="AD42" s="235">
        <v>3.17</v>
      </c>
      <c r="AE42" s="236">
        <v>58.75</v>
      </c>
      <c r="AF42" s="235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193"/>
      <c r="BJ42" s="193"/>
      <c r="BK42" s="193"/>
      <c r="BL42" s="193"/>
      <c r="BM42" s="193"/>
      <c r="BN42" s="193"/>
      <c r="BO42" s="193"/>
      <c r="BP42" s="193"/>
      <c r="BQ42" s="193"/>
      <c r="BR42" s="193"/>
      <c r="BS42" s="193"/>
      <c r="BT42" s="193"/>
      <c r="BU42" s="193"/>
      <c r="BV42" s="193"/>
      <c r="BW42" s="193"/>
      <c r="BX42" s="193"/>
      <c r="BY42" s="193"/>
      <c r="BZ42" s="193"/>
      <c r="CA42" s="193"/>
      <c r="CB42" s="193"/>
      <c r="CC42" s="193"/>
      <c r="CD42" s="193"/>
      <c r="CE42" s="193"/>
      <c r="CF42" s="193"/>
      <c r="CG42" s="193"/>
      <c r="CH42" s="193"/>
      <c r="CI42" s="193"/>
      <c r="CJ42" s="193"/>
      <c r="CK42" s="193"/>
      <c r="CL42" s="193"/>
      <c r="CM42" s="193"/>
      <c r="CN42" s="193"/>
      <c r="CO42" s="193"/>
      <c r="CP42" s="193"/>
      <c r="CQ42" s="193"/>
      <c r="CR42" s="193"/>
      <c r="CS42" s="193"/>
      <c r="CT42" s="193"/>
      <c r="CU42" s="193"/>
      <c r="CV42" s="193"/>
      <c r="CW42" s="193"/>
      <c r="CX42" s="193"/>
      <c r="CY42" s="193"/>
      <c r="CZ42" s="193"/>
      <c r="DA42" s="193"/>
      <c r="DB42" s="193"/>
      <c r="DC42" s="193"/>
      <c r="DD42" s="193"/>
      <c r="DE42" s="193"/>
      <c r="DF42" s="193"/>
      <c r="DG42" s="193"/>
      <c r="DH42" s="193"/>
      <c r="DI42" s="193"/>
      <c r="DJ42" s="193"/>
      <c r="DK42" s="193"/>
      <c r="DL42" s="193"/>
      <c r="DM42" s="193"/>
      <c r="DN42" s="193"/>
      <c r="DO42" s="193"/>
      <c r="DP42" s="193"/>
      <c r="DQ42" s="193"/>
      <c r="DR42" s="193"/>
      <c r="DS42" s="193"/>
      <c r="DT42" s="193"/>
      <c r="DU42" s="193"/>
      <c r="DV42" s="193"/>
      <c r="DW42" s="193"/>
      <c r="DX42" s="193"/>
      <c r="DY42" s="193"/>
      <c r="DZ42" s="193"/>
      <c r="EA42" s="193"/>
      <c r="EB42" s="193"/>
      <c r="EC42" s="193"/>
      <c r="ED42" s="193"/>
      <c r="EE42" s="193"/>
      <c r="EF42" s="193"/>
      <c r="EG42" s="193"/>
      <c r="EH42" s="193"/>
      <c r="EI42" s="193"/>
      <c r="EJ42" s="193"/>
      <c r="EK42" s="193"/>
      <c r="EL42" s="193"/>
      <c r="EM42" s="193"/>
      <c r="EN42" s="193"/>
      <c r="EO42" s="193"/>
      <c r="EP42" s="193"/>
      <c r="EQ42" s="193"/>
      <c r="ER42" s="193"/>
      <c r="ES42" s="193"/>
      <c r="ET42" s="193"/>
      <c r="EU42" s="193"/>
      <c r="EV42" s="193"/>
      <c r="EW42" s="193"/>
      <c r="EX42" s="193"/>
      <c r="EY42" s="193"/>
      <c r="EZ42" s="193"/>
      <c r="FA42" s="193"/>
      <c r="FB42" s="193"/>
      <c r="FC42" s="193"/>
      <c r="FD42" s="193"/>
      <c r="FE42" s="193"/>
      <c r="FF42" s="193"/>
      <c r="FG42" s="193"/>
      <c r="FH42" s="193"/>
      <c r="FI42" s="193"/>
      <c r="FJ42" s="193"/>
      <c r="FK42" s="193"/>
      <c r="FL42" s="193"/>
      <c r="FM42" s="193"/>
      <c r="FN42" s="193"/>
      <c r="FO42" s="193"/>
      <c r="FP42" s="193"/>
      <c r="FQ42" s="193"/>
      <c r="FR42" s="193"/>
      <c r="FS42" s="193"/>
      <c r="FT42" s="193"/>
      <c r="FU42" s="193"/>
      <c r="FV42" s="193"/>
      <c r="FW42" s="193"/>
      <c r="FX42" s="193"/>
      <c r="FY42" s="193"/>
      <c r="FZ42" s="193"/>
      <c r="GA42" s="193"/>
      <c r="GB42" s="193"/>
      <c r="GC42" s="193"/>
      <c r="GD42" s="193"/>
      <c r="GE42" s="193"/>
      <c r="GF42" s="193"/>
      <c r="GG42" s="193"/>
      <c r="GH42" s="193"/>
      <c r="GI42" s="193"/>
      <c r="GJ42" s="193"/>
      <c r="GK42" s="193"/>
      <c r="GL42" s="193"/>
      <c r="GM42" s="193"/>
      <c r="GN42" s="193"/>
      <c r="GO42" s="193"/>
      <c r="GP42" s="193"/>
      <c r="GQ42" s="193"/>
      <c r="GR42" s="193"/>
      <c r="GS42" s="193"/>
      <c r="GT42" s="193"/>
      <c r="GU42" s="193"/>
      <c r="GV42" s="193"/>
      <c r="GW42" s="193"/>
      <c r="GX42" s="193"/>
      <c r="GY42" s="193"/>
      <c r="GZ42" s="193"/>
      <c r="HA42" s="193"/>
      <c r="HB42" s="193"/>
      <c r="HC42" s="193"/>
      <c r="HD42" s="193"/>
      <c r="HE42" s="193"/>
      <c r="HF42" s="193"/>
      <c r="HG42" s="193"/>
      <c r="HH42" s="193"/>
      <c r="HI42" s="193"/>
      <c r="HJ42" s="193"/>
      <c r="HK42" s="193"/>
      <c r="HL42" s="193"/>
      <c r="HM42" s="193"/>
      <c r="HN42" s="193"/>
      <c r="HO42" s="193"/>
      <c r="HP42" s="193"/>
      <c r="HQ42" s="193"/>
      <c r="HR42" s="193"/>
      <c r="HS42" s="193"/>
      <c r="HT42" s="193"/>
      <c r="HU42" s="193"/>
      <c r="HV42" s="193"/>
      <c r="HW42" s="193"/>
      <c r="HX42" s="193"/>
      <c r="HY42" s="193"/>
      <c r="HZ42" s="193"/>
      <c r="IA42" s="193"/>
      <c r="IB42" s="193"/>
      <c r="IC42" s="193"/>
      <c r="ID42" s="193"/>
      <c r="IE42" s="193"/>
      <c r="IF42" s="193"/>
      <c r="IG42" s="193"/>
      <c r="IH42" s="193"/>
      <c r="II42" s="193"/>
      <c r="IJ42" s="193"/>
      <c r="IK42" s="193"/>
      <c r="IL42" s="193"/>
      <c r="IM42" s="193"/>
      <c r="IN42" s="193"/>
      <c r="IO42" s="193"/>
      <c r="IP42" s="193"/>
      <c r="IQ42" s="193"/>
      <c r="IR42" s="193"/>
      <c r="IS42" s="193"/>
      <c r="IT42" s="193"/>
      <c r="IU42" s="193"/>
      <c r="IV42" s="193"/>
      <c r="IW42" s="193"/>
      <c r="IX42" s="193"/>
      <c r="IY42" s="193"/>
      <c r="IZ42" s="193"/>
      <c r="JA42" s="193"/>
      <c r="JB42" s="193"/>
      <c r="JC42" s="193"/>
      <c r="JD42" s="193"/>
      <c r="JE42" s="193"/>
      <c r="JF42" s="193"/>
      <c r="JG42" s="193"/>
      <c r="JH42" s="193"/>
      <c r="JI42" s="193"/>
      <c r="JJ42" s="193"/>
      <c r="JK42" s="193"/>
      <c r="JL42" s="193"/>
      <c r="JM42" s="193"/>
      <c r="JN42" s="193"/>
      <c r="JO42" s="193"/>
      <c r="JP42" s="193"/>
      <c r="JQ42" s="193"/>
      <c r="JR42" s="193"/>
      <c r="JS42" s="193"/>
      <c r="JT42" s="193"/>
      <c r="JU42" s="193"/>
      <c r="JV42" s="193"/>
      <c r="JW42" s="193"/>
      <c r="JX42" s="193"/>
      <c r="JY42" s="193"/>
      <c r="JZ42" s="193"/>
      <c r="KA42" s="193"/>
      <c r="KB42" s="193"/>
      <c r="KC42" s="193"/>
      <c r="KD42" s="193"/>
      <c r="KE42" s="193"/>
      <c r="KF42" s="193"/>
      <c r="KG42" s="193"/>
      <c r="KH42" s="193"/>
      <c r="KI42" s="193"/>
      <c r="KJ42" s="193"/>
      <c r="KK42" s="193"/>
      <c r="KL42" s="193"/>
      <c r="KM42" s="193"/>
      <c r="KN42" s="193"/>
      <c r="KO42" s="193"/>
      <c r="KP42" s="193"/>
      <c r="KQ42" s="193"/>
      <c r="KR42" s="193"/>
      <c r="KS42" s="193"/>
      <c r="KT42" s="193"/>
      <c r="KU42" s="193"/>
      <c r="KV42" s="193"/>
      <c r="KW42" s="193"/>
      <c r="KX42" s="193"/>
      <c r="KY42" s="193"/>
      <c r="KZ42" s="193"/>
      <c r="LA42" s="193"/>
      <c r="LB42" s="193"/>
      <c r="LC42" s="193"/>
      <c r="LD42" s="193"/>
      <c r="LE42" s="193"/>
      <c r="LF42" s="193"/>
      <c r="LG42" s="193"/>
      <c r="LH42" s="193"/>
      <c r="LI42" s="193"/>
      <c r="LJ42" s="193"/>
      <c r="LK42" s="193"/>
      <c r="LL42" s="193"/>
      <c r="LM42" s="193"/>
      <c r="LN42" s="193"/>
      <c r="LO42" s="193"/>
      <c r="LP42" s="193"/>
      <c r="LQ42" s="193"/>
      <c r="LR42" s="193"/>
      <c r="LS42" s="193"/>
      <c r="LT42" s="193"/>
      <c r="LU42" s="193"/>
      <c r="LV42" s="193"/>
      <c r="LW42" s="193"/>
      <c r="LX42" s="193"/>
      <c r="LY42" s="193"/>
      <c r="LZ42" s="193"/>
      <c r="MA42" s="193"/>
      <c r="MB42" s="193"/>
      <c r="MC42" s="193"/>
      <c r="MD42" s="193"/>
      <c r="ME42" s="193"/>
      <c r="MF42" s="193"/>
      <c r="MG42" s="193"/>
      <c r="MH42" s="193"/>
      <c r="MI42" s="193"/>
      <c r="MJ42" s="193"/>
      <c r="MK42" s="193"/>
      <c r="ML42" s="193"/>
      <c r="MM42" s="193"/>
      <c r="MN42" s="193"/>
      <c r="MO42" s="193"/>
      <c r="MP42" s="193"/>
      <c r="MQ42" s="193"/>
      <c r="MR42" s="193"/>
      <c r="MS42" s="193"/>
      <c r="MT42" s="193"/>
      <c r="MU42" s="193"/>
      <c r="MV42" s="193"/>
      <c r="MW42" s="193"/>
      <c r="MX42" s="193"/>
      <c r="MY42" s="193"/>
      <c r="MZ42" s="193"/>
      <c r="NA42" s="193"/>
      <c r="NB42" s="193"/>
      <c r="NC42" s="193"/>
      <c r="ND42" s="193"/>
      <c r="NE42" s="193"/>
      <c r="NF42" s="193"/>
      <c r="NG42" s="193"/>
      <c r="NH42" s="193"/>
      <c r="NI42" s="193"/>
      <c r="NJ42" s="193"/>
      <c r="NK42" s="193"/>
      <c r="NL42" s="193"/>
      <c r="NM42" s="193"/>
      <c r="NN42" s="193"/>
      <c r="NO42" s="193"/>
      <c r="NP42" s="193"/>
      <c r="NQ42" s="193"/>
      <c r="NR42" s="193"/>
      <c r="NS42" s="193"/>
      <c r="NT42" s="193"/>
      <c r="NU42" s="193"/>
      <c r="NV42" s="193"/>
      <c r="NW42" s="193"/>
      <c r="NX42" s="193"/>
      <c r="NY42" s="193"/>
      <c r="NZ42" s="193"/>
      <c r="OA42" s="193"/>
      <c r="OB42" s="193"/>
      <c r="OC42" s="193"/>
      <c r="OD42" s="193"/>
      <c r="OE42" s="193"/>
      <c r="OF42" s="193"/>
      <c r="OG42" s="193"/>
      <c r="OH42" s="193"/>
      <c r="OI42" s="193"/>
      <c r="OJ42" s="193"/>
      <c r="OK42" s="193"/>
      <c r="OL42" s="193"/>
      <c r="OM42" s="193"/>
      <c r="ON42" s="193"/>
      <c r="OO42" s="193"/>
      <c r="OP42" s="193"/>
      <c r="OQ42" s="193"/>
      <c r="OR42" s="193"/>
      <c r="OS42" s="193"/>
      <c r="OT42" s="193"/>
      <c r="OU42" s="193"/>
      <c r="OV42" s="193"/>
      <c r="OW42" s="193"/>
      <c r="OX42" s="193"/>
      <c r="OY42" s="193"/>
      <c r="OZ42" s="193"/>
      <c r="PA42" s="193"/>
      <c r="PB42" s="193"/>
      <c r="PC42" s="193"/>
      <c r="PD42" s="193"/>
      <c r="PE42" s="193"/>
      <c r="PF42" s="193"/>
      <c r="PG42" s="193"/>
      <c r="PH42" s="193"/>
      <c r="PI42" s="193"/>
      <c r="PJ42" s="193"/>
      <c r="PK42" s="193"/>
      <c r="PL42" s="193"/>
      <c r="PM42" s="193"/>
      <c r="PN42" s="193"/>
      <c r="PO42" s="193"/>
      <c r="PP42" s="193"/>
      <c r="PQ42" s="193"/>
      <c r="PR42" s="193"/>
      <c r="PS42" s="193"/>
      <c r="PT42" s="193"/>
      <c r="PU42" s="193"/>
      <c r="PV42" s="193"/>
      <c r="PW42" s="193"/>
      <c r="PX42" s="193"/>
      <c r="PY42" s="193"/>
      <c r="PZ42" s="193"/>
      <c r="QA42" s="193"/>
      <c r="QB42" s="193"/>
      <c r="QC42" s="193"/>
      <c r="QD42" s="193"/>
      <c r="QE42" s="193"/>
      <c r="QF42" s="193"/>
      <c r="QG42" s="193"/>
      <c r="QH42" s="193"/>
      <c r="QI42" s="193"/>
      <c r="QJ42" s="193"/>
      <c r="QK42" s="193"/>
      <c r="QL42" s="193"/>
      <c r="QM42" s="193"/>
      <c r="QN42" s="193"/>
      <c r="QO42" s="193"/>
      <c r="QP42" s="193"/>
      <c r="QQ42" s="193"/>
      <c r="QR42" s="193"/>
      <c r="QS42" s="193"/>
      <c r="QT42" s="193"/>
      <c r="QU42" s="193"/>
      <c r="QV42" s="193"/>
      <c r="QW42" s="193"/>
      <c r="QX42" s="193"/>
      <c r="QY42" s="193"/>
      <c r="QZ42" s="193"/>
      <c r="RA42" s="193"/>
      <c r="RB42" s="193"/>
      <c r="RC42" s="193"/>
      <c r="RD42" s="193"/>
      <c r="RE42" s="193"/>
      <c r="RF42" s="193"/>
      <c r="RG42" s="193"/>
      <c r="RH42" s="193"/>
      <c r="RI42" s="193"/>
      <c r="RJ42" s="193"/>
      <c r="RK42" s="193"/>
      <c r="RL42" s="193"/>
      <c r="RM42" s="193"/>
      <c r="RN42" s="193"/>
      <c r="RO42" s="193"/>
      <c r="RP42" s="193"/>
      <c r="RQ42" s="193"/>
      <c r="RR42" s="193"/>
      <c r="RS42" s="193"/>
      <c r="RT42" s="193"/>
      <c r="RU42" s="193"/>
      <c r="RV42" s="193"/>
      <c r="RW42" s="193"/>
      <c r="RX42" s="193"/>
      <c r="RY42" s="193"/>
      <c r="RZ42" s="193"/>
      <c r="SA42" s="193"/>
      <c r="SB42" s="193"/>
      <c r="SC42" s="193"/>
      <c r="SD42" s="193"/>
      <c r="SE42" s="193"/>
      <c r="SF42" s="193"/>
      <c r="SG42" s="193"/>
      <c r="SH42" s="193"/>
      <c r="SI42" s="193"/>
      <c r="SJ42" s="193"/>
      <c r="SK42" s="193"/>
      <c r="SL42" s="193"/>
      <c r="SM42" s="193"/>
      <c r="SN42" s="193"/>
      <c r="SO42" s="193"/>
      <c r="SP42" s="193"/>
      <c r="SQ42" s="193"/>
      <c r="SR42" s="193"/>
      <c r="SS42" s="193"/>
      <c r="ST42" s="193"/>
      <c r="SU42" s="193"/>
      <c r="SV42" s="193"/>
      <c r="SW42" s="193"/>
      <c r="SX42" s="193"/>
      <c r="SY42" s="193"/>
      <c r="SZ42" s="193"/>
      <c r="TA42" s="193"/>
      <c r="TB42" s="193"/>
      <c r="TC42" s="193"/>
      <c r="TD42" s="193"/>
      <c r="TE42" s="193"/>
      <c r="TF42" s="193"/>
      <c r="TG42" s="193"/>
      <c r="TH42" s="193"/>
      <c r="TI42" s="193"/>
      <c r="TJ42" s="193"/>
      <c r="TK42" s="193"/>
      <c r="TL42" s="193"/>
      <c r="TM42" s="193"/>
      <c r="TN42" s="193"/>
      <c r="TO42" s="193"/>
      <c r="TP42" s="193"/>
      <c r="TQ42" s="193"/>
      <c r="TR42" s="193"/>
      <c r="TS42" s="193"/>
      <c r="TT42" s="193"/>
      <c r="TU42" s="193"/>
      <c r="TV42" s="193"/>
      <c r="TW42" s="193"/>
      <c r="TX42" s="193"/>
      <c r="TY42" s="193"/>
      <c r="TZ42" s="193"/>
      <c r="UA42" s="193"/>
      <c r="UB42" s="193"/>
      <c r="UC42" s="193"/>
      <c r="UD42" s="193"/>
      <c r="UE42" s="193"/>
      <c r="UF42" s="193"/>
      <c r="UG42" s="193"/>
      <c r="UH42" s="193"/>
      <c r="UI42" s="193"/>
      <c r="UJ42" s="193"/>
      <c r="UK42" s="193"/>
      <c r="UL42" s="193"/>
      <c r="UM42" s="193"/>
      <c r="UN42" s="193"/>
      <c r="UO42" s="193"/>
      <c r="UP42" s="193"/>
      <c r="UQ42" s="193"/>
      <c r="UR42" s="193"/>
      <c r="US42" s="193"/>
      <c r="UT42" s="193"/>
      <c r="UU42" s="193"/>
      <c r="UV42" s="193"/>
      <c r="UW42" s="193"/>
      <c r="UX42" s="193"/>
      <c r="UY42" s="193"/>
      <c r="UZ42" s="193"/>
      <c r="VA42" s="193"/>
      <c r="VB42" s="193"/>
      <c r="VC42" s="193"/>
      <c r="VD42" s="193"/>
      <c r="VE42" s="193"/>
      <c r="VF42" s="193"/>
      <c r="VG42" s="193"/>
      <c r="VH42" s="193"/>
      <c r="VI42" s="193"/>
      <c r="VJ42" s="193"/>
      <c r="VK42" s="193"/>
      <c r="VL42" s="193"/>
      <c r="VM42" s="193"/>
      <c r="VN42" s="193"/>
      <c r="VO42" s="193"/>
      <c r="VP42" s="193"/>
      <c r="VQ42" s="193"/>
      <c r="VR42" s="193"/>
      <c r="VS42" s="193"/>
      <c r="VT42" s="193"/>
      <c r="VU42" s="193"/>
      <c r="VV42" s="193"/>
      <c r="VW42" s="193"/>
      <c r="VX42" s="193"/>
      <c r="VY42" s="193"/>
      <c r="VZ42" s="193"/>
      <c r="WA42" s="193"/>
      <c r="WB42" s="193"/>
      <c r="WC42" s="193"/>
      <c r="WD42" s="193"/>
      <c r="WE42" s="193"/>
      <c r="WF42" s="193"/>
      <c r="WG42" s="193"/>
      <c r="WH42" s="193"/>
      <c r="WI42" s="193"/>
      <c r="WJ42" s="193"/>
      <c r="WK42" s="193"/>
      <c r="WL42" s="193"/>
      <c r="WM42" s="193"/>
      <c r="WN42" s="193"/>
      <c r="WO42" s="193"/>
      <c r="WP42" s="193"/>
      <c r="WQ42" s="193"/>
      <c r="WR42" s="193"/>
      <c r="WS42" s="193"/>
      <c r="WT42" s="193"/>
      <c r="WU42" s="193"/>
      <c r="WV42" s="193"/>
      <c r="WW42" s="193"/>
      <c r="WX42" s="193"/>
      <c r="WY42" s="193"/>
      <c r="WZ42" s="193"/>
      <c r="XA42" s="193"/>
      <c r="XB42" s="193"/>
      <c r="XC42" s="193"/>
      <c r="XD42" s="193"/>
      <c r="XE42" s="193"/>
      <c r="XF42" s="193"/>
      <c r="XG42" s="193"/>
      <c r="XH42" s="193"/>
      <c r="XI42" s="193"/>
      <c r="XJ42" s="193"/>
      <c r="XK42" s="193"/>
      <c r="XL42" s="193"/>
      <c r="XM42" s="193"/>
      <c r="XN42" s="193"/>
      <c r="XO42" s="193"/>
      <c r="XP42" s="193"/>
      <c r="XQ42" s="193"/>
      <c r="XR42" s="193"/>
      <c r="XS42" s="193"/>
      <c r="XT42" s="193"/>
      <c r="XU42" s="193"/>
      <c r="XV42" s="193"/>
      <c r="XW42" s="193"/>
      <c r="XX42" s="193"/>
      <c r="XY42" s="193"/>
      <c r="XZ42" s="193"/>
      <c r="YA42" s="193"/>
      <c r="YB42" s="193"/>
      <c r="YC42" s="193"/>
      <c r="YD42" s="193"/>
      <c r="YE42" s="193"/>
      <c r="YF42" s="193"/>
      <c r="YG42" s="193"/>
      <c r="YH42" s="193"/>
      <c r="YI42" s="193"/>
      <c r="YJ42" s="193"/>
      <c r="YK42" s="193"/>
      <c r="YL42" s="193"/>
      <c r="YM42" s="193"/>
      <c r="YN42" s="193"/>
      <c r="YO42" s="193"/>
      <c r="YP42" s="193"/>
      <c r="YQ42" s="193"/>
      <c r="YR42" s="193"/>
      <c r="YS42" s="193"/>
      <c r="YT42" s="193"/>
      <c r="YU42" s="193"/>
      <c r="YV42" s="193"/>
      <c r="YW42" s="193"/>
      <c r="YX42" s="193"/>
      <c r="YY42" s="193"/>
      <c r="YZ42" s="193"/>
      <c r="ZA42" s="193"/>
      <c r="ZB42" s="193"/>
      <c r="ZC42" s="193"/>
      <c r="ZD42" s="193"/>
      <c r="ZE42" s="193"/>
      <c r="ZF42" s="193"/>
      <c r="ZG42" s="193"/>
      <c r="ZH42" s="193"/>
      <c r="ZI42" s="193"/>
      <c r="ZJ42" s="193"/>
      <c r="ZK42" s="193"/>
      <c r="ZL42" s="193"/>
      <c r="ZM42" s="193"/>
      <c r="ZN42" s="193"/>
      <c r="ZO42" s="193"/>
      <c r="ZP42" s="193"/>
      <c r="ZQ42" s="193"/>
      <c r="ZR42" s="193"/>
      <c r="ZS42" s="193"/>
      <c r="ZT42" s="193"/>
      <c r="ZU42" s="193"/>
      <c r="ZV42" s="193"/>
      <c r="ZW42" s="193"/>
      <c r="ZX42" s="193"/>
      <c r="ZY42" s="193"/>
      <c r="ZZ42" s="193"/>
      <c r="AAA42" s="193"/>
      <c r="AAB42" s="193"/>
      <c r="AAC42" s="193"/>
      <c r="AAD42" s="193"/>
      <c r="AAE42" s="193"/>
      <c r="AAF42" s="193"/>
      <c r="AAG42" s="193"/>
      <c r="AAH42" s="193"/>
      <c r="AAI42" s="193"/>
      <c r="AAJ42" s="193"/>
      <c r="AAK42" s="193"/>
      <c r="AAL42" s="193"/>
      <c r="AAM42" s="193"/>
      <c r="AAN42" s="193"/>
      <c r="AAO42" s="193"/>
      <c r="AAP42" s="193"/>
      <c r="AAQ42" s="193"/>
      <c r="AAR42" s="193"/>
      <c r="AAS42" s="193"/>
      <c r="AAT42" s="193"/>
      <c r="AAU42" s="193"/>
      <c r="AAV42" s="193"/>
      <c r="AAW42" s="193"/>
      <c r="AAX42" s="193"/>
      <c r="AAY42" s="193"/>
      <c r="AAZ42" s="193"/>
      <c r="ABA42" s="193"/>
      <c r="ABB42" s="193"/>
      <c r="ABC42" s="193"/>
      <c r="ABD42" s="193"/>
      <c r="ABE42" s="193"/>
      <c r="ABF42" s="193"/>
      <c r="ABG42" s="193"/>
      <c r="ABH42" s="193"/>
      <c r="ABI42" s="193"/>
      <c r="ABJ42" s="193"/>
      <c r="ABK42" s="193"/>
      <c r="ABL42" s="193"/>
      <c r="ABM42" s="193"/>
      <c r="ABN42" s="193"/>
      <c r="ABO42" s="193"/>
      <c r="ABP42" s="193"/>
      <c r="ABQ42" s="193"/>
      <c r="ABR42" s="193"/>
      <c r="ABS42" s="193"/>
      <c r="ABT42" s="193"/>
      <c r="ABU42" s="193"/>
      <c r="ABV42" s="193"/>
      <c r="ABW42" s="193"/>
      <c r="ABX42" s="193"/>
      <c r="ABY42" s="193"/>
      <c r="ABZ42" s="193"/>
      <c r="ACA42" s="193"/>
      <c r="ACB42" s="193"/>
      <c r="ACC42" s="193"/>
      <c r="ACD42" s="193"/>
      <c r="ACE42" s="193"/>
      <c r="ACF42" s="193"/>
      <c r="ACG42" s="193"/>
      <c r="ACH42" s="193"/>
      <c r="ACI42" s="193"/>
      <c r="ACJ42" s="193"/>
      <c r="ACK42" s="193"/>
      <c r="ACL42" s="193"/>
      <c r="ACM42" s="193"/>
      <c r="ACN42" s="193"/>
      <c r="ACO42" s="193"/>
      <c r="ACP42" s="193"/>
      <c r="ACQ42" s="193"/>
      <c r="ACR42" s="193"/>
      <c r="ACS42" s="193"/>
      <c r="ACT42" s="193"/>
      <c r="ACU42" s="193"/>
      <c r="ACV42" s="193"/>
      <c r="ACW42" s="193"/>
      <c r="ACX42" s="193"/>
      <c r="ACY42" s="193"/>
      <c r="ACZ42" s="193"/>
      <c r="ADA42" s="193"/>
      <c r="ADB42" s="193"/>
      <c r="ADC42" s="193"/>
      <c r="ADD42" s="193"/>
      <c r="ADE42" s="193"/>
      <c r="ADF42" s="193"/>
      <c r="ADG42" s="193"/>
      <c r="ADH42" s="193"/>
      <c r="ADI42" s="193"/>
      <c r="ADJ42" s="193"/>
      <c r="ADK42" s="193"/>
      <c r="ADL42" s="193"/>
      <c r="ADM42" s="193"/>
      <c r="ADN42" s="193"/>
      <c r="ADO42" s="193"/>
      <c r="ADP42" s="193"/>
      <c r="ADQ42" s="193"/>
      <c r="ADR42" s="193"/>
      <c r="ADS42" s="193"/>
      <c r="ADT42" s="193"/>
      <c r="ADU42" s="193"/>
      <c r="ADV42" s="193"/>
      <c r="ADW42" s="193"/>
      <c r="ADX42" s="193"/>
      <c r="ADY42" s="193"/>
      <c r="ADZ42" s="193"/>
      <c r="AEA42" s="193"/>
      <c r="AEB42" s="193"/>
      <c r="AEC42" s="193"/>
      <c r="AED42" s="193"/>
      <c r="AEE42" s="193"/>
      <c r="AEF42" s="193"/>
      <c r="AEG42" s="193"/>
      <c r="AEH42" s="193"/>
      <c r="AEI42" s="193"/>
      <c r="AEJ42" s="193"/>
      <c r="AEK42" s="193"/>
      <c r="AEL42" s="193"/>
      <c r="AEM42" s="193"/>
      <c r="AEN42" s="193"/>
      <c r="AEO42" s="193"/>
      <c r="AEP42" s="193"/>
      <c r="AEQ42" s="193"/>
      <c r="AER42" s="193"/>
      <c r="AES42" s="193"/>
      <c r="AET42" s="193"/>
      <c r="AEU42" s="193"/>
      <c r="AEV42" s="193"/>
      <c r="AEW42" s="193"/>
      <c r="AEX42" s="193"/>
      <c r="AEY42" s="193"/>
      <c r="AEZ42" s="193"/>
      <c r="AFA42" s="193"/>
      <c r="AFB42" s="193"/>
      <c r="AFC42" s="193"/>
      <c r="AFD42" s="193"/>
      <c r="AFE42" s="193"/>
      <c r="AFF42" s="193"/>
      <c r="AFG42" s="193"/>
      <c r="AFH42" s="193"/>
      <c r="AFI42" s="193"/>
      <c r="AFJ42" s="193"/>
      <c r="AFK42" s="193"/>
      <c r="AFL42" s="193"/>
      <c r="AFM42" s="193"/>
      <c r="AFN42" s="193"/>
      <c r="AFO42" s="193"/>
      <c r="AFP42" s="193"/>
      <c r="AFQ42" s="193"/>
      <c r="AFR42" s="193"/>
      <c r="AFS42" s="193"/>
      <c r="AFT42" s="193"/>
      <c r="AFU42" s="193"/>
      <c r="AFV42" s="193"/>
      <c r="AFW42" s="193"/>
      <c r="AFX42" s="193"/>
      <c r="AFY42" s="193"/>
      <c r="AFZ42" s="193"/>
      <c r="AGA42" s="193"/>
      <c r="AGB42" s="193"/>
      <c r="AGC42" s="193"/>
      <c r="AGD42" s="193"/>
      <c r="AGE42" s="193"/>
      <c r="AGF42" s="193"/>
      <c r="AGG42" s="193"/>
      <c r="AGH42" s="193"/>
      <c r="AGI42" s="193"/>
      <c r="AGJ42" s="193"/>
      <c r="AGK42" s="193"/>
      <c r="AGL42" s="193"/>
      <c r="AGM42" s="193"/>
      <c r="AGN42" s="193"/>
      <c r="AGO42" s="193"/>
      <c r="AGP42" s="193"/>
      <c r="AGQ42" s="193"/>
      <c r="AGR42" s="193"/>
      <c r="AGS42" s="193"/>
      <c r="AGT42" s="193"/>
      <c r="AGU42" s="193"/>
      <c r="AGV42" s="193"/>
      <c r="AGW42" s="193"/>
      <c r="AGX42" s="193"/>
      <c r="AGY42" s="193"/>
      <c r="AGZ42" s="193"/>
      <c r="AHA42" s="193"/>
      <c r="AHB42" s="193"/>
      <c r="AHC42" s="193"/>
      <c r="AHD42" s="193"/>
      <c r="AHE42" s="193"/>
      <c r="AHF42" s="193"/>
      <c r="AHG42" s="193"/>
      <c r="AHH42" s="193"/>
      <c r="AHI42" s="193"/>
      <c r="AHJ42" s="193"/>
      <c r="AHK42" s="193"/>
      <c r="AHL42" s="193"/>
      <c r="AHM42" s="193"/>
      <c r="AHN42" s="193"/>
      <c r="AHO42" s="193"/>
      <c r="AHP42" s="193"/>
      <c r="AHQ42" s="193"/>
      <c r="AHR42" s="193"/>
      <c r="AHS42" s="193"/>
      <c r="AHT42" s="193"/>
      <c r="AHU42" s="193"/>
      <c r="AHV42" s="193"/>
      <c r="AHW42" s="193"/>
      <c r="AHX42" s="193"/>
      <c r="AHY42" s="193"/>
      <c r="AHZ42" s="193"/>
      <c r="AIA42" s="193"/>
      <c r="AIB42" s="193"/>
      <c r="AIC42" s="193"/>
      <c r="AID42" s="193"/>
      <c r="AIE42" s="193"/>
      <c r="AIF42" s="193"/>
      <c r="AIG42" s="193"/>
      <c r="AIH42" s="193"/>
      <c r="AII42" s="193"/>
      <c r="AIJ42" s="193"/>
      <c r="AIK42" s="193"/>
      <c r="AIL42" s="193"/>
      <c r="AIM42" s="193"/>
      <c r="AIN42" s="193"/>
      <c r="AIO42" s="193"/>
      <c r="AIP42" s="193"/>
      <c r="AIQ42" s="193"/>
      <c r="AIR42" s="193"/>
      <c r="AIS42" s="193"/>
      <c r="AIT42" s="193"/>
      <c r="AIU42" s="193"/>
      <c r="AIV42" s="193"/>
      <c r="AIW42" s="193"/>
      <c r="AIX42" s="193"/>
      <c r="AIY42" s="193"/>
      <c r="AIZ42" s="193"/>
      <c r="AJA42" s="193"/>
      <c r="AJB42" s="193"/>
      <c r="AJC42" s="193"/>
      <c r="AJD42" s="193"/>
      <c r="AJE42" s="193"/>
      <c r="AJF42" s="193"/>
      <c r="AJG42" s="193"/>
      <c r="AJH42" s="193"/>
      <c r="AJI42" s="193"/>
      <c r="AJJ42" s="193"/>
      <c r="AJK42" s="193"/>
      <c r="AJL42" s="193"/>
      <c r="AJM42" s="193"/>
      <c r="AJN42" s="193"/>
      <c r="AJO42" s="193"/>
      <c r="AJP42" s="193"/>
      <c r="AJQ42" s="193"/>
      <c r="AJR42" s="193"/>
      <c r="AJS42" s="193"/>
      <c r="AJT42" s="193"/>
      <c r="AJU42" s="193"/>
      <c r="AJV42" s="193"/>
      <c r="AJW42" s="193"/>
      <c r="AJX42" s="193"/>
      <c r="AJY42" s="193"/>
      <c r="AJZ42" s="193"/>
      <c r="AKA42" s="193"/>
      <c r="AKB42" s="193"/>
      <c r="AKC42" s="193"/>
      <c r="AKD42" s="193"/>
      <c r="AKE42" s="193"/>
      <c r="AKF42" s="193"/>
      <c r="AKG42" s="193"/>
      <c r="AKH42" s="193"/>
      <c r="AKI42" s="193"/>
      <c r="AKJ42" s="193"/>
      <c r="AKK42" s="193"/>
      <c r="AKL42" s="193"/>
      <c r="AKM42" s="193"/>
      <c r="AKN42" s="193"/>
      <c r="AKO42" s="193"/>
      <c r="AKP42" s="193"/>
      <c r="AKQ42" s="193"/>
      <c r="AKR42" s="193"/>
      <c r="AKS42" s="193"/>
      <c r="AKT42" s="193"/>
      <c r="AKU42" s="193"/>
      <c r="AKV42" s="193"/>
      <c r="AKW42" s="193"/>
      <c r="AKX42" s="193"/>
      <c r="AKY42" s="193"/>
      <c r="AKZ42" s="193"/>
      <c r="ALA42" s="193"/>
      <c r="ALB42" s="193"/>
      <c r="ALC42" s="193"/>
      <c r="ALD42" s="193"/>
      <c r="ALE42" s="193"/>
      <c r="ALF42" s="193"/>
      <c r="ALG42" s="193"/>
      <c r="ALH42" s="193"/>
      <c r="ALI42" s="193"/>
      <c r="ALJ42" s="193"/>
      <c r="ALK42" s="193"/>
      <c r="ALL42" s="193"/>
      <c r="ALM42" s="193"/>
      <c r="ALN42" s="193"/>
      <c r="ALO42" s="193"/>
      <c r="ALP42" s="193"/>
      <c r="ALQ42" s="193"/>
      <c r="ALR42" s="193"/>
      <c r="ALS42" s="193"/>
      <c r="ALT42" s="193"/>
      <c r="ALU42" s="193"/>
      <c r="ALV42" s="193"/>
      <c r="ALW42" s="193"/>
      <c r="ALX42" s="193"/>
      <c r="ALY42" s="193"/>
      <c r="ALZ42" s="193"/>
      <c r="AMA42" s="193"/>
      <c r="AMB42" s="193"/>
      <c r="AMC42" s="193"/>
      <c r="AMD42" s="193"/>
      <c r="AME42" s="193"/>
      <c r="AMF42" s="193"/>
      <c r="AMG42" s="193"/>
      <c r="AMH42" s="193"/>
      <c r="AMI42" s="193"/>
      <c r="AMJ42" s="193"/>
      <c r="AMK42" s="193"/>
      <c r="AML42" s="193"/>
      <c r="AMM42" s="193"/>
      <c r="AMN42" s="193"/>
      <c r="AMO42" s="193"/>
      <c r="AMP42" s="193"/>
      <c r="AMQ42" s="193"/>
      <c r="AMR42" s="193"/>
      <c r="AMS42" s="193"/>
      <c r="AMT42" s="193"/>
      <c r="AMU42" s="193"/>
      <c r="AMV42" s="193"/>
      <c r="AMW42" s="193"/>
      <c r="AMX42" s="193"/>
      <c r="AMY42" s="193"/>
      <c r="AMZ42" s="193"/>
      <c r="ANA42" s="193"/>
      <c r="ANB42" s="193"/>
      <c r="ANC42" s="193"/>
      <c r="AND42" s="193"/>
      <c r="ANE42" s="193"/>
      <c r="ANF42" s="193"/>
      <c r="ANG42" s="193"/>
      <c r="ANH42" s="193"/>
      <c r="ANI42" s="193"/>
      <c r="ANJ42" s="193"/>
      <c r="ANK42" s="193"/>
      <c r="ANL42" s="193"/>
      <c r="ANM42" s="193"/>
      <c r="ANN42" s="193"/>
      <c r="ANO42" s="193"/>
      <c r="ANP42" s="193"/>
      <c r="ANQ42" s="193"/>
      <c r="ANR42" s="193"/>
      <c r="ANS42" s="193"/>
      <c r="ANT42" s="193"/>
      <c r="ANU42" s="193"/>
      <c r="ANV42" s="193"/>
      <c r="ANW42" s="193"/>
      <c r="ANX42" s="193"/>
      <c r="ANY42" s="193"/>
      <c r="ANZ42" s="193"/>
      <c r="AOA42" s="193"/>
      <c r="AOB42" s="193"/>
      <c r="AOC42" s="193"/>
      <c r="AOD42" s="193"/>
      <c r="AOE42" s="193"/>
      <c r="AOF42" s="193"/>
      <c r="AOG42" s="193"/>
      <c r="AOH42" s="193"/>
      <c r="AOI42" s="193"/>
      <c r="AOJ42" s="193"/>
      <c r="AOK42" s="193"/>
      <c r="AOL42" s="193"/>
      <c r="AOM42" s="193"/>
      <c r="AON42" s="193"/>
      <c r="AOO42" s="193"/>
      <c r="AOP42" s="193"/>
      <c r="AOQ42" s="193"/>
      <c r="AOR42" s="193"/>
      <c r="AOS42" s="193"/>
      <c r="AOT42" s="193"/>
      <c r="AOU42" s="193"/>
      <c r="AOV42" s="193"/>
      <c r="AOW42" s="193"/>
      <c r="AOX42" s="193"/>
      <c r="AOY42" s="193"/>
      <c r="AOZ42" s="193"/>
      <c r="APA42" s="193"/>
      <c r="APB42" s="193"/>
      <c r="APC42" s="193"/>
      <c r="APD42" s="193"/>
      <c r="APE42" s="193"/>
      <c r="APF42" s="193"/>
      <c r="APG42" s="193"/>
      <c r="APH42" s="193"/>
      <c r="API42" s="193"/>
      <c r="APJ42" s="193"/>
      <c r="APK42" s="193"/>
      <c r="APL42" s="193"/>
      <c r="APM42" s="193"/>
      <c r="APN42" s="193"/>
      <c r="APO42" s="193"/>
      <c r="APP42" s="193"/>
      <c r="APQ42" s="193"/>
      <c r="APR42" s="193"/>
      <c r="APS42" s="193"/>
      <c r="APT42" s="193"/>
      <c r="APU42" s="193"/>
      <c r="APV42" s="193"/>
      <c r="APW42" s="193"/>
      <c r="APX42" s="193"/>
      <c r="APY42" s="193"/>
      <c r="APZ42" s="193"/>
      <c r="AQA42" s="193"/>
      <c r="AQB42" s="193"/>
      <c r="AQC42" s="193"/>
      <c r="AQD42" s="193"/>
      <c r="AQE42" s="193"/>
      <c r="AQF42" s="193"/>
      <c r="AQG42" s="193"/>
      <c r="AQH42" s="193"/>
      <c r="AQI42" s="193"/>
      <c r="AQJ42" s="193"/>
      <c r="AQK42" s="193"/>
      <c r="AQL42" s="193"/>
      <c r="AQM42" s="193"/>
      <c r="AQN42" s="193"/>
      <c r="AQO42" s="193"/>
      <c r="AQP42" s="193"/>
      <c r="AQQ42" s="193"/>
      <c r="AQR42" s="193"/>
      <c r="AQS42" s="193"/>
      <c r="AQT42" s="193"/>
      <c r="AQU42" s="193"/>
      <c r="AQV42" s="193"/>
      <c r="AQW42" s="193"/>
      <c r="AQX42" s="193"/>
      <c r="AQY42" s="193"/>
      <c r="AQZ42" s="193"/>
      <c r="ARA42" s="193"/>
      <c r="ARB42" s="193"/>
      <c r="ARC42" s="193"/>
      <c r="ARD42" s="193"/>
      <c r="ARE42" s="193"/>
      <c r="ARF42" s="193"/>
      <c r="ARG42" s="193"/>
      <c r="ARH42" s="193"/>
      <c r="ARI42" s="193"/>
      <c r="ARJ42" s="193"/>
      <c r="ARK42" s="193"/>
      <c r="ARL42" s="193"/>
      <c r="ARM42" s="193"/>
      <c r="ARN42" s="193"/>
      <c r="ARO42" s="193"/>
      <c r="ARP42" s="193"/>
      <c r="ARQ42" s="193"/>
      <c r="ARR42" s="193"/>
      <c r="ARS42" s="193"/>
      <c r="ART42" s="193"/>
      <c r="ARU42" s="193"/>
      <c r="ARV42" s="193"/>
      <c r="ARW42" s="193"/>
      <c r="ARX42" s="193"/>
      <c r="ARY42" s="193"/>
      <c r="ARZ42" s="193"/>
      <c r="ASA42" s="193"/>
      <c r="ASB42" s="193"/>
      <c r="ASC42" s="193"/>
      <c r="ASD42" s="193"/>
      <c r="ASE42" s="193"/>
      <c r="ASF42" s="193"/>
      <c r="ASG42" s="193"/>
      <c r="ASH42" s="193"/>
      <c r="ASI42" s="193"/>
      <c r="ASJ42" s="193"/>
      <c r="ASK42" s="193"/>
      <c r="ASL42" s="193"/>
      <c r="ASM42" s="193"/>
      <c r="ASN42" s="193"/>
      <c r="ASO42" s="193"/>
      <c r="ASP42" s="193"/>
      <c r="ASQ42" s="193"/>
      <c r="ASR42" s="193"/>
      <c r="ASS42" s="193"/>
      <c r="AST42" s="193"/>
      <c r="ASU42" s="193"/>
      <c r="ASV42" s="193"/>
      <c r="ASW42" s="193"/>
      <c r="ASX42" s="193"/>
      <c r="ASY42" s="193"/>
      <c r="ASZ42" s="193"/>
      <c r="ATA42" s="193"/>
      <c r="ATB42" s="193"/>
      <c r="ATC42" s="193"/>
      <c r="ATD42" s="193"/>
      <c r="ATE42" s="193"/>
      <c r="ATF42" s="193"/>
      <c r="ATG42" s="193"/>
      <c r="ATH42" s="193"/>
      <c r="ATI42" s="193"/>
      <c r="ATJ42" s="193"/>
      <c r="ATK42" s="193"/>
      <c r="ATL42" s="193"/>
      <c r="ATM42" s="193"/>
      <c r="ATN42" s="193"/>
      <c r="ATO42" s="193"/>
      <c r="ATP42" s="193"/>
      <c r="ATQ42" s="193"/>
      <c r="ATR42" s="193"/>
      <c r="ATS42" s="193"/>
      <c r="ATT42" s="193"/>
      <c r="ATU42" s="193"/>
      <c r="ATV42" s="193"/>
      <c r="ATW42" s="193"/>
      <c r="ATX42" s="193"/>
      <c r="ATY42" s="193"/>
      <c r="ATZ42" s="193"/>
      <c r="AUA42" s="193"/>
      <c r="AUB42" s="193"/>
      <c r="AUC42" s="193"/>
      <c r="AUD42" s="193"/>
      <c r="AUE42" s="193"/>
      <c r="AUF42" s="193"/>
      <c r="AUG42" s="193"/>
      <c r="AUH42" s="193"/>
      <c r="AUI42" s="193"/>
      <c r="AUJ42" s="193"/>
      <c r="AUK42" s="193"/>
      <c r="AUL42" s="193"/>
      <c r="AUM42" s="193"/>
      <c r="AUN42" s="193"/>
      <c r="AUO42" s="193"/>
      <c r="AUP42" s="193"/>
      <c r="AUQ42" s="193"/>
      <c r="AUR42" s="193"/>
      <c r="AUS42" s="193"/>
      <c r="AUT42" s="193"/>
      <c r="AUU42" s="193"/>
      <c r="AUV42" s="193"/>
      <c r="AUW42" s="193"/>
      <c r="AUX42" s="193"/>
      <c r="AUY42" s="193"/>
      <c r="AUZ42" s="193"/>
      <c r="AVA42" s="193"/>
      <c r="AVB42" s="193"/>
      <c r="AVC42" s="193"/>
      <c r="AVD42" s="193"/>
      <c r="AVE42" s="193"/>
      <c r="AVF42" s="193"/>
      <c r="AVG42" s="193"/>
      <c r="AVH42" s="193"/>
      <c r="AVI42" s="193"/>
      <c r="AVJ42" s="193"/>
      <c r="AVK42" s="193"/>
      <c r="AVL42" s="193"/>
      <c r="AVM42" s="193"/>
      <c r="AVN42" s="193"/>
      <c r="AVO42" s="193"/>
      <c r="AVP42" s="193"/>
      <c r="AVQ42" s="193"/>
      <c r="AVR42" s="193"/>
      <c r="AVS42" s="193"/>
      <c r="AVT42" s="193"/>
      <c r="AVU42" s="193"/>
      <c r="AVV42" s="193"/>
      <c r="AVW42" s="193"/>
      <c r="AVX42" s="193"/>
      <c r="AVY42" s="193"/>
      <c r="AVZ42" s="193"/>
      <c r="AWA42" s="193"/>
      <c r="AWB42" s="193"/>
      <c r="AWC42" s="193"/>
      <c r="AWD42" s="193"/>
      <c r="AWE42" s="193"/>
      <c r="AWF42" s="193"/>
      <c r="AWG42" s="193"/>
      <c r="AWH42" s="193"/>
      <c r="AWI42" s="193"/>
      <c r="AWJ42" s="193"/>
      <c r="AWK42" s="193"/>
      <c r="AWL42" s="193"/>
      <c r="AWM42" s="193"/>
      <c r="AWN42" s="193"/>
      <c r="AWO42" s="193"/>
      <c r="AWP42" s="193"/>
      <c r="AWQ42" s="193"/>
      <c r="AWR42" s="193"/>
      <c r="AWS42" s="193"/>
      <c r="AWT42" s="193"/>
      <c r="AWU42" s="193"/>
      <c r="AWV42" s="193"/>
      <c r="AWW42" s="193"/>
      <c r="AWX42" s="193"/>
      <c r="AWY42" s="193"/>
      <c r="AWZ42" s="193"/>
      <c r="AXA42" s="193"/>
      <c r="AXB42" s="193"/>
      <c r="AXC42" s="193"/>
      <c r="AXD42" s="193"/>
      <c r="AXE42" s="193"/>
      <c r="AXF42" s="193"/>
      <c r="AXG42" s="193"/>
      <c r="AXH42" s="193"/>
      <c r="AXI42" s="193"/>
      <c r="AXJ42" s="193"/>
      <c r="AXK42" s="193"/>
      <c r="AXL42" s="193"/>
      <c r="AXM42" s="193"/>
      <c r="AXN42" s="193"/>
      <c r="AXO42" s="193"/>
      <c r="AXP42" s="193"/>
      <c r="AXQ42" s="193"/>
      <c r="AXR42" s="193"/>
      <c r="AXS42" s="193"/>
      <c r="AXT42" s="193"/>
      <c r="AXU42" s="193"/>
      <c r="AXV42" s="193"/>
      <c r="AXW42" s="193"/>
      <c r="AXX42" s="193"/>
      <c r="AXY42" s="193"/>
      <c r="AXZ42" s="193"/>
      <c r="AYA42" s="193"/>
      <c r="AYB42" s="193"/>
      <c r="AYC42" s="193"/>
      <c r="AYD42" s="193"/>
      <c r="AYE42" s="193"/>
      <c r="AYF42" s="193"/>
      <c r="AYG42" s="193"/>
      <c r="AYH42" s="193"/>
      <c r="AYI42" s="193"/>
      <c r="AYJ42" s="193"/>
      <c r="AYK42" s="193"/>
      <c r="AYL42" s="193"/>
      <c r="AYM42" s="193"/>
      <c r="AYN42" s="193"/>
      <c r="AYO42" s="193"/>
      <c r="AYP42" s="193"/>
      <c r="AYQ42" s="193"/>
      <c r="AYR42" s="193"/>
      <c r="AYS42" s="193"/>
      <c r="AYT42" s="193"/>
      <c r="AYU42" s="193"/>
      <c r="AYV42" s="193"/>
      <c r="AYW42" s="193"/>
      <c r="AYX42" s="193"/>
      <c r="AYY42" s="193"/>
      <c r="AYZ42" s="193"/>
      <c r="AZA42" s="193"/>
      <c r="AZB42" s="193"/>
      <c r="AZC42" s="193"/>
      <c r="AZD42" s="193"/>
      <c r="AZE42" s="193"/>
      <c r="AZF42" s="193"/>
      <c r="AZG42" s="193"/>
      <c r="AZH42" s="193"/>
      <c r="AZI42" s="193"/>
      <c r="AZJ42" s="193"/>
      <c r="AZK42" s="193"/>
      <c r="AZL42" s="193"/>
      <c r="AZM42" s="193"/>
      <c r="AZN42" s="193"/>
      <c r="AZO42" s="193"/>
      <c r="AZP42" s="193"/>
      <c r="AZQ42" s="193"/>
      <c r="AZR42" s="193"/>
      <c r="AZS42" s="193"/>
      <c r="AZT42" s="193"/>
      <c r="AZU42" s="193"/>
      <c r="AZV42" s="193"/>
      <c r="AZW42" s="193"/>
      <c r="AZX42" s="193"/>
      <c r="AZY42" s="193"/>
      <c r="AZZ42" s="193"/>
      <c r="BAA42" s="193"/>
      <c r="BAB42" s="193"/>
      <c r="BAC42" s="193"/>
      <c r="BAD42" s="193"/>
      <c r="BAE42" s="193"/>
      <c r="BAF42" s="193"/>
      <c r="BAG42" s="193"/>
      <c r="BAH42" s="193"/>
      <c r="BAI42" s="193"/>
      <c r="BAJ42" s="193"/>
      <c r="BAK42" s="193"/>
      <c r="BAL42" s="193"/>
      <c r="BAM42" s="193"/>
      <c r="BAN42" s="193"/>
      <c r="BAO42" s="193"/>
      <c r="BAP42" s="193"/>
      <c r="BAQ42" s="193"/>
      <c r="BAR42" s="193"/>
      <c r="BAS42" s="193"/>
      <c r="BAT42" s="193"/>
      <c r="BAU42" s="193"/>
      <c r="BAV42" s="193"/>
      <c r="BAW42" s="193"/>
      <c r="BAX42" s="193"/>
      <c r="BAY42" s="193"/>
      <c r="BAZ42" s="193"/>
      <c r="BBA42" s="193"/>
      <c r="BBB42" s="193"/>
      <c r="BBC42" s="193"/>
      <c r="BBD42" s="193"/>
      <c r="BBE42" s="193"/>
      <c r="BBF42" s="193"/>
      <c r="BBG42" s="193"/>
      <c r="BBH42" s="193"/>
      <c r="BBI42" s="193"/>
      <c r="BBJ42" s="193"/>
      <c r="BBK42" s="193"/>
      <c r="BBL42" s="193"/>
      <c r="BBM42" s="193"/>
      <c r="BBN42" s="193"/>
      <c r="BBO42" s="193"/>
      <c r="BBP42" s="193"/>
      <c r="BBQ42" s="193"/>
      <c r="BBR42" s="193"/>
      <c r="BBS42" s="193"/>
      <c r="BBT42" s="193"/>
      <c r="BBU42" s="193"/>
      <c r="BBV42" s="193"/>
      <c r="BBW42" s="193"/>
      <c r="BBX42" s="193"/>
      <c r="BBY42" s="193"/>
      <c r="BBZ42" s="193"/>
      <c r="BCA42" s="193"/>
      <c r="BCB42" s="193"/>
      <c r="BCC42" s="193"/>
      <c r="BCD42" s="193"/>
      <c r="BCE42" s="193"/>
      <c r="BCF42" s="193"/>
      <c r="BCG42" s="193"/>
      <c r="BCH42" s="193"/>
      <c r="BCI42" s="193"/>
      <c r="BCJ42" s="193"/>
      <c r="BCK42" s="193"/>
      <c r="BCL42" s="193"/>
      <c r="BCM42" s="193"/>
      <c r="BCN42" s="193"/>
      <c r="BCO42" s="193"/>
      <c r="BCP42" s="193"/>
      <c r="BCQ42" s="193"/>
      <c r="BCR42" s="193"/>
      <c r="BCS42" s="193"/>
      <c r="BCT42" s="193"/>
      <c r="BCU42" s="193"/>
      <c r="BCV42" s="193"/>
      <c r="BCW42" s="193"/>
      <c r="BCX42" s="193"/>
      <c r="BCY42" s="193"/>
      <c r="BCZ42" s="193"/>
      <c r="BDA42" s="193"/>
      <c r="BDB42" s="193"/>
      <c r="BDC42" s="193"/>
      <c r="BDD42" s="193"/>
      <c r="BDE42" s="193"/>
      <c r="BDF42" s="193"/>
      <c r="BDG42" s="193"/>
      <c r="BDH42" s="193"/>
      <c r="BDI42" s="193"/>
      <c r="BDJ42" s="193"/>
      <c r="BDK42" s="193"/>
      <c r="BDL42" s="193"/>
      <c r="BDM42" s="193"/>
      <c r="BDN42" s="193"/>
      <c r="BDO42" s="193"/>
      <c r="BDP42" s="193"/>
      <c r="BDQ42" s="193"/>
      <c r="BDR42" s="193"/>
      <c r="BDS42" s="193"/>
      <c r="BDT42" s="193"/>
      <c r="BDU42" s="193"/>
      <c r="BDV42" s="193"/>
      <c r="BDW42" s="193"/>
      <c r="BDX42" s="193"/>
      <c r="BDY42" s="193"/>
      <c r="BDZ42" s="193"/>
      <c r="BEA42" s="193"/>
      <c r="BEB42" s="193"/>
      <c r="BEC42" s="193"/>
      <c r="BED42" s="193"/>
      <c r="BEE42" s="193"/>
      <c r="BEF42" s="193"/>
      <c r="BEG42" s="193"/>
      <c r="BEH42" s="193"/>
      <c r="BEI42" s="193"/>
      <c r="BEJ42" s="193"/>
      <c r="BEK42" s="193"/>
      <c r="BEL42" s="193"/>
      <c r="BEM42" s="193"/>
      <c r="BEN42" s="193"/>
      <c r="BEO42" s="193"/>
      <c r="BEP42" s="193"/>
      <c r="BEQ42" s="193"/>
      <c r="BER42" s="193"/>
      <c r="BES42" s="193"/>
      <c r="BET42" s="193"/>
      <c r="BEU42" s="193"/>
      <c r="BEV42" s="193"/>
      <c r="BEW42" s="193"/>
      <c r="BEX42" s="193"/>
      <c r="BEY42" s="193"/>
      <c r="BEZ42" s="193"/>
      <c r="BFA42" s="193"/>
      <c r="BFB42" s="193"/>
      <c r="BFC42" s="193"/>
      <c r="BFD42" s="193"/>
      <c r="BFE42" s="193"/>
      <c r="BFF42" s="193"/>
      <c r="BFG42" s="193"/>
      <c r="BFH42" s="193"/>
      <c r="BFI42" s="193"/>
      <c r="BFJ42" s="193"/>
      <c r="BFK42" s="193"/>
      <c r="BFL42" s="193"/>
      <c r="BFM42" s="193"/>
      <c r="BFN42" s="193"/>
      <c r="BFO42" s="193"/>
      <c r="BFP42" s="193"/>
      <c r="BFQ42" s="193"/>
      <c r="BFR42" s="193"/>
      <c r="BFS42" s="193"/>
      <c r="BFT42" s="193"/>
      <c r="BFU42" s="193"/>
      <c r="BFV42" s="193"/>
      <c r="BFW42" s="193"/>
      <c r="BFX42" s="193"/>
      <c r="BFY42" s="193"/>
      <c r="BFZ42" s="193"/>
      <c r="BGA42" s="193"/>
      <c r="BGB42" s="193"/>
      <c r="BGC42" s="193"/>
      <c r="BGD42" s="193"/>
      <c r="BGE42" s="193"/>
      <c r="BGF42" s="193"/>
      <c r="BGG42" s="193"/>
      <c r="BGH42" s="193"/>
      <c r="BGI42" s="193"/>
      <c r="BGJ42" s="193"/>
      <c r="BGK42" s="193"/>
      <c r="BGL42" s="193"/>
      <c r="BGM42" s="193"/>
      <c r="BGN42" s="193"/>
      <c r="BGO42" s="193"/>
      <c r="BGP42" s="193"/>
      <c r="BGQ42" s="193"/>
      <c r="BGR42" s="193"/>
      <c r="BGS42" s="193"/>
      <c r="BGT42" s="193"/>
      <c r="BGU42" s="193"/>
      <c r="BGV42" s="193"/>
      <c r="BGW42" s="193"/>
      <c r="BGX42" s="193"/>
      <c r="BGY42" s="193"/>
      <c r="BGZ42" s="193"/>
      <c r="BHA42" s="193"/>
      <c r="BHB42" s="193"/>
      <c r="BHC42" s="193"/>
      <c r="BHD42" s="193"/>
      <c r="BHE42" s="193"/>
      <c r="BHF42" s="193"/>
      <c r="BHG42" s="193"/>
      <c r="BHH42" s="193"/>
      <c r="BHI42" s="193"/>
      <c r="BHJ42" s="193"/>
      <c r="BHK42" s="193"/>
      <c r="BHL42" s="193"/>
      <c r="BHM42" s="193"/>
      <c r="BHN42" s="193"/>
      <c r="BHO42" s="193"/>
      <c r="BHP42" s="193"/>
      <c r="BHQ42" s="193"/>
      <c r="BHR42" s="193"/>
      <c r="BHS42" s="193"/>
      <c r="BHT42" s="193"/>
      <c r="BHU42" s="193"/>
      <c r="BHV42" s="193"/>
      <c r="BHW42" s="193"/>
      <c r="BHX42" s="193"/>
      <c r="BHY42" s="193"/>
      <c r="BHZ42" s="193"/>
      <c r="BIA42" s="193"/>
      <c r="BIB42" s="193"/>
      <c r="BIC42" s="193"/>
      <c r="BID42" s="193"/>
      <c r="BIE42" s="193"/>
      <c r="BIF42" s="193"/>
      <c r="BIG42" s="193"/>
      <c r="BIH42" s="193"/>
      <c r="BII42" s="193"/>
      <c r="BIJ42" s="193"/>
      <c r="BIK42" s="193"/>
      <c r="BIL42" s="193"/>
      <c r="BIM42" s="193"/>
      <c r="BIN42" s="193"/>
      <c r="BIO42" s="193"/>
      <c r="BIP42" s="193"/>
      <c r="BIQ42" s="193"/>
      <c r="BIR42" s="193"/>
      <c r="BIS42" s="193"/>
      <c r="BIT42" s="193"/>
      <c r="BIU42" s="193"/>
      <c r="BIV42" s="193"/>
      <c r="BIW42" s="193"/>
      <c r="BIX42" s="193"/>
      <c r="BIY42" s="193"/>
      <c r="BIZ42" s="193"/>
      <c r="BJA42" s="193"/>
      <c r="BJB42" s="193"/>
      <c r="BJC42" s="193"/>
      <c r="BJD42" s="193"/>
      <c r="BJE42" s="193"/>
      <c r="BJF42" s="193"/>
      <c r="BJG42" s="193"/>
      <c r="BJH42" s="193"/>
      <c r="BJI42" s="193"/>
      <c r="BJJ42" s="193"/>
      <c r="BJK42" s="193"/>
      <c r="BJL42" s="193"/>
      <c r="BJM42" s="193"/>
      <c r="BJN42" s="193"/>
      <c r="BJO42" s="193"/>
      <c r="BJP42" s="193"/>
      <c r="BJQ42" s="193"/>
      <c r="BJR42" s="193"/>
      <c r="BJS42" s="193"/>
      <c r="BJT42" s="193"/>
      <c r="BJU42" s="193"/>
      <c r="BJV42" s="193"/>
      <c r="BJW42" s="193"/>
      <c r="BJX42" s="193"/>
      <c r="BJY42" s="193"/>
      <c r="BJZ42" s="193"/>
      <c r="BKA42" s="193"/>
      <c r="BKB42" s="193"/>
      <c r="BKC42" s="193"/>
      <c r="BKD42" s="193"/>
      <c r="BKE42" s="193"/>
      <c r="BKF42" s="193"/>
      <c r="BKG42" s="193"/>
      <c r="BKH42" s="193"/>
      <c r="BKI42" s="193"/>
      <c r="BKJ42" s="193"/>
      <c r="BKK42" s="193"/>
      <c r="BKL42" s="193"/>
      <c r="BKM42" s="193"/>
      <c r="BKN42" s="193"/>
      <c r="BKO42" s="193"/>
      <c r="BKP42" s="193"/>
      <c r="BKQ42" s="193"/>
      <c r="BKR42" s="193"/>
      <c r="BKS42" s="193"/>
      <c r="BKT42" s="193"/>
      <c r="BKU42" s="193"/>
      <c r="BKV42" s="193"/>
      <c r="BKW42" s="193"/>
      <c r="BKX42" s="193"/>
      <c r="BKY42" s="193"/>
      <c r="BKZ42" s="193"/>
      <c r="BLA42" s="193"/>
      <c r="BLB42" s="193"/>
      <c r="BLC42" s="193"/>
      <c r="BLD42" s="193"/>
      <c r="BLE42" s="193"/>
      <c r="BLF42" s="193"/>
      <c r="BLG42" s="193"/>
      <c r="BLH42" s="193"/>
      <c r="BLI42" s="193"/>
      <c r="BLJ42" s="193"/>
      <c r="BLK42" s="193"/>
      <c r="BLL42" s="193"/>
      <c r="BLM42" s="193"/>
      <c r="BLN42" s="193"/>
      <c r="BLO42" s="193"/>
      <c r="BLP42" s="193"/>
      <c r="BLQ42" s="193"/>
      <c r="BLR42" s="193"/>
      <c r="BLS42" s="193"/>
      <c r="BLT42" s="193"/>
      <c r="BLU42" s="193"/>
      <c r="BLV42" s="193"/>
      <c r="BLW42" s="193"/>
      <c r="BLX42" s="193"/>
      <c r="BLY42" s="193"/>
      <c r="BLZ42" s="193"/>
      <c r="BMA42" s="193"/>
      <c r="BMB42" s="193"/>
      <c r="BMC42" s="193"/>
      <c r="BMD42" s="193"/>
      <c r="BME42" s="193"/>
      <c r="BMF42" s="193"/>
      <c r="BMG42" s="193"/>
      <c r="BMH42" s="193"/>
      <c r="BMI42" s="193"/>
      <c r="BMJ42" s="193"/>
      <c r="BMK42" s="193"/>
      <c r="BML42" s="193"/>
      <c r="BMM42" s="193"/>
      <c r="BMN42" s="193"/>
      <c r="BMO42" s="193"/>
      <c r="BMP42" s="193"/>
      <c r="BMQ42" s="193"/>
      <c r="BMR42" s="193"/>
      <c r="BMS42" s="193"/>
      <c r="BMT42" s="193"/>
      <c r="BMU42" s="193"/>
      <c r="BMV42" s="193"/>
      <c r="BMW42" s="193"/>
      <c r="BMX42" s="193"/>
      <c r="BMY42" s="193"/>
      <c r="BMZ42" s="193"/>
      <c r="BNA42" s="193"/>
      <c r="BNB42" s="193"/>
      <c r="BNC42" s="193"/>
      <c r="BND42" s="193"/>
      <c r="BNE42" s="193"/>
      <c r="BNF42" s="193"/>
      <c r="BNG42" s="193"/>
      <c r="BNH42" s="193"/>
      <c r="BNI42" s="193"/>
      <c r="BNJ42" s="193"/>
      <c r="BNK42" s="193"/>
      <c r="BNL42" s="193"/>
      <c r="BNM42" s="193"/>
      <c r="BNN42" s="193"/>
      <c r="BNO42" s="193"/>
      <c r="BNP42" s="193"/>
      <c r="BNQ42" s="193"/>
      <c r="BNR42" s="193"/>
      <c r="BNS42" s="193"/>
      <c r="BNT42" s="193"/>
      <c r="BNU42" s="193"/>
      <c r="BNV42" s="193"/>
      <c r="BNW42" s="193"/>
      <c r="BNX42" s="193"/>
      <c r="BNY42" s="193"/>
      <c r="BNZ42" s="193"/>
      <c r="BOA42" s="193"/>
      <c r="BOB42" s="193"/>
      <c r="BOC42" s="193"/>
      <c r="BOD42" s="193"/>
      <c r="BOE42" s="193"/>
      <c r="BOF42" s="193"/>
      <c r="BOG42" s="193"/>
      <c r="BOH42" s="193"/>
      <c r="BOI42" s="193"/>
      <c r="BOJ42" s="193"/>
      <c r="BOK42" s="193"/>
      <c r="BOL42" s="193"/>
      <c r="BOM42" s="193"/>
      <c r="BON42" s="193"/>
      <c r="BOO42" s="193"/>
      <c r="BOP42" s="193"/>
      <c r="BOQ42" s="193"/>
      <c r="BOR42" s="193"/>
      <c r="BOS42" s="193"/>
      <c r="BOT42" s="193"/>
      <c r="BOU42" s="193"/>
      <c r="BOV42" s="193"/>
      <c r="BOW42" s="193"/>
      <c r="BOX42" s="193"/>
      <c r="BOY42" s="193"/>
      <c r="BOZ42" s="193"/>
      <c r="BPA42" s="193"/>
      <c r="BPB42" s="193"/>
      <c r="BPC42" s="193"/>
      <c r="BPD42" s="193"/>
      <c r="BPE42" s="193"/>
      <c r="BPF42" s="193"/>
      <c r="BPG42" s="193"/>
      <c r="BPH42" s="193"/>
      <c r="BPI42" s="193"/>
      <c r="BPJ42" s="193"/>
      <c r="BPK42" s="193"/>
      <c r="BPL42" s="193"/>
      <c r="BPM42" s="193"/>
      <c r="BPN42" s="193"/>
      <c r="BPO42" s="193"/>
      <c r="BPP42" s="193"/>
      <c r="BPQ42" s="193"/>
      <c r="BPR42" s="193"/>
      <c r="BPS42" s="193"/>
      <c r="BPT42" s="193"/>
      <c r="BPU42" s="193"/>
      <c r="BPV42" s="193"/>
      <c r="BPW42" s="193"/>
      <c r="BPX42" s="193"/>
      <c r="BPY42" s="193"/>
      <c r="BPZ42" s="193"/>
      <c r="BQA42" s="193"/>
      <c r="BQB42" s="193"/>
      <c r="BQC42" s="193"/>
      <c r="BQD42" s="193"/>
      <c r="BQE42" s="193"/>
      <c r="BQF42" s="193"/>
      <c r="BQG42" s="193"/>
      <c r="BQH42" s="193"/>
      <c r="BQI42" s="193"/>
      <c r="BQJ42" s="193"/>
      <c r="BQK42" s="193"/>
      <c r="BQL42" s="193"/>
      <c r="BQM42" s="193"/>
      <c r="BQN42" s="193"/>
      <c r="BQO42" s="193"/>
      <c r="BQP42" s="193"/>
      <c r="BQQ42" s="193"/>
      <c r="BQR42" s="193"/>
      <c r="BQS42" s="193"/>
      <c r="BQT42" s="193"/>
      <c r="BQU42" s="193"/>
      <c r="BQV42" s="193"/>
      <c r="BQW42" s="193"/>
      <c r="BQX42" s="193"/>
      <c r="BQY42" s="193"/>
      <c r="BQZ42" s="193"/>
      <c r="BRA42" s="193"/>
      <c r="BRB42" s="193"/>
      <c r="BRC42" s="193"/>
      <c r="BRD42" s="193"/>
      <c r="BRE42" s="193"/>
      <c r="BRF42" s="193"/>
      <c r="BRG42" s="193"/>
      <c r="BRH42" s="193"/>
      <c r="BRI42" s="193"/>
      <c r="BRJ42" s="193"/>
      <c r="BRK42" s="193"/>
      <c r="BRL42" s="193"/>
      <c r="BRM42" s="193"/>
      <c r="BRN42" s="193"/>
      <c r="BRO42" s="193"/>
      <c r="BRP42" s="193"/>
      <c r="BRQ42" s="193"/>
      <c r="BRR42" s="193"/>
      <c r="BRS42" s="193"/>
      <c r="BRT42" s="193"/>
      <c r="BRU42" s="193"/>
      <c r="BRV42" s="193"/>
      <c r="BRW42" s="193"/>
      <c r="BRX42" s="193"/>
      <c r="BRY42" s="193"/>
      <c r="BRZ42" s="193"/>
      <c r="BSA42" s="193"/>
      <c r="BSB42" s="193"/>
      <c r="BSC42" s="193"/>
      <c r="BSD42" s="193"/>
      <c r="BSE42" s="193"/>
      <c r="BSF42" s="193"/>
      <c r="BSG42" s="193"/>
      <c r="BSH42" s="193"/>
      <c r="BSI42" s="193"/>
      <c r="BSJ42" s="193"/>
      <c r="BSK42" s="193"/>
      <c r="BSL42" s="193"/>
      <c r="BSM42" s="193"/>
      <c r="BSN42" s="193"/>
      <c r="BSO42" s="193"/>
      <c r="BSP42" s="193"/>
      <c r="BSQ42" s="193"/>
      <c r="BSR42" s="193"/>
      <c r="BSS42" s="193"/>
      <c r="BST42" s="193"/>
      <c r="BSU42" s="193"/>
      <c r="BSV42" s="193"/>
      <c r="BSW42" s="193"/>
      <c r="BSX42" s="193"/>
      <c r="BSY42" s="193"/>
      <c r="BSZ42" s="193"/>
      <c r="BTA42" s="193"/>
      <c r="BTB42" s="193"/>
      <c r="BTC42" s="193"/>
      <c r="BTD42" s="193"/>
      <c r="BTE42" s="193"/>
      <c r="BTF42" s="193"/>
      <c r="BTG42" s="193"/>
      <c r="BTH42" s="193"/>
      <c r="BTI42" s="193"/>
      <c r="BTJ42" s="193"/>
      <c r="BTK42" s="193"/>
      <c r="BTL42" s="193"/>
      <c r="BTM42" s="193"/>
      <c r="BTN42" s="193"/>
      <c r="BTO42" s="193"/>
      <c r="BTP42" s="193"/>
      <c r="BTQ42" s="193"/>
      <c r="BTR42" s="193"/>
      <c r="BTS42" s="193"/>
      <c r="BTT42" s="193"/>
      <c r="BTU42" s="193"/>
      <c r="BTV42" s="193"/>
      <c r="BTW42" s="193"/>
      <c r="BTX42" s="193"/>
      <c r="BTY42" s="193"/>
      <c r="BTZ42" s="193"/>
      <c r="BUA42" s="193"/>
      <c r="BUB42" s="193"/>
      <c r="BUC42" s="193"/>
      <c r="BUD42" s="193"/>
      <c r="BUE42" s="193"/>
      <c r="BUF42" s="193"/>
      <c r="BUG42" s="193"/>
      <c r="BUH42" s="193"/>
      <c r="BUI42" s="193"/>
      <c r="BUJ42" s="193"/>
      <c r="BUK42" s="193"/>
      <c r="BUL42" s="193"/>
      <c r="BUM42" s="193"/>
      <c r="BUN42" s="193"/>
      <c r="BUO42" s="193"/>
      <c r="BUP42" s="193"/>
      <c r="BUQ42" s="193"/>
      <c r="BUR42" s="193"/>
      <c r="BUS42" s="193"/>
      <c r="BUT42" s="193"/>
      <c r="BUU42" s="193"/>
      <c r="BUV42" s="193"/>
      <c r="BUW42" s="193"/>
      <c r="BUX42" s="193"/>
      <c r="BUY42" s="193"/>
      <c r="BUZ42" s="193"/>
      <c r="BVA42" s="193"/>
      <c r="BVB42" s="193"/>
      <c r="BVC42" s="193"/>
      <c r="BVD42" s="193"/>
      <c r="BVE42" s="193"/>
      <c r="BVF42" s="193"/>
      <c r="BVG42" s="193"/>
      <c r="BVH42" s="193"/>
      <c r="BVI42" s="193"/>
      <c r="BVJ42" s="193"/>
      <c r="BVK42" s="193"/>
      <c r="BVL42" s="193"/>
      <c r="BVM42" s="193"/>
      <c r="BVN42" s="193"/>
      <c r="BVO42" s="193"/>
      <c r="BVP42" s="193"/>
      <c r="BVQ42" s="193"/>
      <c r="BVR42" s="193"/>
      <c r="BVS42" s="193"/>
      <c r="BVT42" s="193"/>
      <c r="BVU42" s="193"/>
      <c r="BVV42" s="193"/>
      <c r="BVW42" s="193"/>
      <c r="BVX42" s="193"/>
      <c r="BVY42" s="193"/>
      <c r="BVZ42" s="193"/>
      <c r="BWA42" s="193"/>
      <c r="BWB42" s="193"/>
      <c r="BWC42" s="193"/>
      <c r="BWD42" s="193"/>
      <c r="BWE42" s="193"/>
      <c r="BWF42" s="193"/>
      <c r="BWG42" s="193"/>
      <c r="BWH42" s="193"/>
      <c r="BWI42" s="193"/>
      <c r="BWJ42" s="193"/>
      <c r="BWK42" s="193"/>
      <c r="BWL42" s="193"/>
      <c r="BWM42" s="193"/>
      <c r="BWN42" s="193"/>
      <c r="BWO42" s="193"/>
      <c r="BWP42" s="193"/>
      <c r="BWQ42" s="193"/>
      <c r="BWR42" s="193"/>
      <c r="BWS42" s="193"/>
      <c r="BWT42" s="193"/>
      <c r="BWU42" s="193"/>
      <c r="BWV42" s="193"/>
      <c r="BWW42" s="193"/>
      <c r="BWX42" s="193"/>
      <c r="BWY42" s="193"/>
      <c r="BWZ42" s="193"/>
      <c r="BXA42" s="193"/>
      <c r="BXB42" s="193"/>
      <c r="BXC42" s="193"/>
      <c r="BXD42" s="193"/>
      <c r="BXE42" s="193"/>
      <c r="BXF42" s="193"/>
      <c r="BXG42" s="193"/>
      <c r="BXH42" s="193"/>
      <c r="BXI42" s="193"/>
      <c r="BXJ42" s="193"/>
      <c r="BXK42" s="193"/>
      <c r="BXL42" s="193"/>
      <c r="BXM42" s="193"/>
      <c r="BXN42" s="193"/>
      <c r="BXO42" s="193"/>
      <c r="BXP42" s="193"/>
      <c r="BXQ42" s="193"/>
      <c r="BXR42" s="193"/>
      <c r="BXS42" s="193"/>
      <c r="BXT42" s="193"/>
      <c r="BXU42" s="193"/>
      <c r="BXV42" s="193"/>
      <c r="BXW42" s="193"/>
      <c r="BXX42" s="193"/>
      <c r="BXY42" s="193"/>
      <c r="BXZ42" s="193"/>
      <c r="BYA42" s="193"/>
      <c r="BYB42" s="193"/>
      <c r="BYC42" s="193"/>
      <c r="BYD42" s="193"/>
      <c r="BYE42" s="193"/>
      <c r="BYF42" s="193"/>
      <c r="BYG42" s="193"/>
      <c r="BYH42" s="193"/>
      <c r="BYI42" s="193"/>
      <c r="BYJ42" s="193"/>
      <c r="BYK42" s="193"/>
      <c r="BYL42" s="193"/>
      <c r="BYM42" s="193"/>
      <c r="BYN42" s="193"/>
      <c r="BYO42" s="193"/>
      <c r="BYP42" s="193"/>
      <c r="BYQ42" s="193"/>
      <c r="BYR42" s="193"/>
      <c r="BYS42" s="193"/>
      <c r="BYT42" s="193"/>
      <c r="BYU42" s="193"/>
      <c r="BYV42" s="193"/>
      <c r="BYW42" s="193"/>
      <c r="BYX42" s="193"/>
      <c r="BYY42" s="193"/>
      <c r="BYZ42" s="193"/>
      <c r="BZA42" s="193"/>
      <c r="BZB42" s="193"/>
      <c r="BZC42" s="193"/>
      <c r="BZD42" s="193"/>
      <c r="BZE42" s="193"/>
      <c r="BZF42" s="193"/>
      <c r="BZG42" s="193"/>
      <c r="BZH42" s="193"/>
      <c r="BZI42" s="193"/>
      <c r="BZJ42" s="193"/>
      <c r="BZK42" s="193"/>
      <c r="BZL42" s="193"/>
      <c r="BZM42" s="193"/>
      <c r="BZN42" s="193"/>
      <c r="BZO42" s="193"/>
      <c r="BZP42" s="193"/>
      <c r="BZQ42" s="193"/>
      <c r="BZR42" s="193"/>
      <c r="BZS42" s="193"/>
      <c r="BZT42" s="193"/>
      <c r="BZU42" s="193"/>
      <c r="BZV42" s="193"/>
      <c r="BZW42" s="193"/>
      <c r="BZX42" s="193"/>
      <c r="BZY42" s="193"/>
      <c r="BZZ42" s="193"/>
      <c r="CAA42" s="193"/>
      <c r="CAB42" s="193"/>
      <c r="CAC42" s="193"/>
      <c r="CAD42" s="193"/>
      <c r="CAE42" s="193"/>
      <c r="CAF42" s="193"/>
      <c r="CAG42" s="193"/>
      <c r="CAH42" s="193"/>
      <c r="CAI42" s="193"/>
      <c r="CAJ42" s="193"/>
      <c r="CAK42" s="193"/>
      <c r="CAL42" s="193"/>
      <c r="CAM42" s="193"/>
      <c r="CAN42" s="193"/>
      <c r="CAO42" s="193"/>
      <c r="CAP42" s="193"/>
      <c r="CAQ42" s="193"/>
      <c r="CAR42" s="193"/>
      <c r="CAS42" s="193"/>
      <c r="CAT42" s="193"/>
      <c r="CAU42" s="193"/>
      <c r="CAV42" s="193"/>
      <c r="CAW42" s="193"/>
      <c r="CAX42" s="193"/>
      <c r="CAY42" s="193"/>
      <c r="CAZ42" s="193"/>
      <c r="CBA42" s="193"/>
      <c r="CBB42" s="193"/>
      <c r="CBC42" s="193"/>
      <c r="CBD42" s="193"/>
      <c r="CBE42" s="193"/>
      <c r="CBF42" s="193"/>
      <c r="CBG42" s="193"/>
      <c r="CBH42" s="193"/>
      <c r="CBI42" s="193"/>
      <c r="CBJ42" s="193"/>
      <c r="CBK42" s="193"/>
      <c r="CBL42" s="193"/>
      <c r="CBM42" s="193"/>
      <c r="CBN42" s="193"/>
      <c r="CBO42" s="193"/>
      <c r="CBP42" s="193"/>
      <c r="CBQ42" s="193"/>
      <c r="CBR42" s="193"/>
      <c r="CBS42" s="193"/>
      <c r="CBT42" s="193"/>
      <c r="CBU42" s="193"/>
      <c r="CBV42" s="193"/>
      <c r="CBW42" s="193"/>
      <c r="CBX42" s="193"/>
      <c r="CBY42" s="193"/>
      <c r="CBZ42" s="193"/>
      <c r="CCA42" s="193"/>
      <c r="CCB42" s="193"/>
      <c r="CCC42" s="193"/>
      <c r="CCD42" s="193"/>
      <c r="CCE42" s="193"/>
      <c r="CCF42" s="193"/>
      <c r="CCG42" s="193"/>
      <c r="CCH42" s="193"/>
      <c r="CCI42" s="193"/>
      <c r="CCJ42" s="193"/>
      <c r="CCK42" s="193"/>
      <c r="CCL42" s="193"/>
      <c r="CCM42" s="193"/>
      <c r="CCN42" s="193"/>
      <c r="CCO42" s="193"/>
      <c r="CCP42" s="193"/>
      <c r="CCQ42" s="193"/>
      <c r="CCR42" s="193"/>
      <c r="CCS42" s="193"/>
      <c r="CCT42" s="193"/>
      <c r="CCU42" s="193"/>
      <c r="CCV42" s="193"/>
      <c r="CCW42" s="193"/>
      <c r="CCX42" s="193"/>
      <c r="CCY42" s="193"/>
      <c r="CCZ42" s="193"/>
      <c r="CDA42" s="193"/>
      <c r="CDB42" s="193"/>
      <c r="CDC42" s="193"/>
      <c r="CDD42" s="193"/>
      <c r="CDE42" s="193"/>
      <c r="CDF42" s="193"/>
      <c r="CDG42" s="193"/>
      <c r="CDH42" s="193"/>
      <c r="CDI42" s="193"/>
      <c r="CDJ42" s="193"/>
      <c r="CDK42" s="193"/>
      <c r="CDL42" s="193"/>
      <c r="CDM42" s="193"/>
      <c r="CDN42" s="193"/>
      <c r="CDO42" s="193"/>
      <c r="CDP42" s="193"/>
      <c r="CDQ42" s="193"/>
      <c r="CDR42" s="193"/>
      <c r="CDS42" s="193"/>
      <c r="CDT42" s="193"/>
      <c r="CDU42" s="193"/>
      <c r="CDV42" s="193"/>
      <c r="CDW42" s="193"/>
      <c r="CDX42" s="193"/>
      <c r="CDY42" s="193"/>
      <c r="CDZ42" s="193"/>
      <c r="CEA42" s="193"/>
      <c r="CEB42" s="193"/>
      <c r="CEC42" s="193"/>
      <c r="CED42" s="193"/>
      <c r="CEE42" s="193"/>
      <c r="CEF42" s="193"/>
      <c r="CEG42" s="193"/>
      <c r="CEH42" s="193"/>
      <c r="CEI42" s="193"/>
      <c r="CEJ42" s="193"/>
      <c r="CEK42" s="193"/>
      <c r="CEL42" s="193"/>
      <c r="CEM42" s="193"/>
      <c r="CEN42" s="193"/>
      <c r="CEO42" s="193"/>
      <c r="CEP42" s="193"/>
      <c r="CEQ42" s="193"/>
      <c r="CER42" s="193"/>
      <c r="CES42" s="193"/>
      <c r="CET42" s="193"/>
      <c r="CEU42" s="193"/>
      <c r="CEV42" s="193"/>
      <c r="CEW42" s="193"/>
      <c r="CEX42" s="193"/>
      <c r="CEY42" s="193"/>
      <c r="CEZ42" s="193"/>
      <c r="CFA42" s="193"/>
      <c r="CFB42" s="193"/>
      <c r="CFC42" s="193"/>
      <c r="CFD42" s="193"/>
      <c r="CFE42" s="193"/>
      <c r="CFF42" s="193"/>
      <c r="CFG42" s="193"/>
      <c r="CFH42" s="193"/>
      <c r="CFI42" s="193"/>
      <c r="CFJ42" s="193"/>
      <c r="CFK42" s="193"/>
      <c r="CFL42" s="193"/>
      <c r="CFM42" s="193"/>
      <c r="CFN42" s="193"/>
      <c r="CFO42" s="193"/>
      <c r="CFP42" s="193"/>
      <c r="CFQ42" s="193"/>
      <c r="CFR42" s="193"/>
      <c r="CFS42" s="193"/>
      <c r="CFT42" s="193"/>
      <c r="CFU42" s="193"/>
      <c r="CFV42" s="193"/>
      <c r="CFW42" s="193"/>
      <c r="CFX42" s="193"/>
      <c r="CFY42" s="193"/>
      <c r="CFZ42" s="193"/>
      <c r="CGA42" s="193"/>
      <c r="CGB42" s="193"/>
      <c r="CGC42" s="193"/>
      <c r="CGD42" s="193"/>
      <c r="CGE42" s="193"/>
      <c r="CGF42" s="193"/>
      <c r="CGG42" s="193"/>
      <c r="CGH42" s="193"/>
      <c r="CGI42" s="193"/>
      <c r="CGJ42" s="193"/>
      <c r="CGK42" s="193"/>
      <c r="CGL42" s="193"/>
      <c r="CGM42" s="193"/>
      <c r="CGN42" s="193"/>
      <c r="CGO42" s="193"/>
      <c r="CGP42" s="193"/>
      <c r="CGQ42" s="193"/>
      <c r="CGR42" s="193"/>
      <c r="CGS42" s="193"/>
      <c r="CGT42" s="193"/>
      <c r="CGU42" s="193"/>
      <c r="CGV42" s="193"/>
      <c r="CGW42" s="193"/>
      <c r="CGX42" s="193"/>
      <c r="CGY42" s="193"/>
      <c r="CGZ42" s="193"/>
      <c r="CHA42" s="193"/>
      <c r="CHB42" s="193"/>
      <c r="CHC42" s="193"/>
      <c r="CHD42" s="193"/>
      <c r="CHE42" s="193"/>
      <c r="CHF42" s="193"/>
      <c r="CHG42" s="193"/>
      <c r="CHH42" s="193"/>
      <c r="CHI42" s="193"/>
      <c r="CHJ42" s="193"/>
      <c r="CHK42" s="193"/>
      <c r="CHL42" s="193"/>
      <c r="CHM42" s="193"/>
      <c r="CHN42" s="193"/>
      <c r="CHO42" s="193"/>
      <c r="CHP42" s="193"/>
      <c r="CHQ42" s="193"/>
      <c r="CHR42" s="193"/>
      <c r="CHS42" s="193"/>
      <c r="CHT42" s="193"/>
      <c r="CHU42" s="193"/>
      <c r="CHV42" s="193"/>
      <c r="CHW42" s="193"/>
      <c r="CHX42" s="193"/>
      <c r="CHY42" s="193"/>
      <c r="CHZ42" s="193"/>
      <c r="CIA42" s="193"/>
      <c r="CIB42" s="193"/>
      <c r="CIC42" s="193"/>
      <c r="CID42" s="193"/>
      <c r="CIE42" s="193"/>
      <c r="CIF42" s="193"/>
      <c r="CIG42" s="193"/>
      <c r="CIH42" s="193"/>
      <c r="CII42" s="193"/>
      <c r="CIJ42" s="193"/>
      <c r="CIK42" s="193"/>
      <c r="CIL42" s="193"/>
      <c r="CIM42" s="193"/>
      <c r="CIN42" s="193"/>
      <c r="CIO42" s="193"/>
      <c r="CIP42" s="193"/>
      <c r="CIQ42" s="193"/>
      <c r="CIR42" s="193"/>
      <c r="CIS42" s="193"/>
      <c r="CIT42" s="193"/>
      <c r="CIU42" s="193"/>
      <c r="CIV42" s="193"/>
      <c r="CIW42" s="193"/>
      <c r="CIX42" s="193"/>
      <c r="CIY42" s="193"/>
      <c r="CIZ42" s="193"/>
      <c r="CJA42" s="193"/>
      <c r="CJB42" s="193"/>
      <c r="CJC42" s="193"/>
      <c r="CJD42" s="193"/>
      <c r="CJE42" s="193"/>
      <c r="CJF42" s="193"/>
      <c r="CJG42" s="193"/>
      <c r="CJH42" s="193"/>
      <c r="CJI42" s="193"/>
      <c r="CJJ42" s="193"/>
      <c r="CJK42" s="193"/>
      <c r="CJL42" s="193"/>
      <c r="CJM42" s="193"/>
      <c r="CJN42" s="193"/>
      <c r="CJO42" s="193"/>
      <c r="CJP42" s="193"/>
      <c r="CJQ42" s="193"/>
      <c r="CJR42" s="193"/>
      <c r="CJS42" s="193"/>
      <c r="CJT42" s="193"/>
      <c r="CJU42" s="193"/>
      <c r="CJV42" s="193"/>
      <c r="CJW42" s="193"/>
      <c r="CJX42" s="193"/>
      <c r="CJY42" s="193"/>
      <c r="CJZ42" s="193"/>
      <c r="CKA42" s="193"/>
      <c r="CKB42" s="193"/>
      <c r="CKC42" s="193"/>
      <c r="CKD42" s="193"/>
      <c r="CKE42" s="193"/>
      <c r="CKF42" s="193"/>
      <c r="CKG42" s="193"/>
      <c r="CKH42" s="193"/>
      <c r="CKI42" s="193"/>
      <c r="CKJ42" s="193"/>
      <c r="CKK42" s="193"/>
      <c r="CKL42" s="193"/>
      <c r="CKM42" s="193"/>
      <c r="CKN42" s="193"/>
      <c r="CKO42" s="193"/>
      <c r="CKP42" s="193"/>
      <c r="CKQ42" s="193"/>
      <c r="CKR42" s="193"/>
      <c r="CKS42" s="193"/>
      <c r="CKT42" s="193"/>
      <c r="CKU42" s="193"/>
      <c r="CKV42" s="193"/>
      <c r="CKW42" s="193"/>
      <c r="CKX42" s="193"/>
      <c r="CKY42" s="193"/>
      <c r="CKZ42" s="193"/>
      <c r="CLA42" s="193"/>
      <c r="CLB42" s="193"/>
      <c r="CLC42" s="193"/>
      <c r="CLD42" s="193"/>
      <c r="CLE42" s="193"/>
      <c r="CLF42" s="193"/>
      <c r="CLG42" s="193"/>
      <c r="CLH42" s="193"/>
      <c r="CLI42" s="193"/>
      <c r="CLJ42" s="193"/>
      <c r="CLK42" s="193"/>
      <c r="CLL42" s="193"/>
      <c r="CLM42" s="193"/>
      <c r="CLN42" s="193"/>
      <c r="CLO42" s="193"/>
      <c r="CLP42" s="193"/>
      <c r="CLQ42" s="193"/>
      <c r="CLR42" s="193"/>
      <c r="CLS42" s="193"/>
      <c r="CLT42" s="193"/>
      <c r="CLU42" s="193"/>
      <c r="CLV42" s="193"/>
      <c r="CLW42" s="193"/>
      <c r="CLX42" s="193"/>
      <c r="CLY42" s="193"/>
      <c r="CLZ42" s="193"/>
      <c r="CMA42" s="193"/>
      <c r="CMB42" s="193"/>
      <c r="CMC42" s="193"/>
      <c r="CMD42" s="193"/>
      <c r="CME42" s="193"/>
      <c r="CMF42" s="193"/>
      <c r="CMG42" s="193"/>
      <c r="CMH42" s="193"/>
      <c r="CMI42" s="193"/>
      <c r="CMJ42" s="193"/>
      <c r="CMK42" s="193"/>
      <c r="CML42" s="193"/>
      <c r="CMM42" s="193"/>
      <c r="CMN42" s="193"/>
      <c r="CMO42" s="193"/>
      <c r="CMP42" s="193"/>
      <c r="CMQ42" s="193"/>
      <c r="CMR42" s="193"/>
      <c r="CMS42" s="193"/>
      <c r="CMT42" s="193"/>
      <c r="CMU42" s="193"/>
      <c r="CMV42" s="193"/>
      <c r="CMW42" s="193"/>
      <c r="CMX42" s="193"/>
      <c r="CMY42" s="193"/>
      <c r="CMZ42" s="193"/>
      <c r="CNA42" s="193"/>
      <c r="CNB42" s="193"/>
      <c r="CNC42" s="193"/>
      <c r="CND42" s="193"/>
      <c r="CNE42" s="193"/>
      <c r="CNF42" s="193"/>
      <c r="CNG42" s="193"/>
      <c r="CNH42" s="193"/>
      <c r="CNI42" s="193"/>
      <c r="CNJ42" s="193"/>
      <c r="CNK42" s="193"/>
      <c r="CNL42" s="193"/>
      <c r="CNM42" s="193"/>
      <c r="CNN42" s="193"/>
      <c r="CNO42" s="193"/>
      <c r="CNP42" s="193"/>
      <c r="CNQ42" s="193"/>
      <c r="CNR42" s="193"/>
      <c r="CNS42" s="193"/>
      <c r="CNT42" s="193"/>
      <c r="CNU42" s="193"/>
      <c r="CNV42" s="193"/>
      <c r="CNW42" s="193"/>
      <c r="CNX42" s="193"/>
      <c r="CNY42" s="193"/>
      <c r="CNZ42" s="193"/>
      <c r="COA42" s="193"/>
      <c r="COB42" s="193"/>
      <c r="COC42" s="193"/>
      <c r="COD42" s="193"/>
      <c r="COE42" s="193"/>
      <c r="COF42" s="193"/>
      <c r="COG42" s="193"/>
      <c r="COH42" s="193"/>
      <c r="COI42" s="193"/>
      <c r="COJ42" s="193"/>
      <c r="COK42" s="193"/>
      <c r="COL42" s="193"/>
      <c r="COM42" s="193"/>
      <c r="CON42" s="193"/>
      <c r="COO42" s="193"/>
      <c r="COP42" s="193"/>
      <c r="COQ42" s="193"/>
      <c r="COR42" s="193"/>
      <c r="COS42" s="193"/>
      <c r="COT42" s="193"/>
      <c r="COU42" s="193"/>
      <c r="COV42" s="193"/>
      <c r="COW42" s="193"/>
      <c r="COX42" s="193"/>
      <c r="COY42" s="193"/>
      <c r="COZ42" s="193"/>
      <c r="CPA42" s="193"/>
      <c r="CPB42" s="193"/>
      <c r="CPC42" s="193"/>
      <c r="CPD42" s="193"/>
      <c r="CPE42" s="193"/>
      <c r="CPF42" s="193"/>
      <c r="CPG42" s="193"/>
      <c r="CPH42" s="193"/>
      <c r="CPI42" s="193"/>
      <c r="CPJ42" s="193"/>
      <c r="CPK42" s="193"/>
      <c r="CPL42" s="193"/>
      <c r="CPM42" s="193"/>
      <c r="CPN42" s="193"/>
      <c r="CPO42" s="193"/>
      <c r="CPP42" s="193"/>
      <c r="CPQ42" s="193"/>
      <c r="CPR42" s="193"/>
      <c r="CPS42" s="193"/>
      <c r="CPT42" s="193"/>
      <c r="CPU42" s="193"/>
      <c r="CPV42" s="193"/>
      <c r="CPW42" s="193"/>
      <c r="CPX42" s="193"/>
      <c r="CPY42" s="193"/>
      <c r="CPZ42" s="193"/>
      <c r="CQA42" s="193"/>
      <c r="CQB42" s="193"/>
      <c r="CQC42" s="193"/>
      <c r="CQD42" s="193"/>
      <c r="CQE42" s="193"/>
      <c r="CQF42" s="193"/>
      <c r="CQG42" s="193"/>
      <c r="CQH42" s="193"/>
      <c r="CQI42" s="193"/>
      <c r="CQJ42" s="193"/>
      <c r="CQK42" s="193"/>
      <c r="CQL42" s="193"/>
      <c r="CQM42" s="193"/>
      <c r="CQN42" s="193"/>
      <c r="CQO42" s="193"/>
      <c r="CQP42" s="193"/>
      <c r="CQQ42" s="193"/>
      <c r="CQR42" s="193"/>
      <c r="CQS42" s="193"/>
      <c r="CQT42" s="193"/>
      <c r="CQU42" s="193"/>
      <c r="CQV42" s="193"/>
      <c r="CQW42" s="193"/>
      <c r="CQX42" s="193"/>
      <c r="CQY42" s="193"/>
      <c r="CQZ42" s="193"/>
      <c r="CRA42" s="193"/>
      <c r="CRB42" s="193"/>
      <c r="CRC42" s="193"/>
      <c r="CRD42" s="193"/>
      <c r="CRE42" s="193"/>
      <c r="CRF42" s="193"/>
      <c r="CRG42" s="193"/>
      <c r="CRH42" s="193"/>
      <c r="CRI42" s="193"/>
      <c r="CRJ42" s="193"/>
      <c r="CRK42" s="193"/>
      <c r="CRL42" s="193"/>
      <c r="CRM42" s="193"/>
      <c r="CRN42" s="193"/>
      <c r="CRO42" s="193"/>
      <c r="CRP42" s="193"/>
      <c r="CRQ42" s="193"/>
      <c r="CRR42" s="193"/>
      <c r="CRS42" s="193"/>
      <c r="CRT42" s="193"/>
      <c r="CRU42" s="193"/>
      <c r="CRV42" s="193"/>
      <c r="CRW42" s="193"/>
      <c r="CRX42" s="193"/>
      <c r="CRY42" s="193"/>
      <c r="CRZ42" s="193"/>
      <c r="CSA42" s="193"/>
      <c r="CSB42" s="193"/>
      <c r="CSC42" s="193"/>
      <c r="CSD42" s="193"/>
      <c r="CSE42" s="193"/>
      <c r="CSF42" s="193"/>
      <c r="CSG42" s="193"/>
      <c r="CSH42" s="193"/>
      <c r="CSI42" s="193"/>
      <c r="CSJ42" s="193"/>
      <c r="CSK42" s="193"/>
      <c r="CSL42" s="193"/>
      <c r="CSM42" s="193"/>
      <c r="CSN42" s="193"/>
      <c r="CSO42" s="193"/>
      <c r="CSP42" s="193"/>
      <c r="CSQ42" s="193"/>
      <c r="CSR42" s="193"/>
      <c r="CSS42" s="193"/>
      <c r="CST42" s="193"/>
      <c r="CSU42" s="193"/>
      <c r="CSV42" s="193"/>
      <c r="CSW42" s="193"/>
      <c r="CSX42" s="193"/>
      <c r="CSY42" s="193"/>
      <c r="CSZ42" s="193"/>
      <c r="CTA42" s="193"/>
      <c r="CTB42" s="193"/>
      <c r="CTC42" s="193"/>
      <c r="CTD42" s="193"/>
      <c r="CTE42" s="193"/>
      <c r="CTF42" s="193"/>
      <c r="CTG42" s="193"/>
      <c r="CTH42" s="193"/>
      <c r="CTI42" s="193"/>
      <c r="CTJ42" s="193"/>
      <c r="CTK42" s="193"/>
      <c r="CTL42" s="193"/>
      <c r="CTM42" s="193"/>
      <c r="CTN42" s="193"/>
      <c r="CTO42" s="193"/>
      <c r="CTP42" s="193"/>
      <c r="CTQ42" s="193"/>
      <c r="CTR42" s="193"/>
      <c r="CTS42" s="193"/>
      <c r="CTT42" s="193"/>
      <c r="CTU42" s="193"/>
      <c r="CTV42" s="193"/>
      <c r="CTW42" s="193"/>
      <c r="CTX42" s="193"/>
      <c r="CTY42" s="193"/>
      <c r="CTZ42" s="193"/>
      <c r="CUA42" s="193"/>
    </row>
    <row r="43" s="191" customFormat="1" spans="1:1024 1025:2575">
      <c r="A43" s="227" t="s">
        <v>40</v>
      </c>
      <c r="B43" s="228">
        <f t="shared" si="31"/>
        <v>8</v>
      </c>
      <c r="C43" s="229">
        <f t="shared" si="26"/>
        <v>45545</v>
      </c>
      <c r="D43" s="230">
        <f t="shared" si="22"/>
        <v>45551</v>
      </c>
      <c r="E43" s="231">
        <v>1313</v>
      </c>
      <c r="F43" s="232">
        <f t="shared" si="27"/>
        <v>45565</v>
      </c>
      <c r="G43" s="231">
        <v>1103</v>
      </c>
      <c r="H43" s="233">
        <f t="shared" si="10"/>
        <v>0.84006092916984</v>
      </c>
      <c r="I43" s="230">
        <f t="shared" si="28"/>
        <v>45582</v>
      </c>
      <c r="J43" s="231">
        <v>1072</v>
      </c>
      <c r="K43" s="233">
        <f t="shared" si="0"/>
        <v>0.816450875856816</v>
      </c>
      <c r="L43" s="230">
        <f t="shared" si="29"/>
        <v>45585</v>
      </c>
      <c r="M43" s="231">
        <v>1072</v>
      </c>
      <c r="N43" s="231">
        <v>8745</v>
      </c>
      <c r="O43" s="233">
        <f t="shared" si="1"/>
        <v>0.816450875856816</v>
      </c>
      <c r="P43" s="233">
        <f t="shared" si="7"/>
        <v>0.0236100533130237</v>
      </c>
      <c r="Q43" s="234">
        <f t="shared" si="2"/>
        <v>8.15764925373134</v>
      </c>
      <c r="R43" s="230">
        <f t="shared" si="30"/>
        <v>45617</v>
      </c>
      <c r="S43" s="235">
        <v>8542</v>
      </c>
      <c r="T43" s="228">
        <v>970</v>
      </c>
      <c r="U43" s="233">
        <f t="shared" si="3"/>
        <v>0.976786735277301</v>
      </c>
      <c r="V43" s="230">
        <f t="shared" si="19"/>
        <v>45652</v>
      </c>
      <c r="W43" s="235">
        <v>8229</v>
      </c>
      <c r="X43" s="233">
        <f t="shared" si="4"/>
        <v>0.963357527511121</v>
      </c>
      <c r="Y43" s="228">
        <v>20579</v>
      </c>
      <c r="Z43" s="236">
        <v>14.4</v>
      </c>
      <c r="AA43" s="236">
        <f t="shared" si="32"/>
        <v>2.50078988941548</v>
      </c>
      <c r="AB43" s="236">
        <f t="shared" si="5"/>
        <v>6.26732673267327</v>
      </c>
      <c r="AC43" s="236">
        <v>3.35</v>
      </c>
      <c r="AD43" s="235">
        <v>3.56</v>
      </c>
      <c r="AE43" s="236">
        <v>58.3</v>
      </c>
      <c r="AF43" s="235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  <c r="BK43" s="193"/>
      <c r="BL43" s="193"/>
      <c r="BM43" s="193"/>
      <c r="BN43" s="193"/>
      <c r="BO43" s="193"/>
      <c r="BP43" s="193"/>
      <c r="BQ43" s="193"/>
      <c r="BR43" s="193"/>
      <c r="BS43" s="193"/>
      <c r="BT43" s="193"/>
      <c r="BU43" s="193"/>
      <c r="BV43" s="193"/>
      <c r="BW43" s="193"/>
      <c r="BX43" s="193"/>
      <c r="BY43" s="193"/>
      <c r="BZ43" s="193"/>
      <c r="CA43" s="193"/>
      <c r="CB43" s="193"/>
      <c r="CC43" s="193"/>
      <c r="CD43" s="193"/>
      <c r="CE43" s="193"/>
      <c r="CF43" s="193"/>
      <c r="CG43" s="193"/>
      <c r="CH43" s="193"/>
      <c r="CI43" s="193"/>
      <c r="CJ43" s="193"/>
      <c r="CK43" s="193"/>
      <c r="CL43" s="193"/>
      <c r="CM43" s="193"/>
      <c r="CN43" s="193"/>
      <c r="CO43" s="193"/>
      <c r="CP43" s="193"/>
      <c r="CQ43" s="193"/>
      <c r="CR43" s="193"/>
      <c r="CS43" s="193"/>
      <c r="CT43" s="193"/>
      <c r="CU43" s="193"/>
      <c r="CV43" s="193"/>
      <c r="CW43" s="193"/>
      <c r="CX43" s="193"/>
      <c r="CY43" s="193"/>
      <c r="CZ43" s="193"/>
      <c r="DA43" s="193"/>
      <c r="DB43" s="193"/>
      <c r="DC43" s="193"/>
      <c r="DD43" s="193"/>
      <c r="DE43" s="193"/>
      <c r="DF43" s="193"/>
      <c r="DG43" s="193"/>
      <c r="DH43" s="193"/>
      <c r="DI43" s="193"/>
      <c r="DJ43" s="193"/>
      <c r="DK43" s="193"/>
      <c r="DL43" s="193"/>
      <c r="DM43" s="193"/>
      <c r="DN43" s="193"/>
      <c r="DO43" s="193"/>
      <c r="DP43" s="193"/>
      <c r="DQ43" s="193"/>
      <c r="DR43" s="193"/>
      <c r="DS43" s="193"/>
      <c r="DT43" s="193"/>
      <c r="DU43" s="193"/>
      <c r="DV43" s="193"/>
      <c r="DW43" s="193"/>
      <c r="DX43" s="193"/>
      <c r="DY43" s="193"/>
      <c r="DZ43" s="193"/>
      <c r="EA43" s="193"/>
      <c r="EB43" s="193"/>
      <c r="EC43" s="193"/>
      <c r="ED43" s="193"/>
      <c r="EE43" s="193"/>
      <c r="EF43" s="193"/>
      <c r="EG43" s="193"/>
      <c r="EH43" s="193"/>
      <c r="EI43" s="193"/>
      <c r="EJ43" s="193"/>
      <c r="EK43" s="193"/>
      <c r="EL43" s="193"/>
      <c r="EM43" s="193"/>
      <c r="EN43" s="193"/>
      <c r="EO43" s="193"/>
      <c r="EP43" s="193"/>
      <c r="EQ43" s="193"/>
      <c r="ER43" s="193"/>
      <c r="ES43" s="193"/>
      <c r="ET43" s="193"/>
      <c r="EU43" s="193"/>
      <c r="EV43" s="193"/>
      <c r="EW43" s="193"/>
      <c r="EX43" s="193"/>
      <c r="EY43" s="193"/>
      <c r="EZ43" s="193"/>
      <c r="FA43" s="193"/>
      <c r="FB43" s="193"/>
      <c r="FC43" s="193"/>
      <c r="FD43" s="193"/>
      <c r="FE43" s="193"/>
      <c r="FF43" s="193"/>
      <c r="FG43" s="193"/>
      <c r="FH43" s="193"/>
      <c r="FI43" s="193"/>
      <c r="FJ43" s="193"/>
      <c r="FK43" s="193"/>
      <c r="FL43" s="193"/>
      <c r="FM43" s="193"/>
      <c r="FN43" s="193"/>
      <c r="FO43" s="193"/>
      <c r="FP43" s="193"/>
      <c r="FQ43" s="193"/>
      <c r="FR43" s="193"/>
      <c r="FS43" s="193"/>
      <c r="FT43" s="193"/>
      <c r="FU43" s="193"/>
      <c r="FV43" s="193"/>
      <c r="FW43" s="193"/>
      <c r="FX43" s="193"/>
      <c r="FY43" s="193"/>
      <c r="FZ43" s="193"/>
      <c r="GA43" s="193"/>
      <c r="GB43" s="193"/>
      <c r="GC43" s="193"/>
      <c r="GD43" s="193"/>
      <c r="GE43" s="193"/>
      <c r="GF43" s="193"/>
      <c r="GG43" s="193"/>
      <c r="GH43" s="193"/>
      <c r="GI43" s="193"/>
      <c r="GJ43" s="193"/>
      <c r="GK43" s="193"/>
      <c r="GL43" s="193"/>
      <c r="GM43" s="193"/>
      <c r="GN43" s="193"/>
      <c r="GO43" s="193"/>
      <c r="GP43" s="193"/>
      <c r="GQ43" s="193"/>
      <c r="GR43" s="193"/>
      <c r="GS43" s="193"/>
      <c r="GT43" s="193"/>
      <c r="GU43" s="193"/>
      <c r="GV43" s="193"/>
      <c r="GW43" s="193"/>
      <c r="GX43" s="193"/>
      <c r="GY43" s="193"/>
      <c r="GZ43" s="193"/>
      <c r="HA43" s="193"/>
      <c r="HB43" s="193"/>
      <c r="HC43" s="193"/>
      <c r="HD43" s="193"/>
      <c r="HE43" s="193"/>
      <c r="HF43" s="193"/>
      <c r="HG43" s="193"/>
      <c r="HH43" s="193"/>
      <c r="HI43" s="193"/>
      <c r="HJ43" s="193"/>
      <c r="HK43" s="193"/>
      <c r="HL43" s="193"/>
      <c r="HM43" s="193"/>
      <c r="HN43" s="193"/>
      <c r="HO43" s="193"/>
      <c r="HP43" s="193"/>
      <c r="HQ43" s="193"/>
      <c r="HR43" s="193"/>
      <c r="HS43" s="193"/>
      <c r="HT43" s="193"/>
      <c r="HU43" s="193"/>
      <c r="HV43" s="193"/>
      <c r="HW43" s="193"/>
      <c r="HX43" s="193"/>
      <c r="HY43" s="193"/>
      <c r="HZ43" s="193"/>
      <c r="IA43" s="193"/>
      <c r="IB43" s="193"/>
      <c r="IC43" s="193"/>
      <c r="ID43" s="193"/>
      <c r="IE43" s="193"/>
      <c r="IF43" s="193"/>
      <c r="IG43" s="193"/>
      <c r="IH43" s="193"/>
      <c r="II43" s="193"/>
      <c r="IJ43" s="193"/>
      <c r="IK43" s="193"/>
      <c r="IL43" s="193"/>
      <c r="IM43" s="193"/>
      <c r="IN43" s="193"/>
      <c r="IO43" s="193"/>
      <c r="IP43" s="193"/>
      <c r="IQ43" s="193"/>
      <c r="IR43" s="193"/>
      <c r="IS43" s="193"/>
      <c r="IT43" s="193"/>
      <c r="IU43" s="193"/>
      <c r="IV43" s="193"/>
      <c r="IW43" s="193"/>
      <c r="IX43" s="193"/>
      <c r="IY43" s="193"/>
      <c r="IZ43" s="193"/>
      <c r="JA43" s="193"/>
      <c r="JB43" s="193"/>
      <c r="JC43" s="193"/>
      <c r="JD43" s="193"/>
      <c r="JE43" s="193"/>
      <c r="JF43" s="193"/>
      <c r="JG43" s="193"/>
      <c r="JH43" s="193"/>
      <c r="JI43" s="193"/>
      <c r="JJ43" s="193"/>
      <c r="JK43" s="193"/>
      <c r="JL43" s="193"/>
      <c r="JM43" s="193"/>
      <c r="JN43" s="193"/>
      <c r="JO43" s="193"/>
      <c r="JP43" s="193"/>
      <c r="JQ43" s="193"/>
      <c r="JR43" s="193"/>
      <c r="JS43" s="193"/>
      <c r="JT43" s="193"/>
      <c r="JU43" s="193"/>
      <c r="JV43" s="193"/>
      <c r="JW43" s="193"/>
      <c r="JX43" s="193"/>
      <c r="JY43" s="193"/>
      <c r="JZ43" s="193"/>
      <c r="KA43" s="193"/>
      <c r="KB43" s="193"/>
      <c r="KC43" s="193"/>
      <c r="KD43" s="193"/>
      <c r="KE43" s="193"/>
      <c r="KF43" s="193"/>
      <c r="KG43" s="193"/>
      <c r="KH43" s="193"/>
      <c r="KI43" s="193"/>
      <c r="KJ43" s="193"/>
      <c r="KK43" s="193"/>
      <c r="KL43" s="193"/>
      <c r="KM43" s="193"/>
      <c r="KN43" s="193"/>
      <c r="KO43" s="193"/>
      <c r="KP43" s="193"/>
      <c r="KQ43" s="193"/>
      <c r="KR43" s="193"/>
      <c r="KS43" s="193"/>
      <c r="KT43" s="193"/>
      <c r="KU43" s="193"/>
      <c r="KV43" s="193"/>
      <c r="KW43" s="193"/>
      <c r="KX43" s="193"/>
      <c r="KY43" s="193"/>
      <c r="KZ43" s="193"/>
      <c r="LA43" s="193"/>
      <c r="LB43" s="193"/>
      <c r="LC43" s="193"/>
      <c r="LD43" s="193"/>
      <c r="LE43" s="193"/>
      <c r="LF43" s="193"/>
      <c r="LG43" s="193"/>
      <c r="LH43" s="193"/>
      <c r="LI43" s="193"/>
      <c r="LJ43" s="193"/>
      <c r="LK43" s="193"/>
      <c r="LL43" s="193"/>
      <c r="LM43" s="193"/>
      <c r="LN43" s="193"/>
      <c r="LO43" s="193"/>
      <c r="LP43" s="193"/>
      <c r="LQ43" s="193"/>
      <c r="LR43" s="193"/>
      <c r="LS43" s="193"/>
      <c r="LT43" s="193"/>
      <c r="LU43" s="193"/>
      <c r="LV43" s="193"/>
      <c r="LW43" s="193"/>
      <c r="LX43" s="193"/>
      <c r="LY43" s="193"/>
      <c r="LZ43" s="193"/>
      <c r="MA43" s="193"/>
      <c r="MB43" s="193"/>
      <c r="MC43" s="193"/>
      <c r="MD43" s="193"/>
      <c r="ME43" s="193"/>
      <c r="MF43" s="193"/>
      <c r="MG43" s="193"/>
      <c r="MH43" s="193"/>
      <c r="MI43" s="193"/>
      <c r="MJ43" s="193"/>
      <c r="MK43" s="193"/>
      <c r="ML43" s="193"/>
      <c r="MM43" s="193"/>
      <c r="MN43" s="193"/>
      <c r="MO43" s="193"/>
      <c r="MP43" s="193"/>
      <c r="MQ43" s="193"/>
      <c r="MR43" s="193"/>
      <c r="MS43" s="193"/>
      <c r="MT43" s="193"/>
      <c r="MU43" s="193"/>
      <c r="MV43" s="193"/>
      <c r="MW43" s="193"/>
      <c r="MX43" s="193"/>
      <c r="MY43" s="193"/>
      <c r="MZ43" s="193"/>
      <c r="NA43" s="193"/>
      <c r="NB43" s="193"/>
      <c r="NC43" s="193"/>
      <c r="ND43" s="193"/>
      <c r="NE43" s="193"/>
      <c r="NF43" s="193"/>
      <c r="NG43" s="193"/>
      <c r="NH43" s="193"/>
      <c r="NI43" s="193"/>
      <c r="NJ43" s="193"/>
      <c r="NK43" s="193"/>
      <c r="NL43" s="193"/>
      <c r="NM43" s="193"/>
      <c r="NN43" s="193"/>
      <c r="NO43" s="193"/>
      <c r="NP43" s="193"/>
      <c r="NQ43" s="193"/>
      <c r="NR43" s="193"/>
      <c r="NS43" s="193"/>
      <c r="NT43" s="193"/>
      <c r="NU43" s="193"/>
      <c r="NV43" s="193"/>
      <c r="NW43" s="193"/>
      <c r="NX43" s="193"/>
      <c r="NY43" s="193"/>
      <c r="NZ43" s="193"/>
      <c r="OA43" s="193"/>
      <c r="OB43" s="193"/>
      <c r="OC43" s="193"/>
      <c r="OD43" s="193"/>
      <c r="OE43" s="193"/>
      <c r="OF43" s="193"/>
      <c r="OG43" s="193"/>
      <c r="OH43" s="193"/>
      <c r="OI43" s="193"/>
      <c r="OJ43" s="193"/>
      <c r="OK43" s="193"/>
      <c r="OL43" s="193"/>
      <c r="OM43" s="193"/>
      <c r="ON43" s="193"/>
      <c r="OO43" s="193"/>
      <c r="OP43" s="193"/>
      <c r="OQ43" s="193"/>
      <c r="OR43" s="193"/>
      <c r="OS43" s="193"/>
      <c r="OT43" s="193"/>
      <c r="OU43" s="193"/>
      <c r="OV43" s="193"/>
      <c r="OW43" s="193"/>
      <c r="OX43" s="193"/>
      <c r="OY43" s="193"/>
      <c r="OZ43" s="193"/>
      <c r="PA43" s="193"/>
      <c r="PB43" s="193"/>
      <c r="PC43" s="193"/>
      <c r="PD43" s="193"/>
      <c r="PE43" s="193"/>
      <c r="PF43" s="193"/>
      <c r="PG43" s="193"/>
      <c r="PH43" s="193"/>
      <c r="PI43" s="193"/>
      <c r="PJ43" s="193"/>
      <c r="PK43" s="193"/>
      <c r="PL43" s="193"/>
      <c r="PM43" s="193"/>
      <c r="PN43" s="193"/>
      <c r="PO43" s="193"/>
      <c r="PP43" s="193"/>
      <c r="PQ43" s="193"/>
      <c r="PR43" s="193"/>
      <c r="PS43" s="193"/>
      <c r="PT43" s="193"/>
      <c r="PU43" s="193"/>
      <c r="PV43" s="193"/>
      <c r="PW43" s="193"/>
      <c r="PX43" s="193"/>
      <c r="PY43" s="193"/>
      <c r="PZ43" s="193"/>
      <c r="QA43" s="193"/>
      <c r="QB43" s="193"/>
      <c r="QC43" s="193"/>
      <c r="QD43" s="193"/>
      <c r="QE43" s="193"/>
      <c r="QF43" s="193"/>
      <c r="QG43" s="193"/>
      <c r="QH43" s="193"/>
      <c r="QI43" s="193"/>
      <c r="QJ43" s="193"/>
      <c r="QK43" s="193"/>
      <c r="QL43" s="193"/>
      <c r="QM43" s="193"/>
      <c r="QN43" s="193"/>
      <c r="QO43" s="193"/>
      <c r="QP43" s="193"/>
      <c r="QQ43" s="193"/>
      <c r="QR43" s="193"/>
      <c r="QS43" s="193"/>
      <c r="QT43" s="193"/>
      <c r="QU43" s="193"/>
      <c r="QV43" s="193"/>
      <c r="QW43" s="193"/>
      <c r="QX43" s="193"/>
      <c r="QY43" s="193"/>
      <c r="QZ43" s="193"/>
      <c r="RA43" s="193"/>
      <c r="RB43" s="193"/>
      <c r="RC43" s="193"/>
      <c r="RD43" s="193"/>
      <c r="RE43" s="193"/>
      <c r="RF43" s="193"/>
      <c r="RG43" s="193"/>
      <c r="RH43" s="193"/>
      <c r="RI43" s="193"/>
      <c r="RJ43" s="193"/>
      <c r="RK43" s="193"/>
      <c r="RL43" s="193"/>
      <c r="RM43" s="193"/>
      <c r="RN43" s="193"/>
      <c r="RO43" s="193"/>
      <c r="RP43" s="193"/>
      <c r="RQ43" s="193"/>
      <c r="RR43" s="193"/>
      <c r="RS43" s="193"/>
      <c r="RT43" s="193"/>
      <c r="RU43" s="193"/>
      <c r="RV43" s="193"/>
      <c r="RW43" s="193"/>
      <c r="RX43" s="193"/>
      <c r="RY43" s="193"/>
      <c r="RZ43" s="193"/>
      <c r="SA43" s="193"/>
      <c r="SB43" s="193"/>
      <c r="SC43" s="193"/>
      <c r="SD43" s="193"/>
      <c r="SE43" s="193"/>
      <c r="SF43" s="193"/>
      <c r="SG43" s="193"/>
      <c r="SH43" s="193"/>
      <c r="SI43" s="193"/>
      <c r="SJ43" s="193"/>
      <c r="SK43" s="193"/>
      <c r="SL43" s="193"/>
      <c r="SM43" s="193"/>
      <c r="SN43" s="193"/>
      <c r="SO43" s="193"/>
      <c r="SP43" s="193"/>
      <c r="SQ43" s="193"/>
      <c r="SR43" s="193"/>
      <c r="SS43" s="193"/>
      <c r="ST43" s="193"/>
      <c r="SU43" s="193"/>
      <c r="SV43" s="193"/>
      <c r="SW43" s="193"/>
      <c r="SX43" s="193"/>
      <c r="SY43" s="193"/>
      <c r="SZ43" s="193"/>
      <c r="TA43" s="193"/>
      <c r="TB43" s="193"/>
      <c r="TC43" s="193"/>
      <c r="TD43" s="193"/>
      <c r="TE43" s="193"/>
      <c r="TF43" s="193"/>
      <c r="TG43" s="193"/>
      <c r="TH43" s="193"/>
      <c r="TI43" s="193"/>
      <c r="TJ43" s="193"/>
      <c r="TK43" s="193"/>
      <c r="TL43" s="193"/>
      <c r="TM43" s="193"/>
      <c r="TN43" s="193"/>
      <c r="TO43" s="193"/>
      <c r="TP43" s="193"/>
      <c r="TQ43" s="193"/>
      <c r="TR43" s="193"/>
      <c r="TS43" s="193"/>
      <c r="TT43" s="193"/>
      <c r="TU43" s="193"/>
      <c r="TV43" s="193"/>
      <c r="TW43" s="193"/>
      <c r="TX43" s="193"/>
      <c r="TY43" s="193"/>
      <c r="TZ43" s="193"/>
      <c r="UA43" s="193"/>
      <c r="UB43" s="193"/>
      <c r="UC43" s="193"/>
      <c r="UD43" s="193"/>
      <c r="UE43" s="193"/>
      <c r="UF43" s="193"/>
      <c r="UG43" s="193"/>
      <c r="UH43" s="193"/>
      <c r="UI43" s="193"/>
      <c r="UJ43" s="193"/>
      <c r="UK43" s="193"/>
      <c r="UL43" s="193"/>
      <c r="UM43" s="193"/>
      <c r="UN43" s="193"/>
      <c r="UO43" s="193"/>
      <c r="UP43" s="193"/>
      <c r="UQ43" s="193"/>
      <c r="UR43" s="193"/>
      <c r="US43" s="193"/>
      <c r="UT43" s="193"/>
      <c r="UU43" s="193"/>
      <c r="UV43" s="193"/>
      <c r="UW43" s="193"/>
      <c r="UX43" s="193"/>
      <c r="UY43" s="193"/>
      <c r="UZ43" s="193"/>
      <c r="VA43" s="193"/>
      <c r="VB43" s="193"/>
      <c r="VC43" s="193"/>
      <c r="VD43" s="193"/>
      <c r="VE43" s="193"/>
      <c r="VF43" s="193"/>
      <c r="VG43" s="193"/>
      <c r="VH43" s="193"/>
      <c r="VI43" s="193"/>
      <c r="VJ43" s="193"/>
      <c r="VK43" s="193"/>
      <c r="VL43" s="193"/>
      <c r="VM43" s="193"/>
      <c r="VN43" s="193"/>
      <c r="VO43" s="193"/>
      <c r="VP43" s="193"/>
      <c r="VQ43" s="193"/>
      <c r="VR43" s="193"/>
      <c r="VS43" s="193"/>
      <c r="VT43" s="193"/>
      <c r="VU43" s="193"/>
      <c r="VV43" s="193"/>
      <c r="VW43" s="193"/>
      <c r="VX43" s="193"/>
      <c r="VY43" s="193"/>
      <c r="VZ43" s="193"/>
      <c r="WA43" s="193"/>
      <c r="WB43" s="193"/>
      <c r="WC43" s="193"/>
      <c r="WD43" s="193"/>
      <c r="WE43" s="193"/>
      <c r="WF43" s="193"/>
      <c r="WG43" s="193"/>
      <c r="WH43" s="193"/>
      <c r="WI43" s="193"/>
      <c r="WJ43" s="193"/>
      <c r="WK43" s="193"/>
      <c r="WL43" s="193"/>
      <c r="WM43" s="193"/>
      <c r="WN43" s="193"/>
      <c r="WO43" s="193"/>
      <c r="WP43" s="193"/>
      <c r="WQ43" s="193"/>
      <c r="WR43" s="193"/>
      <c r="WS43" s="193"/>
      <c r="WT43" s="193"/>
      <c r="WU43" s="193"/>
      <c r="WV43" s="193"/>
      <c r="WW43" s="193"/>
      <c r="WX43" s="193"/>
      <c r="WY43" s="193"/>
      <c r="WZ43" s="193"/>
      <c r="XA43" s="193"/>
      <c r="XB43" s="193"/>
      <c r="XC43" s="193"/>
      <c r="XD43" s="193"/>
      <c r="XE43" s="193"/>
      <c r="XF43" s="193"/>
      <c r="XG43" s="193"/>
      <c r="XH43" s="193"/>
      <c r="XI43" s="193"/>
      <c r="XJ43" s="193"/>
      <c r="XK43" s="193"/>
      <c r="XL43" s="193"/>
      <c r="XM43" s="193"/>
      <c r="XN43" s="193"/>
      <c r="XO43" s="193"/>
      <c r="XP43" s="193"/>
      <c r="XQ43" s="193"/>
      <c r="XR43" s="193"/>
      <c r="XS43" s="193"/>
      <c r="XT43" s="193"/>
      <c r="XU43" s="193"/>
      <c r="XV43" s="193"/>
      <c r="XW43" s="193"/>
      <c r="XX43" s="193"/>
      <c r="XY43" s="193"/>
      <c r="XZ43" s="193"/>
      <c r="YA43" s="193"/>
      <c r="YB43" s="193"/>
      <c r="YC43" s="193"/>
      <c r="YD43" s="193"/>
      <c r="YE43" s="193"/>
      <c r="YF43" s="193"/>
      <c r="YG43" s="193"/>
      <c r="YH43" s="193"/>
      <c r="YI43" s="193"/>
      <c r="YJ43" s="193"/>
      <c r="YK43" s="193"/>
      <c r="YL43" s="193"/>
      <c r="YM43" s="193"/>
      <c r="YN43" s="193"/>
      <c r="YO43" s="193"/>
      <c r="YP43" s="193"/>
      <c r="YQ43" s="193"/>
      <c r="YR43" s="193"/>
      <c r="YS43" s="193"/>
      <c r="YT43" s="193"/>
      <c r="YU43" s="193"/>
      <c r="YV43" s="193"/>
      <c r="YW43" s="193"/>
      <c r="YX43" s="193"/>
      <c r="YY43" s="193"/>
      <c r="YZ43" s="193"/>
      <c r="ZA43" s="193"/>
      <c r="ZB43" s="193"/>
      <c r="ZC43" s="193"/>
      <c r="ZD43" s="193"/>
      <c r="ZE43" s="193"/>
      <c r="ZF43" s="193"/>
      <c r="ZG43" s="193"/>
      <c r="ZH43" s="193"/>
      <c r="ZI43" s="193"/>
      <c r="ZJ43" s="193"/>
      <c r="ZK43" s="193"/>
      <c r="ZL43" s="193"/>
      <c r="ZM43" s="193"/>
      <c r="ZN43" s="193"/>
      <c r="ZO43" s="193"/>
      <c r="ZP43" s="193"/>
      <c r="ZQ43" s="193"/>
      <c r="ZR43" s="193"/>
      <c r="ZS43" s="193"/>
      <c r="ZT43" s="193"/>
      <c r="ZU43" s="193"/>
      <c r="ZV43" s="193"/>
      <c r="ZW43" s="193"/>
      <c r="ZX43" s="193"/>
      <c r="ZY43" s="193"/>
      <c r="ZZ43" s="193"/>
      <c r="AAA43" s="193"/>
      <c r="AAB43" s="193"/>
      <c r="AAC43" s="193"/>
      <c r="AAD43" s="193"/>
      <c r="AAE43" s="193"/>
      <c r="AAF43" s="193"/>
      <c r="AAG43" s="193"/>
      <c r="AAH43" s="193"/>
      <c r="AAI43" s="193"/>
      <c r="AAJ43" s="193"/>
      <c r="AAK43" s="193"/>
      <c r="AAL43" s="193"/>
      <c r="AAM43" s="193"/>
      <c r="AAN43" s="193"/>
      <c r="AAO43" s="193"/>
      <c r="AAP43" s="193"/>
      <c r="AAQ43" s="193"/>
      <c r="AAR43" s="193"/>
      <c r="AAS43" s="193"/>
      <c r="AAT43" s="193"/>
      <c r="AAU43" s="193"/>
      <c r="AAV43" s="193"/>
      <c r="AAW43" s="193"/>
      <c r="AAX43" s="193"/>
      <c r="AAY43" s="193"/>
      <c r="AAZ43" s="193"/>
      <c r="ABA43" s="193"/>
      <c r="ABB43" s="193"/>
      <c r="ABC43" s="193"/>
      <c r="ABD43" s="193"/>
      <c r="ABE43" s="193"/>
      <c r="ABF43" s="193"/>
      <c r="ABG43" s="193"/>
      <c r="ABH43" s="193"/>
      <c r="ABI43" s="193"/>
      <c r="ABJ43" s="193"/>
      <c r="ABK43" s="193"/>
      <c r="ABL43" s="193"/>
      <c r="ABM43" s="193"/>
      <c r="ABN43" s="193"/>
      <c r="ABO43" s="193"/>
      <c r="ABP43" s="193"/>
      <c r="ABQ43" s="193"/>
      <c r="ABR43" s="193"/>
      <c r="ABS43" s="193"/>
      <c r="ABT43" s="193"/>
      <c r="ABU43" s="193"/>
      <c r="ABV43" s="193"/>
      <c r="ABW43" s="193"/>
      <c r="ABX43" s="193"/>
      <c r="ABY43" s="193"/>
      <c r="ABZ43" s="193"/>
      <c r="ACA43" s="193"/>
      <c r="ACB43" s="193"/>
      <c r="ACC43" s="193"/>
      <c r="ACD43" s="193"/>
      <c r="ACE43" s="193"/>
      <c r="ACF43" s="193"/>
      <c r="ACG43" s="193"/>
      <c r="ACH43" s="193"/>
      <c r="ACI43" s="193"/>
      <c r="ACJ43" s="193"/>
      <c r="ACK43" s="193"/>
      <c r="ACL43" s="193"/>
      <c r="ACM43" s="193"/>
      <c r="ACN43" s="193"/>
      <c r="ACO43" s="193"/>
      <c r="ACP43" s="193"/>
      <c r="ACQ43" s="193"/>
      <c r="ACR43" s="193"/>
      <c r="ACS43" s="193"/>
      <c r="ACT43" s="193"/>
      <c r="ACU43" s="193"/>
      <c r="ACV43" s="193"/>
      <c r="ACW43" s="193"/>
      <c r="ACX43" s="193"/>
      <c r="ACY43" s="193"/>
      <c r="ACZ43" s="193"/>
      <c r="ADA43" s="193"/>
      <c r="ADB43" s="193"/>
      <c r="ADC43" s="193"/>
      <c r="ADD43" s="193"/>
      <c r="ADE43" s="193"/>
      <c r="ADF43" s="193"/>
      <c r="ADG43" s="193"/>
      <c r="ADH43" s="193"/>
      <c r="ADI43" s="193"/>
      <c r="ADJ43" s="193"/>
      <c r="ADK43" s="193"/>
      <c r="ADL43" s="193"/>
      <c r="ADM43" s="193"/>
      <c r="ADN43" s="193"/>
      <c r="ADO43" s="193"/>
      <c r="ADP43" s="193"/>
      <c r="ADQ43" s="193"/>
      <c r="ADR43" s="193"/>
      <c r="ADS43" s="193"/>
      <c r="ADT43" s="193"/>
      <c r="ADU43" s="193"/>
      <c r="ADV43" s="193"/>
      <c r="ADW43" s="193"/>
      <c r="ADX43" s="193"/>
      <c r="ADY43" s="193"/>
      <c r="ADZ43" s="193"/>
      <c r="AEA43" s="193"/>
      <c r="AEB43" s="193"/>
      <c r="AEC43" s="193"/>
      <c r="AED43" s="193"/>
      <c r="AEE43" s="193"/>
      <c r="AEF43" s="193"/>
      <c r="AEG43" s="193"/>
      <c r="AEH43" s="193"/>
      <c r="AEI43" s="193"/>
      <c r="AEJ43" s="193"/>
      <c r="AEK43" s="193"/>
      <c r="AEL43" s="193"/>
      <c r="AEM43" s="193"/>
      <c r="AEN43" s="193"/>
      <c r="AEO43" s="193"/>
      <c r="AEP43" s="193"/>
      <c r="AEQ43" s="193"/>
      <c r="AER43" s="193"/>
      <c r="AES43" s="193"/>
      <c r="AET43" s="193"/>
      <c r="AEU43" s="193"/>
      <c r="AEV43" s="193"/>
      <c r="AEW43" s="193"/>
      <c r="AEX43" s="193"/>
      <c r="AEY43" s="193"/>
      <c r="AEZ43" s="193"/>
      <c r="AFA43" s="193"/>
      <c r="AFB43" s="193"/>
      <c r="AFC43" s="193"/>
      <c r="AFD43" s="193"/>
      <c r="AFE43" s="193"/>
      <c r="AFF43" s="193"/>
      <c r="AFG43" s="193"/>
      <c r="AFH43" s="193"/>
      <c r="AFI43" s="193"/>
      <c r="AFJ43" s="193"/>
      <c r="AFK43" s="193"/>
      <c r="AFL43" s="193"/>
      <c r="AFM43" s="193"/>
      <c r="AFN43" s="193"/>
      <c r="AFO43" s="193"/>
      <c r="AFP43" s="193"/>
      <c r="AFQ43" s="193"/>
      <c r="AFR43" s="193"/>
      <c r="AFS43" s="193"/>
      <c r="AFT43" s="193"/>
      <c r="AFU43" s="193"/>
      <c r="AFV43" s="193"/>
      <c r="AFW43" s="193"/>
      <c r="AFX43" s="193"/>
      <c r="AFY43" s="193"/>
      <c r="AFZ43" s="193"/>
      <c r="AGA43" s="193"/>
      <c r="AGB43" s="193"/>
      <c r="AGC43" s="193"/>
      <c r="AGD43" s="193"/>
      <c r="AGE43" s="193"/>
      <c r="AGF43" s="193"/>
      <c r="AGG43" s="193"/>
      <c r="AGH43" s="193"/>
      <c r="AGI43" s="193"/>
      <c r="AGJ43" s="193"/>
      <c r="AGK43" s="193"/>
      <c r="AGL43" s="193"/>
      <c r="AGM43" s="193"/>
      <c r="AGN43" s="193"/>
      <c r="AGO43" s="193"/>
      <c r="AGP43" s="193"/>
      <c r="AGQ43" s="193"/>
      <c r="AGR43" s="193"/>
      <c r="AGS43" s="193"/>
      <c r="AGT43" s="193"/>
      <c r="AGU43" s="193"/>
      <c r="AGV43" s="193"/>
      <c r="AGW43" s="193"/>
      <c r="AGX43" s="193"/>
      <c r="AGY43" s="193"/>
      <c r="AGZ43" s="193"/>
      <c r="AHA43" s="193"/>
      <c r="AHB43" s="193"/>
      <c r="AHC43" s="193"/>
      <c r="AHD43" s="193"/>
      <c r="AHE43" s="193"/>
      <c r="AHF43" s="193"/>
      <c r="AHG43" s="193"/>
      <c r="AHH43" s="193"/>
      <c r="AHI43" s="193"/>
      <c r="AHJ43" s="193"/>
      <c r="AHK43" s="193"/>
      <c r="AHL43" s="193"/>
      <c r="AHM43" s="193"/>
      <c r="AHN43" s="193"/>
      <c r="AHO43" s="193"/>
      <c r="AHP43" s="193"/>
      <c r="AHQ43" s="193"/>
      <c r="AHR43" s="193"/>
      <c r="AHS43" s="193"/>
      <c r="AHT43" s="193"/>
      <c r="AHU43" s="193"/>
      <c r="AHV43" s="193"/>
      <c r="AHW43" s="193"/>
      <c r="AHX43" s="193"/>
      <c r="AHY43" s="193"/>
      <c r="AHZ43" s="193"/>
      <c r="AIA43" s="193"/>
      <c r="AIB43" s="193"/>
      <c r="AIC43" s="193"/>
      <c r="AID43" s="193"/>
      <c r="AIE43" s="193"/>
      <c r="AIF43" s="193"/>
      <c r="AIG43" s="193"/>
      <c r="AIH43" s="193"/>
      <c r="AII43" s="193"/>
      <c r="AIJ43" s="193"/>
      <c r="AIK43" s="193"/>
      <c r="AIL43" s="193"/>
      <c r="AIM43" s="193"/>
      <c r="AIN43" s="193"/>
      <c r="AIO43" s="193"/>
      <c r="AIP43" s="193"/>
      <c r="AIQ43" s="193"/>
      <c r="AIR43" s="193"/>
      <c r="AIS43" s="193"/>
      <c r="AIT43" s="193"/>
      <c r="AIU43" s="193"/>
      <c r="AIV43" s="193"/>
      <c r="AIW43" s="193"/>
      <c r="AIX43" s="193"/>
      <c r="AIY43" s="193"/>
      <c r="AIZ43" s="193"/>
      <c r="AJA43" s="193"/>
      <c r="AJB43" s="193"/>
      <c r="AJC43" s="193"/>
      <c r="AJD43" s="193"/>
      <c r="AJE43" s="193"/>
      <c r="AJF43" s="193"/>
      <c r="AJG43" s="193"/>
      <c r="AJH43" s="193"/>
      <c r="AJI43" s="193"/>
      <c r="AJJ43" s="193"/>
      <c r="AJK43" s="193"/>
      <c r="AJL43" s="193"/>
      <c r="AJM43" s="193"/>
      <c r="AJN43" s="193"/>
      <c r="AJO43" s="193"/>
      <c r="AJP43" s="193"/>
      <c r="AJQ43" s="193"/>
      <c r="AJR43" s="193"/>
      <c r="AJS43" s="193"/>
      <c r="AJT43" s="193"/>
      <c r="AJU43" s="193"/>
      <c r="AJV43" s="193"/>
      <c r="AJW43" s="193"/>
      <c r="AJX43" s="193"/>
      <c r="AJY43" s="193"/>
      <c r="AJZ43" s="193"/>
      <c r="AKA43" s="193"/>
      <c r="AKB43" s="193"/>
      <c r="AKC43" s="193"/>
      <c r="AKD43" s="193"/>
      <c r="AKE43" s="193"/>
      <c r="AKF43" s="193"/>
      <c r="AKG43" s="193"/>
      <c r="AKH43" s="193"/>
      <c r="AKI43" s="193"/>
      <c r="AKJ43" s="193"/>
      <c r="AKK43" s="193"/>
      <c r="AKL43" s="193"/>
      <c r="AKM43" s="193"/>
      <c r="AKN43" s="193"/>
      <c r="AKO43" s="193"/>
      <c r="AKP43" s="193"/>
      <c r="AKQ43" s="193"/>
      <c r="AKR43" s="193"/>
      <c r="AKS43" s="193"/>
      <c r="AKT43" s="193"/>
      <c r="AKU43" s="193"/>
      <c r="AKV43" s="193"/>
      <c r="AKW43" s="193"/>
      <c r="AKX43" s="193"/>
      <c r="AKY43" s="193"/>
      <c r="AKZ43" s="193"/>
      <c r="ALA43" s="193"/>
      <c r="ALB43" s="193"/>
      <c r="ALC43" s="193"/>
      <c r="ALD43" s="193"/>
      <c r="ALE43" s="193"/>
      <c r="ALF43" s="193"/>
      <c r="ALG43" s="193"/>
      <c r="ALH43" s="193"/>
      <c r="ALI43" s="193"/>
      <c r="ALJ43" s="193"/>
      <c r="ALK43" s="193"/>
      <c r="ALL43" s="193"/>
      <c r="ALM43" s="193"/>
      <c r="ALN43" s="193"/>
      <c r="ALO43" s="193"/>
      <c r="ALP43" s="193"/>
      <c r="ALQ43" s="193"/>
      <c r="ALR43" s="193"/>
      <c r="ALS43" s="193"/>
      <c r="ALT43" s="193"/>
      <c r="ALU43" s="193"/>
      <c r="ALV43" s="193"/>
      <c r="ALW43" s="193"/>
      <c r="ALX43" s="193"/>
      <c r="ALY43" s="193"/>
      <c r="ALZ43" s="193"/>
      <c r="AMA43" s="193"/>
      <c r="AMB43" s="193"/>
      <c r="AMC43" s="193"/>
      <c r="AMD43" s="193"/>
      <c r="AME43" s="193"/>
      <c r="AMF43" s="193"/>
      <c r="AMG43" s="193"/>
      <c r="AMH43" s="193"/>
      <c r="AMI43" s="193"/>
      <c r="AMJ43" s="193"/>
      <c r="AMK43" s="193"/>
      <c r="AML43" s="193"/>
      <c r="AMM43" s="193"/>
      <c r="AMN43" s="193"/>
      <c r="AMO43" s="193"/>
      <c r="AMP43" s="193"/>
      <c r="AMQ43" s="193"/>
      <c r="AMR43" s="193"/>
      <c r="AMS43" s="193"/>
      <c r="AMT43" s="193"/>
      <c r="AMU43" s="193"/>
      <c r="AMV43" s="193"/>
      <c r="AMW43" s="193"/>
      <c r="AMX43" s="193"/>
      <c r="AMY43" s="193"/>
      <c r="AMZ43" s="193"/>
      <c r="ANA43" s="193"/>
      <c r="ANB43" s="193"/>
      <c r="ANC43" s="193"/>
      <c r="AND43" s="193"/>
      <c r="ANE43" s="193"/>
      <c r="ANF43" s="193"/>
      <c r="ANG43" s="193"/>
      <c r="ANH43" s="193"/>
      <c r="ANI43" s="193"/>
      <c r="ANJ43" s="193"/>
      <c r="ANK43" s="193"/>
      <c r="ANL43" s="193"/>
      <c r="ANM43" s="193"/>
      <c r="ANN43" s="193"/>
      <c r="ANO43" s="193"/>
      <c r="ANP43" s="193"/>
      <c r="ANQ43" s="193"/>
      <c r="ANR43" s="193"/>
      <c r="ANS43" s="193"/>
      <c r="ANT43" s="193"/>
      <c r="ANU43" s="193"/>
      <c r="ANV43" s="193"/>
      <c r="ANW43" s="193"/>
      <c r="ANX43" s="193"/>
      <c r="ANY43" s="193"/>
      <c r="ANZ43" s="193"/>
      <c r="AOA43" s="193"/>
      <c r="AOB43" s="193"/>
      <c r="AOC43" s="193"/>
      <c r="AOD43" s="193"/>
      <c r="AOE43" s="193"/>
      <c r="AOF43" s="193"/>
      <c r="AOG43" s="193"/>
      <c r="AOH43" s="193"/>
      <c r="AOI43" s="193"/>
      <c r="AOJ43" s="193"/>
      <c r="AOK43" s="193"/>
      <c r="AOL43" s="193"/>
      <c r="AOM43" s="193"/>
      <c r="AON43" s="193"/>
      <c r="AOO43" s="193"/>
      <c r="AOP43" s="193"/>
      <c r="AOQ43" s="193"/>
      <c r="AOR43" s="193"/>
      <c r="AOS43" s="193"/>
      <c r="AOT43" s="193"/>
      <c r="AOU43" s="193"/>
      <c r="AOV43" s="193"/>
      <c r="AOW43" s="193"/>
      <c r="AOX43" s="193"/>
      <c r="AOY43" s="193"/>
      <c r="AOZ43" s="193"/>
      <c r="APA43" s="193"/>
      <c r="APB43" s="193"/>
      <c r="APC43" s="193"/>
      <c r="APD43" s="193"/>
      <c r="APE43" s="193"/>
      <c r="APF43" s="193"/>
      <c r="APG43" s="193"/>
      <c r="APH43" s="193"/>
      <c r="API43" s="193"/>
      <c r="APJ43" s="193"/>
      <c r="APK43" s="193"/>
      <c r="APL43" s="193"/>
      <c r="APM43" s="193"/>
      <c r="APN43" s="193"/>
      <c r="APO43" s="193"/>
      <c r="APP43" s="193"/>
      <c r="APQ43" s="193"/>
      <c r="APR43" s="193"/>
      <c r="APS43" s="193"/>
      <c r="APT43" s="193"/>
      <c r="APU43" s="193"/>
      <c r="APV43" s="193"/>
      <c r="APW43" s="193"/>
      <c r="APX43" s="193"/>
      <c r="APY43" s="193"/>
      <c r="APZ43" s="193"/>
      <c r="AQA43" s="193"/>
      <c r="AQB43" s="193"/>
      <c r="AQC43" s="193"/>
      <c r="AQD43" s="193"/>
      <c r="AQE43" s="193"/>
      <c r="AQF43" s="193"/>
      <c r="AQG43" s="193"/>
      <c r="AQH43" s="193"/>
      <c r="AQI43" s="193"/>
      <c r="AQJ43" s="193"/>
      <c r="AQK43" s="193"/>
      <c r="AQL43" s="193"/>
      <c r="AQM43" s="193"/>
      <c r="AQN43" s="193"/>
      <c r="AQO43" s="193"/>
      <c r="AQP43" s="193"/>
      <c r="AQQ43" s="193"/>
      <c r="AQR43" s="193"/>
      <c r="AQS43" s="193"/>
      <c r="AQT43" s="193"/>
      <c r="AQU43" s="193"/>
      <c r="AQV43" s="193"/>
      <c r="AQW43" s="193"/>
      <c r="AQX43" s="193"/>
      <c r="AQY43" s="193"/>
      <c r="AQZ43" s="193"/>
      <c r="ARA43" s="193"/>
      <c r="ARB43" s="193"/>
      <c r="ARC43" s="193"/>
      <c r="ARD43" s="193"/>
      <c r="ARE43" s="193"/>
      <c r="ARF43" s="193"/>
      <c r="ARG43" s="193"/>
      <c r="ARH43" s="193"/>
      <c r="ARI43" s="193"/>
      <c r="ARJ43" s="193"/>
      <c r="ARK43" s="193"/>
      <c r="ARL43" s="193"/>
      <c r="ARM43" s="193"/>
      <c r="ARN43" s="193"/>
      <c r="ARO43" s="193"/>
      <c r="ARP43" s="193"/>
      <c r="ARQ43" s="193"/>
      <c r="ARR43" s="193"/>
      <c r="ARS43" s="193"/>
      <c r="ART43" s="193"/>
      <c r="ARU43" s="193"/>
      <c r="ARV43" s="193"/>
      <c r="ARW43" s="193"/>
      <c r="ARX43" s="193"/>
      <c r="ARY43" s="193"/>
      <c r="ARZ43" s="193"/>
      <c r="ASA43" s="193"/>
      <c r="ASB43" s="193"/>
      <c r="ASC43" s="193"/>
      <c r="ASD43" s="193"/>
      <c r="ASE43" s="193"/>
      <c r="ASF43" s="193"/>
      <c r="ASG43" s="193"/>
      <c r="ASH43" s="193"/>
      <c r="ASI43" s="193"/>
      <c r="ASJ43" s="193"/>
      <c r="ASK43" s="193"/>
      <c r="ASL43" s="193"/>
      <c r="ASM43" s="193"/>
      <c r="ASN43" s="193"/>
      <c r="ASO43" s="193"/>
      <c r="ASP43" s="193"/>
      <c r="ASQ43" s="193"/>
      <c r="ASR43" s="193"/>
      <c r="ASS43" s="193"/>
      <c r="AST43" s="193"/>
      <c r="ASU43" s="193"/>
      <c r="ASV43" s="193"/>
      <c r="ASW43" s="193"/>
      <c r="ASX43" s="193"/>
      <c r="ASY43" s="193"/>
      <c r="ASZ43" s="193"/>
      <c r="ATA43" s="193"/>
      <c r="ATB43" s="193"/>
      <c r="ATC43" s="193"/>
      <c r="ATD43" s="193"/>
      <c r="ATE43" s="193"/>
      <c r="ATF43" s="193"/>
      <c r="ATG43" s="193"/>
      <c r="ATH43" s="193"/>
      <c r="ATI43" s="193"/>
      <c r="ATJ43" s="193"/>
      <c r="ATK43" s="193"/>
      <c r="ATL43" s="193"/>
      <c r="ATM43" s="193"/>
      <c r="ATN43" s="193"/>
      <c r="ATO43" s="193"/>
      <c r="ATP43" s="193"/>
      <c r="ATQ43" s="193"/>
      <c r="ATR43" s="193"/>
      <c r="ATS43" s="193"/>
      <c r="ATT43" s="193"/>
      <c r="ATU43" s="193"/>
      <c r="ATV43" s="193"/>
      <c r="ATW43" s="193"/>
      <c r="ATX43" s="193"/>
      <c r="ATY43" s="193"/>
      <c r="ATZ43" s="193"/>
      <c r="AUA43" s="193"/>
      <c r="AUB43" s="193"/>
      <c r="AUC43" s="193"/>
      <c r="AUD43" s="193"/>
      <c r="AUE43" s="193"/>
      <c r="AUF43" s="193"/>
      <c r="AUG43" s="193"/>
      <c r="AUH43" s="193"/>
      <c r="AUI43" s="193"/>
      <c r="AUJ43" s="193"/>
      <c r="AUK43" s="193"/>
      <c r="AUL43" s="193"/>
      <c r="AUM43" s="193"/>
      <c r="AUN43" s="193"/>
      <c r="AUO43" s="193"/>
      <c r="AUP43" s="193"/>
      <c r="AUQ43" s="193"/>
      <c r="AUR43" s="193"/>
      <c r="AUS43" s="193"/>
      <c r="AUT43" s="193"/>
      <c r="AUU43" s="193"/>
      <c r="AUV43" s="193"/>
      <c r="AUW43" s="193"/>
      <c r="AUX43" s="193"/>
      <c r="AUY43" s="193"/>
      <c r="AUZ43" s="193"/>
      <c r="AVA43" s="193"/>
      <c r="AVB43" s="193"/>
      <c r="AVC43" s="193"/>
      <c r="AVD43" s="193"/>
      <c r="AVE43" s="193"/>
      <c r="AVF43" s="193"/>
      <c r="AVG43" s="193"/>
      <c r="AVH43" s="193"/>
      <c r="AVI43" s="193"/>
      <c r="AVJ43" s="193"/>
      <c r="AVK43" s="193"/>
      <c r="AVL43" s="193"/>
      <c r="AVM43" s="193"/>
      <c r="AVN43" s="193"/>
      <c r="AVO43" s="193"/>
      <c r="AVP43" s="193"/>
      <c r="AVQ43" s="193"/>
      <c r="AVR43" s="193"/>
      <c r="AVS43" s="193"/>
      <c r="AVT43" s="193"/>
      <c r="AVU43" s="193"/>
      <c r="AVV43" s="193"/>
      <c r="AVW43" s="193"/>
      <c r="AVX43" s="193"/>
      <c r="AVY43" s="193"/>
      <c r="AVZ43" s="193"/>
      <c r="AWA43" s="193"/>
      <c r="AWB43" s="193"/>
      <c r="AWC43" s="193"/>
      <c r="AWD43" s="193"/>
      <c r="AWE43" s="193"/>
      <c r="AWF43" s="193"/>
      <c r="AWG43" s="193"/>
      <c r="AWH43" s="193"/>
      <c r="AWI43" s="193"/>
      <c r="AWJ43" s="193"/>
      <c r="AWK43" s="193"/>
      <c r="AWL43" s="193"/>
      <c r="AWM43" s="193"/>
      <c r="AWN43" s="193"/>
      <c r="AWO43" s="193"/>
      <c r="AWP43" s="193"/>
      <c r="AWQ43" s="193"/>
      <c r="AWR43" s="193"/>
      <c r="AWS43" s="193"/>
      <c r="AWT43" s="193"/>
      <c r="AWU43" s="193"/>
      <c r="AWV43" s="193"/>
      <c r="AWW43" s="193"/>
      <c r="AWX43" s="193"/>
      <c r="AWY43" s="193"/>
      <c r="AWZ43" s="193"/>
      <c r="AXA43" s="193"/>
      <c r="AXB43" s="193"/>
      <c r="AXC43" s="193"/>
      <c r="AXD43" s="193"/>
      <c r="AXE43" s="193"/>
      <c r="AXF43" s="193"/>
      <c r="AXG43" s="193"/>
      <c r="AXH43" s="193"/>
      <c r="AXI43" s="193"/>
      <c r="AXJ43" s="193"/>
      <c r="AXK43" s="193"/>
      <c r="AXL43" s="193"/>
      <c r="AXM43" s="193"/>
      <c r="AXN43" s="193"/>
      <c r="AXO43" s="193"/>
      <c r="AXP43" s="193"/>
      <c r="AXQ43" s="193"/>
      <c r="AXR43" s="193"/>
      <c r="AXS43" s="193"/>
      <c r="AXT43" s="193"/>
      <c r="AXU43" s="193"/>
      <c r="AXV43" s="193"/>
      <c r="AXW43" s="193"/>
      <c r="AXX43" s="193"/>
      <c r="AXY43" s="193"/>
      <c r="AXZ43" s="193"/>
      <c r="AYA43" s="193"/>
      <c r="AYB43" s="193"/>
      <c r="AYC43" s="193"/>
      <c r="AYD43" s="193"/>
      <c r="AYE43" s="193"/>
      <c r="AYF43" s="193"/>
      <c r="AYG43" s="193"/>
      <c r="AYH43" s="193"/>
      <c r="AYI43" s="193"/>
      <c r="AYJ43" s="193"/>
      <c r="AYK43" s="193"/>
      <c r="AYL43" s="193"/>
      <c r="AYM43" s="193"/>
      <c r="AYN43" s="193"/>
      <c r="AYO43" s="193"/>
      <c r="AYP43" s="193"/>
      <c r="AYQ43" s="193"/>
      <c r="AYR43" s="193"/>
      <c r="AYS43" s="193"/>
      <c r="AYT43" s="193"/>
      <c r="AYU43" s="193"/>
      <c r="AYV43" s="193"/>
      <c r="AYW43" s="193"/>
      <c r="AYX43" s="193"/>
      <c r="AYY43" s="193"/>
      <c r="AYZ43" s="193"/>
      <c r="AZA43" s="193"/>
      <c r="AZB43" s="193"/>
      <c r="AZC43" s="193"/>
      <c r="AZD43" s="193"/>
      <c r="AZE43" s="193"/>
      <c r="AZF43" s="193"/>
      <c r="AZG43" s="193"/>
      <c r="AZH43" s="193"/>
      <c r="AZI43" s="193"/>
      <c r="AZJ43" s="193"/>
      <c r="AZK43" s="193"/>
      <c r="AZL43" s="193"/>
      <c r="AZM43" s="193"/>
      <c r="AZN43" s="193"/>
      <c r="AZO43" s="193"/>
      <c r="AZP43" s="193"/>
      <c r="AZQ43" s="193"/>
      <c r="AZR43" s="193"/>
      <c r="AZS43" s="193"/>
      <c r="AZT43" s="193"/>
      <c r="AZU43" s="193"/>
      <c r="AZV43" s="193"/>
      <c r="AZW43" s="193"/>
      <c r="AZX43" s="193"/>
      <c r="AZY43" s="193"/>
      <c r="AZZ43" s="193"/>
      <c r="BAA43" s="193"/>
      <c r="BAB43" s="193"/>
      <c r="BAC43" s="193"/>
      <c r="BAD43" s="193"/>
      <c r="BAE43" s="193"/>
      <c r="BAF43" s="193"/>
      <c r="BAG43" s="193"/>
      <c r="BAH43" s="193"/>
      <c r="BAI43" s="193"/>
      <c r="BAJ43" s="193"/>
      <c r="BAK43" s="193"/>
      <c r="BAL43" s="193"/>
      <c r="BAM43" s="193"/>
      <c r="BAN43" s="193"/>
      <c r="BAO43" s="193"/>
      <c r="BAP43" s="193"/>
      <c r="BAQ43" s="193"/>
      <c r="BAR43" s="193"/>
      <c r="BAS43" s="193"/>
      <c r="BAT43" s="193"/>
      <c r="BAU43" s="193"/>
      <c r="BAV43" s="193"/>
      <c r="BAW43" s="193"/>
      <c r="BAX43" s="193"/>
      <c r="BAY43" s="193"/>
      <c r="BAZ43" s="193"/>
      <c r="BBA43" s="193"/>
      <c r="BBB43" s="193"/>
      <c r="BBC43" s="193"/>
      <c r="BBD43" s="193"/>
      <c r="BBE43" s="193"/>
      <c r="BBF43" s="193"/>
      <c r="BBG43" s="193"/>
      <c r="BBH43" s="193"/>
      <c r="BBI43" s="193"/>
      <c r="BBJ43" s="193"/>
      <c r="BBK43" s="193"/>
      <c r="BBL43" s="193"/>
      <c r="BBM43" s="193"/>
      <c r="BBN43" s="193"/>
      <c r="BBO43" s="193"/>
      <c r="BBP43" s="193"/>
      <c r="BBQ43" s="193"/>
      <c r="BBR43" s="193"/>
      <c r="BBS43" s="193"/>
      <c r="BBT43" s="193"/>
      <c r="BBU43" s="193"/>
      <c r="BBV43" s="193"/>
      <c r="BBW43" s="193"/>
      <c r="BBX43" s="193"/>
      <c r="BBY43" s="193"/>
      <c r="BBZ43" s="193"/>
      <c r="BCA43" s="193"/>
      <c r="BCB43" s="193"/>
      <c r="BCC43" s="193"/>
      <c r="BCD43" s="193"/>
      <c r="BCE43" s="193"/>
      <c r="BCF43" s="193"/>
      <c r="BCG43" s="193"/>
      <c r="BCH43" s="193"/>
      <c r="BCI43" s="193"/>
      <c r="BCJ43" s="193"/>
      <c r="BCK43" s="193"/>
      <c r="BCL43" s="193"/>
      <c r="BCM43" s="193"/>
      <c r="BCN43" s="193"/>
      <c r="BCO43" s="193"/>
      <c r="BCP43" s="193"/>
      <c r="BCQ43" s="193"/>
      <c r="BCR43" s="193"/>
      <c r="BCS43" s="193"/>
      <c r="BCT43" s="193"/>
      <c r="BCU43" s="193"/>
      <c r="BCV43" s="193"/>
      <c r="BCW43" s="193"/>
      <c r="BCX43" s="193"/>
      <c r="BCY43" s="193"/>
      <c r="BCZ43" s="193"/>
      <c r="BDA43" s="193"/>
      <c r="BDB43" s="193"/>
      <c r="BDC43" s="193"/>
      <c r="BDD43" s="193"/>
      <c r="BDE43" s="193"/>
      <c r="BDF43" s="193"/>
      <c r="BDG43" s="193"/>
      <c r="BDH43" s="193"/>
      <c r="BDI43" s="193"/>
      <c r="BDJ43" s="193"/>
      <c r="BDK43" s="193"/>
      <c r="BDL43" s="193"/>
      <c r="BDM43" s="193"/>
      <c r="BDN43" s="193"/>
      <c r="BDO43" s="193"/>
      <c r="BDP43" s="193"/>
      <c r="BDQ43" s="193"/>
      <c r="BDR43" s="193"/>
      <c r="BDS43" s="193"/>
      <c r="BDT43" s="193"/>
      <c r="BDU43" s="193"/>
      <c r="BDV43" s="193"/>
      <c r="BDW43" s="193"/>
      <c r="BDX43" s="193"/>
      <c r="BDY43" s="193"/>
      <c r="BDZ43" s="193"/>
      <c r="BEA43" s="193"/>
      <c r="BEB43" s="193"/>
      <c r="BEC43" s="193"/>
      <c r="BED43" s="193"/>
      <c r="BEE43" s="193"/>
      <c r="BEF43" s="193"/>
      <c r="BEG43" s="193"/>
      <c r="BEH43" s="193"/>
      <c r="BEI43" s="193"/>
      <c r="BEJ43" s="193"/>
      <c r="BEK43" s="193"/>
      <c r="BEL43" s="193"/>
      <c r="BEM43" s="193"/>
      <c r="BEN43" s="193"/>
      <c r="BEO43" s="193"/>
      <c r="BEP43" s="193"/>
      <c r="BEQ43" s="193"/>
      <c r="BER43" s="193"/>
      <c r="BES43" s="193"/>
      <c r="BET43" s="193"/>
      <c r="BEU43" s="193"/>
      <c r="BEV43" s="193"/>
      <c r="BEW43" s="193"/>
      <c r="BEX43" s="193"/>
      <c r="BEY43" s="193"/>
      <c r="BEZ43" s="193"/>
      <c r="BFA43" s="193"/>
      <c r="BFB43" s="193"/>
      <c r="BFC43" s="193"/>
      <c r="BFD43" s="193"/>
      <c r="BFE43" s="193"/>
      <c r="BFF43" s="193"/>
      <c r="BFG43" s="193"/>
      <c r="BFH43" s="193"/>
      <c r="BFI43" s="193"/>
      <c r="BFJ43" s="193"/>
      <c r="BFK43" s="193"/>
      <c r="BFL43" s="193"/>
      <c r="BFM43" s="193"/>
      <c r="BFN43" s="193"/>
      <c r="BFO43" s="193"/>
      <c r="BFP43" s="193"/>
      <c r="BFQ43" s="193"/>
      <c r="BFR43" s="193"/>
      <c r="BFS43" s="193"/>
      <c r="BFT43" s="193"/>
      <c r="BFU43" s="193"/>
      <c r="BFV43" s="193"/>
      <c r="BFW43" s="193"/>
      <c r="BFX43" s="193"/>
      <c r="BFY43" s="193"/>
      <c r="BFZ43" s="193"/>
      <c r="BGA43" s="193"/>
      <c r="BGB43" s="193"/>
      <c r="BGC43" s="193"/>
      <c r="BGD43" s="193"/>
      <c r="BGE43" s="193"/>
      <c r="BGF43" s="193"/>
      <c r="BGG43" s="193"/>
      <c r="BGH43" s="193"/>
      <c r="BGI43" s="193"/>
      <c r="BGJ43" s="193"/>
      <c r="BGK43" s="193"/>
      <c r="BGL43" s="193"/>
      <c r="BGM43" s="193"/>
      <c r="BGN43" s="193"/>
      <c r="BGO43" s="193"/>
      <c r="BGP43" s="193"/>
      <c r="BGQ43" s="193"/>
      <c r="BGR43" s="193"/>
      <c r="BGS43" s="193"/>
      <c r="BGT43" s="193"/>
      <c r="BGU43" s="193"/>
      <c r="BGV43" s="193"/>
      <c r="BGW43" s="193"/>
      <c r="BGX43" s="193"/>
      <c r="BGY43" s="193"/>
      <c r="BGZ43" s="193"/>
      <c r="BHA43" s="193"/>
      <c r="BHB43" s="193"/>
      <c r="BHC43" s="193"/>
      <c r="BHD43" s="193"/>
      <c r="BHE43" s="193"/>
      <c r="BHF43" s="193"/>
      <c r="BHG43" s="193"/>
      <c r="BHH43" s="193"/>
      <c r="BHI43" s="193"/>
      <c r="BHJ43" s="193"/>
      <c r="BHK43" s="193"/>
      <c r="BHL43" s="193"/>
      <c r="BHM43" s="193"/>
      <c r="BHN43" s="193"/>
      <c r="BHO43" s="193"/>
      <c r="BHP43" s="193"/>
      <c r="BHQ43" s="193"/>
      <c r="BHR43" s="193"/>
      <c r="BHS43" s="193"/>
      <c r="BHT43" s="193"/>
      <c r="BHU43" s="193"/>
      <c r="BHV43" s="193"/>
      <c r="BHW43" s="193"/>
      <c r="BHX43" s="193"/>
      <c r="BHY43" s="193"/>
      <c r="BHZ43" s="193"/>
      <c r="BIA43" s="193"/>
      <c r="BIB43" s="193"/>
      <c r="BIC43" s="193"/>
      <c r="BID43" s="193"/>
      <c r="BIE43" s="193"/>
      <c r="BIF43" s="193"/>
      <c r="BIG43" s="193"/>
      <c r="BIH43" s="193"/>
      <c r="BII43" s="193"/>
      <c r="BIJ43" s="193"/>
      <c r="BIK43" s="193"/>
      <c r="BIL43" s="193"/>
      <c r="BIM43" s="193"/>
      <c r="BIN43" s="193"/>
      <c r="BIO43" s="193"/>
      <c r="BIP43" s="193"/>
      <c r="BIQ43" s="193"/>
      <c r="BIR43" s="193"/>
      <c r="BIS43" s="193"/>
      <c r="BIT43" s="193"/>
      <c r="BIU43" s="193"/>
      <c r="BIV43" s="193"/>
      <c r="BIW43" s="193"/>
      <c r="BIX43" s="193"/>
      <c r="BIY43" s="193"/>
      <c r="BIZ43" s="193"/>
      <c r="BJA43" s="193"/>
      <c r="BJB43" s="193"/>
      <c r="BJC43" s="193"/>
      <c r="BJD43" s="193"/>
      <c r="BJE43" s="193"/>
      <c r="BJF43" s="193"/>
      <c r="BJG43" s="193"/>
      <c r="BJH43" s="193"/>
      <c r="BJI43" s="193"/>
      <c r="BJJ43" s="193"/>
      <c r="BJK43" s="193"/>
      <c r="BJL43" s="193"/>
      <c r="BJM43" s="193"/>
      <c r="BJN43" s="193"/>
      <c r="BJO43" s="193"/>
      <c r="BJP43" s="193"/>
      <c r="BJQ43" s="193"/>
      <c r="BJR43" s="193"/>
      <c r="BJS43" s="193"/>
      <c r="BJT43" s="193"/>
      <c r="BJU43" s="193"/>
      <c r="BJV43" s="193"/>
      <c r="BJW43" s="193"/>
      <c r="BJX43" s="193"/>
      <c r="BJY43" s="193"/>
      <c r="BJZ43" s="193"/>
      <c r="BKA43" s="193"/>
      <c r="BKB43" s="193"/>
      <c r="BKC43" s="193"/>
      <c r="BKD43" s="193"/>
      <c r="BKE43" s="193"/>
      <c r="BKF43" s="193"/>
      <c r="BKG43" s="193"/>
      <c r="BKH43" s="193"/>
      <c r="BKI43" s="193"/>
      <c r="BKJ43" s="193"/>
      <c r="BKK43" s="193"/>
      <c r="BKL43" s="193"/>
      <c r="BKM43" s="193"/>
      <c r="BKN43" s="193"/>
      <c r="BKO43" s="193"/>
      <c r="BKP43" s="193"/>
      <c r="BKQ43" s="193"/>
      <c r="BKR43" s="193"/>
      <c r="BKS43" s="193"/>
      <c r="BKT43" s="193"/>
      <c r="BKU43" s="193"/>
      <c r="BKV43" s="193"/>
      <c r="BKW43" s="193"/>
      <c r="BKX43" s="193"/>
      <c r="BKY43" s="193"/>
      <c r="BKZ43" s="193"/>
      <c r="BLA43" s="193"/>
      <c r="BLB43" s="193"/>
      <c r="BLC43" s="193"/>
      <c r="BLD43" s="193"/>
      <c r="BLE43" s="193"/>
      <c r="BLF43" s="193"/>
      <c r="BLG43" s="193"/>
      <c r="BLH43" s="193"/>
      <c r="BLI43" s="193"/>
      <c r="BLJ43" s="193"/>
      <c r="BLK43" s="193"/>
      <c r="BLL43" s="193"/>
      <c r="BLM43" s="193"/>
      <c r="BLN43" s="193"/>
      <c r="BLO43" s="193"/>
      <c r="BLP43" s="193"/>
      <c r="BLQ43" s="193"/>
      <c r="BLR43" s="193"/>
      <c r="BLS43" s="193"/>
      <c r="BLT43" s="193"/>
      <c r="BLU43" s="193"/>
      <c r="BLV43" s="193"/>
      <c r="BLW43" s="193"/>
      <c r="BLX43" s="193"/>
      <c r="BLY43" s="193"/>
      <c r="BLZ43" s="193"/>
      <c r="BMA43" s="193"/>
      <c r="BMB43" s="193"/>
      <c r="BMC43" s="193"/>
      <c r="BMD43" s="193"/>
      <c r="BME43" s="193"/>
      <c r="BMF43" s="193"/>
      <c r="BMG43" s="193"/>
      <c r="BMH43" s="193"/>
      <c r="BMI43" s="193"/>
      <c r="BMJ43" s="193"/>
      <c r="BMK43" s="193"/>
      <c r="BML43" s="193"/>
      <c r="BMM43" s="193"/>
      <c r="BMN43" s="193"/>
      <c r="BMO43" s="193"/>
      <c r="BMP43" s="193"/>
      <c r="BMQ43" s="193"/>
      <c r="BMR43" s="193"/>
      <c r="BMS43" s="193"/>
      <c r="BMT43" s="193"/>
      <c r="BMU43" s="193"/>
      <c r="BMV43" s="193"/>
      <c r="BMW43" s="193"/>
      <c r="BMX43" s="193"/>
      <c r="BMY43" s="193"/>
      <c r="BMZ43" s="193"/>
      <c r="BNA43" s="193"/>
      <c r="BNB43" s="193"/>
      <c r="BNC43" s="193"/>
      <c r="BND43" s="193"/>
      <c r="BNE43" s="193"/>
      <c r="BNF43" s="193"/>
      <c r="BNG43" s="193"/>
      <c r="BNH43" s="193"/>
      <c r="BNI43" s="193"/>
      <c r="BNJ43" s="193"/>
      <c r="BNK43" s="193"/>
      <c r="BNL43" s="193"/>
      <c r="BNM43" s="193"/>
      <c r="BNN43" s="193"/>
      <c r="BNO43" s="193"/>
      <c r="BNP43" s="193"/>
      <c r="BNQ43" s="193"/>
      <c r="BNR43" s="193"/>
      <c r="BNS43" s="193"/>
      <c r="BNT43" s="193"/>
      <c r="BNU43" s="193"/>
      <c r="BNV43" s="193"/>
      <c r="BNW43" s="193"/>
      <c r="BNX43" s="193"/>
      <c r="BNY43" s="193"/>
      <c r="BNZ43" s="193"/>
      <c r="BOA43" s="193"/>
      <c r="BOB43" s="193"/>
      <c r="BOC43" s="193"/>
      <c r="BOD43" s="193"/>
      <c r="BOE43" s="193"/>
      <c r="BOF43" s="193"/>
      <c r="BOG43" s="193"/>
      <c r="BOH43" s="193"/>
      <c r="BOI43" s="193"/>
      <c r="BOJ43" s="193"/>
      <c r="BOK43" s="193"/>
      <c r="BOL43" s="193"/>
      <c r="BOM43" s="193"/>
      <c r="BON43" s="193"/>
      <c r="BOO43" s="193"/>
      <c r="BOP43" s="193"/>
      <c r="BOQ43" s="193"/>
      <c r="BOR43" s="193"/>
      <c r="BOS43" s="193"/>
      <c r="BOT43" s="193"/>
      <c r="BOU43" s="193"/>
      <c r="BOV43" s="193"/>
      <c r="BOW43" s="193"/>
      <c r="BOX43" s="193"/>
      <c r="BOY43" s="193"/>
      <c r="BOZ43" s="193"/>
      <c r="BPA43" s="193"/>
      <c r="BPB43" s="193"/>
      <c r="BPC43" s="193"/>
      <c r="BPD43" s="193"/>
      <c r="BPE43" s="193"/>
      <c r="BPF43" s="193"/>
      <c r="BPG43" s="193"/>
      <c r="BPH43" s="193"/>
      <c r="BPI43" s="193"/>
      <c r="BPJ43" s="193"/>
      <c r="BPK43" s="193"/>
      <c r="BPL43" s="193"/>
      <c r="BPM43" s="193"/>
      <c r="BPN43" s="193"/>
      <c r="BPO43" s="193"/>
      <c r="BPP43" s="193"/>
      <c r="BPQ43" s="193"/>
      <c r="BPR43" s="193"/>
      <c r="BPS43" s="193"/>
      <c r="BPT43" s="193"/>
      <c r="BPU43" s="193"/>
      <c r="BPV43" s="193"/>
      <c r="BPW43" s="193"/>
      <c r="BPX43" s="193"/>
      <c r="BPY43" s="193"/>
      <c r="BPZ43" s="193"/>
      <c r="BQA43" s="193"/>
      <c r="BQB43" s="193"/>
      <c r="BQC43" s="193"/>
      <c r="BQD43" s="193"/>
      <c r="BQE43" s="193"/>
      <c r="BQF43" s="193"/>
      <c r="BQG43" s="193"/>
      <c r="BQH43" s="193"/>
      <c r="BQI43" s="193"/>
      <c r="BQJ43" s="193"/>
      <c r="BQK43" s="193"/>
      <c r="BQL43" s="193"/>
      <c r="BQM43" s="193"/>
      <c r="BQN43" s="193"/>
      <c r="BQO43" s="193"/>
      <c r="BQP43" s="193"/>
      <c r="BQQ43" s="193"/>
      <c r="BQR43" s="193"/>
      <c r="BQS43" s="193"/>
      <c r="BQT43" s="193"/>
      <c r="BQU43" s="193"/>
      <c r="BQV43" s="193"/>
      <c r="BQW43" s="193"/>
      <c r="BQX43" s="193"/>
      <c r="BQY43" s="193"/>
      <c r="BQZ43" s="193"/>
      <c r="BRA43" s="193"/>
      <c r="BRB43" s="193"/>
      <c r="BRC43" s="193"/>
      <c r="BRD43" s="193"/>
      <c r="BRE43" s="193"/>
      <c r="BRF43" s="193"/>
      <c r="BRG43" s="193"/>
      <c r="BRH43" s="193"/>
      <c r="BRI43" s="193"/>
      <c r="BRJ43" s="193"/>
      <c r="BRK43" s="193"/>
      <c r="BRL43" s="193"/>
      <c r="BRM43" s="193"/>
      <c r="BRN43" s="193"/>
      <c r="BRO43" s="193"/>
      <c r="BRP43" s="193"/>
      <c r="BRQ43" s="193"/>
      <c r="BRR43" s="193"/>
      <c r="BRS43" s="193"/>
      <c r="BRT43" s="193"/>
      <c r="BRU43" s="193"/>
      <c r="BRV43" s="193"/>
      <c r="BRW43" s="193"/>
      <c r="BRX43" s="193"/>
      <c r="BRY43" s="193"/>
      <c r="BRZ43" s="193"/>
      <c r="BSA43" s="193"/>
      <c r="BSB43" s="193"/>
      <c r="BSC43" s="193"/>
      <c r="BSD43" s="193"/>
      <c r="BSE43" s="193"/>
      <c r="BSF43" s="193"/>
      <c r="BSG43" s="193"/>
      <c r="BSH43" s="193"/>
      <c r="BSI43" s="193"/>
      <c r="BSJ43" s="193"/>
      <c r="BSK43" s="193"/>
      <c r="BSL43" s="193"/>
      <c r="BSM43" s="193"/>
      <c r="BSN43" s="193"/>
      <c r="BSO43" s="193"/>
      <c r="BSP43" s="193"/>
      <c r="BSQ43" s="193"/>
      <c r="BSR43" s="193"/>
      <c r="BSS43" s="193"/>
      <c r="BST43" s="193"/>
      <c r="BSU43" s="193"/>
      <c r="BSV43" s="193"/>
      <c r="BSW43" s="193"/>
      <c r="BSX43" s="193"/>
      <c r="BSY43" s="193"/>
      <c r="BSZ43" s="193"/>
      <c r="BTA43" s="193"/>
      <c r="BTB43" s="193"/>
      <c r="BTC43" s="193"/>
      <c r="BTD43" s="193"/>
      <c r="BTE43" s="193"/>
      <c r="BTF43" s="193"/>
      <c r="BTG43" s="193"/>
      <c r="BTH43" s="193"/>
      <c r="BTI43" s="193"/>
      <c r="BTJ43" s="193"/>
      <c r="BTK43" s="193"/>
      <c r="BTL43" s="193"/>
      <c r="BTM43" s="193"/>
      <c r="BTN43" s="193"/>
      <c r="BTO43" s="193"/>
      <c r="BTP43" s="193"/>
      <c r="BTQ43" s="193"/>
      <c r="BTR43" s="193"/>
      <c r="BTS43" s="193"/>
      <c r="BTT43" s="193"/>
      <c r="BTU43" s="193"/>
      <c r="BTV43" s="193"/>
      <c r="BTW43" s="193"/>
      <c r="BTX43" s="193"/>
      <c r="BTY43" s="193"/>
      <c r="BTZ43" s="193"/>
      <c r="BUA43" s="193"/>
      <c r="BUB43" s="193"/>
      <c r="BUC43" s="193"/>
      <c r="BUD43" s="193"/>
      <c r="BUE43" s="193"/>
      <c r="BUF43" s="193"/>
      <c r="BUG43" s="193"/>
      <c r="BUH43" s="193"/>
      <c r="BUI43" s="193"/>
      <c r="BUJ43" s="193"/>
      <c r="BUK43" s="193"/>
      <c r="BUL43" s="193"/>
      <c r="BUM43" s="193"/>
      <c r="BUN43" s="193"/>
      <c r="BUO43" s="193"/>
      <c r="BUP43" s="193"/>
      <c r="BUQ43" s="193"/>
      <c r="BUR43" s="193"/>
      <c r="BUS43" s="193"/>
      <c r="BUT43" s="193"/>
      <c r="BUU43" s="193"/>
      <c r="BUV43" s="193"/>
      <c r="BUW43" s="193"/>
      <c r="BUX43" s="193"/>
      <c r="BUY43" s="193"/>
      <c r="BUZ43" s="193"/>
      <c r="BVA43" s="193"/>
      <c r="BVB43" s="193"/>
      <c r="BVC43" s="193"/>
      <c r="BVD43" s="193"/>
      <c r="BVE43" s="193"/>
      <c r="BVF43" s="193"/>
      <c r="BVG43" s="193"/>
      <c r="BVH43" s="193"/>
      <c r="BVI43" s="193"/>
      <c r="BVJ43" s="193"/>
      <c r="BVK43" s="193"/>
      <c r="BVL43" s="193"/>
      <c r="BVM43" s="193"/>
      <c r="BVN43" s="193"/>
      <c r="BVO43" s="193"/>
      <c r="BVP43" s="193"/>
      <c r="BVQ43" s="193"/>
      <c r="BVR43" s="193"/>
      <c r="BVS43" s="193"/>
      <c r="BVT43" s="193"/>
      <c r="BVU43" s="193"/>
      <c r="BVV43" s="193"/>
      <c r="BVW43" s="193"/>
      <c r="BVX43" s="193"/>
      <c r="BVY43" s="193"/>
      <c r="BVZ43" s="193"/>
      <c r="BWA43" s="193"/>
      <c r="BWB43" s="193"/>
      <c r="BWC43" s="193"/>
      <c r="BWD43" s="193"/>
      <c r="BWE43" s="193"/>
      <c r="BWF43" s="193"/>
      <c r="BWG43" s="193"/>
      <c r="BWH43" s="193"/>
      <c r="BWI43" s="193"/>
      <c r="BWJ43" s="193"/>
      <c r="BWK43" s="193"/>
      <c r="BWL43" s="193"/>
      <c r="BWM43" s="193"/>
      <c r="BWN43" s="193"/>
      <c r="BWO43" s="193"/>
      <c r="BWP43" s="193"/>
      <c r="BWQ43" s="193"/>
      <c r="BWR43" s="193"/>
      <c r="BWS43" s="193"/>
      <c r="BWT43" s="193"/>
      <c r="BWU43" s="193"/>
      <c r="BWV43" s="193"/>
      <c r="BWW43" s="193"/>
      <c r="BWX43" s="193"/>
      <c r="BWY43" s="193"/>
      <c r="BWZ43" s="193"/>
      <c r="BXA43" s="193"/>
      <c r="BXB43" s="193"/>
      <c r="BXC43" s="193"/>
      <c r="BXD43" s="193"/>
      <c r="BXE43" s="193"/>
      <c r="BXF43" s="193"/>
      <c r="BXG43" s="193"/>
      <c r="BXH43" s="193"/>
      <c r="BXI43" s="193"/>
      <c r="BXJ43" s="193"/>
      <c r="BXK43" s="193"/>
      <c r="BXL43" s="193"/>
      <c r="BXM43" s="193"/>
      <c r="BXN43" s="193"/>
      <c r="BXO43" s="193"/>
      <c r="BXP43" s="193"/>
      <c r="BXQ43" s="193"/>
      <c r="BXR43" s="193"/>
      <c r="BXS43" s="193"/>
      <c r="BXT43" s="193"/>
      <c r="BXU43" s="193"/>
      <c r="BXV43" s="193"/>
      <c r="BXW43" s="193"/>
      <c r="BXX43" s="193"/>
      <c r="BXY43" s="193"/>
      <c r="BXZ43" s="193"/>
      <c r="BYA43" s="193"/>
      <c r="BYB43" s="193"/>
      <c r="BYC43" s="193"/>
      <c r="BYD43" s="193"/>
      <c r="BYE43" s="193"/>
      <c r="BYF43" s="193"/>
      <c r="BYG43" s="193"/>
      <c r="BYH43" s="193"/>
      <c r="BYI43" s="193"/>
      <c r="BYJ43" s="193"/>
      <c r="BYK43" s="193"/>
      <c r="BYL43" s="193"/>
      <c r="BYM43" s="193"/>
      <c r="BYN43" s="193"/>
      <c r="BYO43" s="193"/>
      <c r="BYP43" s="193"/>
      <c r="BYQ43" s="193"/>
      <c r="BYR43" s="193"/>
      <c r="BYS43" s="193"/>
      <c r="BYT43" s="193"/>
      <c r="BYU43" s="193"/>
      <c r="BYV43" s="193"/>
      <c r="BYW43" s="193"/>
      <c r="BYX43" s="193"/>
      <c r="BYY43" s="193"/>
      <c r="BYZ43" s="193"/>
      <c r="BZA43" s="193"/>
      <c r="BZB43" s="193"/>
      <c r="BZC43" s="193"/>
      <c r="BZD43" s="193"/>
      <c r="BZE43" s="193"/>
      <c r="BZF43" s="193"/>
      <c r="BZG43" s="193"/>
      <c r="BZH43" s="193"/>
      <c r="BZI43" s="193"/>
      <c r="BZJ43" s="193"/>
      <c r="BZK43" s="193"/>
      <c r="BZL43" s="193"/>
      <c r="BZM43" s="193"/>
      <c r="BZN43" s="193"/>
      <c r="BZO43" s="193"/>
      <c r="BZP43" s="193"/>
      <c r="BZQ43" s="193"/>
      <c r="BZR43" s="193"/>
      <c r="BZS43" s="193"/>
      <c r="BZT43" s="193"/>
      <c r="BZU43" s="193"/>
      <c r="BZV43" s="193"/>
      <c r="BZW43" s="193"/>
      <c r="BZX43" s="193"/>
      <c r="BZY43" s="193"/>
      <c r="BZZ43" s="193"/>
      <c r="CAA43" s="193"/>
      <c r="CAB43" s="193"/>
      <c r="CAC43" s="193"/>
      <c r="CAD43" s="193"/>
      <c r="CAE43" s="193"/>
      <c r="CAF43" s="193"/>
      <c r="CAG43" s="193"/>
      <c r="CAH43" s="193"/>
      <c r="CAI43" s="193"/>
      <c r="CAJ43" s="193"/>
      <c r="CAK43" s="193"/>
      <c r="CAL43" s="193"/>
      <c r="CAM43" s="193"/>
      <c r="CAN43" s="193"/>
      <c r="CAO43" s="193"/>
      <c r="CAP43" s="193"/>
      <c r="CAQ43" s="193"/>
      <c r="CAR43" s="193"/>
      <c r="CAS43" s="193"/>
      <c r="CAT43" s="193"/>
      <c r="CAU43" s="193"/>
      <c r="CAV43" s="193"/>
      <c r="CAW43" s="193"/>
      <c r="CAX43" s="193"/>
      <c r="CAY43" s="193"/>
      <c r="CAZ43" s="193"/>
      <c r="CBA43" s="193"/>
      <c r="CBB43" s="193"/>
      <c r="CBC43" s="193"/>
      <c r="CBD43" s="193"/>
      <c r="CBE43" s="193"/>
      <c r="CBF43" s="193"/>
      <c r="CBG43" s="193"/>
      <c r="CBH43" s="193"/>
      <c r="CBI43" s="193"/>
      <c r="CBJ43" s="193"/>
      <c r="CBK43" s="193"/>
      <c r="CBL43" s="193"/>
      <c r="CBM43" s="193"/>
      <c r="CBN43" s="193"/>
      <c r="CBO43" s="193"/>
      <c r="CBP43" s="193"/>
      <c r="CBQ43" s="193"/>
      <c r="CBR43" s="193"/>
      <c r="CBS43" s="193"/>
      <c r="CBT43" s="193"/>
      <c r="CBU43" s="193"/>
      <c r="CBV43" s="193"/>
      <c r="CBW43" s="193"/>
      <c r="CBX43" s="193"/>
      <c r="CBY43" s="193"/>
      <c r="CBZ43" s="193"/>
      <c r="CCA43" s="193"/>
      <c r="CCB43" s="193"/>
      <c r="CCC43" s="193"/>
      <c r="CCD43" s="193"/>
      <c r="CCE43" s="193"/>
      <c r="CCF43" s="193"/>
      <c r="CCG43" s="193"/>
      <c r="CCH43" s="193"/>
      <c r="CCI43" s="193"/>
      <c r="CCJ43" s="193"/>
      <c r="CCK43" s="193"/>
      <c r="CCL43" s="193"/>
      <c r="CCM43" s="193"/>
      <c r="CCN43" s="193"/>
      <c r="CCO43" s="193"/>
      <c r="CCP43" s="193"/>
      <c r="CCQ43" s="193"/>
      <c r="CCR43" s="193"/>
      <c r="CCS43" s="193"/>
      <c r="CCT43" s="193"/>
      <c r="CCU43" s="193"/>
      <c r="CCV43" s="193"/>
      <c r="CCW43" s="193"/>
      <c r="CCX43" s="193"/>
      <c r="CCY43" s="193"/>
      <c r="CCZ43" s="193"/>
      <c r="CDA43" s="193"/>
      <c r="CDB43" s="193"/>
      <c r="CDC43" s="193"/>
      <c r="CDD43" s="193"/>
      <c r="CDE43" s="193"/>
      <c r="CDF43" s="193"/>
      <c r="CDG43" s="193"/>
      <c r="CDH43" s="193"/>
      <c r="CDI43" s="193"/>
      <c r="CDJ43" s="193"/>
      <c r="CDK43" s="193"/>
      <c r="CDL43" s="193"/>
      <c r="CDM43" s="193"/>
      <c r="CDN43" s="193"/>
      <c r="CDO43" s="193"/>
      <c r="CDP43" s="193"/>
      <c r="CDQ43" s="193"/>
      <c r="CDR43" s="193"/>
      <c r="CDS43" s="193"/>
      <c r="CDT43" s="193"/>
      <c r="CDU43" s="193"/>
      <c r="CDV43" s="193"/>
      <c r="CDW43" s="193"/>
      <c r="CDX43" s="193"/>
      <c r="CDY43" s="193"/>
      <c r="CDZ43" s="193"/>
      <c r="CEA43" s="193"/>
      <c r="CEB43" s="193"/>
      <c r="CEC43" s="193"/>
      <c r="CED43" s="193"/>
      <c r="CEE43" s="193"/>
      <c r="CEF43" s="193"/>
      <c r="CEG43" s="193"/>
      <c r="CEH43" s="193"/>
      <c r="CEI43" s="193"/>
      <c r="CEJ43" s="193"/>
      <c r="CEK43" s="193"/>
      <c r="CEL43" s="193"/>
      <c r="CEM43" s="193"/>
      <c r="CEN43" s="193"/>
      <c r="CEO43" s="193"/>
      <c r="CEP43" s="193"/>
      <c r="CEQ43" s="193"/>
      <c r="CER43" s="193"/>
      <c r="CES43" s="193"/>
      <c r="CET43" s="193"/>
      <c r="CEU43" s="193"/>
      <c r="CEV43" s="193"/>
      <c r="CEW43" s="193"/>
      <c r="CEX43" s="193"/>
      <c r="CEY43" s="193"/>
      <c r="CEZ43" s="193"/>
      <c r="CFA43" s="193"/>
      <c r="CFB43" s="193"/>
      <c r="CFC43" s="193"/>
      <c r="CFD43" s="193"/>
      <c r="CFE43" s="193"/>
      <c r="CFF43" s="193"/>
      <c r="CFG43" s="193"/>
      <c r="CFH43" s="193"/>
      <c r="CFI43" s="193"/>
      <c r="CFJ43" s="193"/>
      <c r="CFK43" s="193"/>
      <c r="CFL43" s="193"/>
      <c r="CFM43" s="193"/>
      <c r="CFN43" s="193"/>
      <c r="CFO43" s="193"/>
      <c r="CFP43" s="193"/>
      <c r="CFQ43" s="193"/>
      <c r="CFR43" s="193"/>
      <c r="CFS43" s="193"/>
      <c r="CFT43" s="193"/>
      <c r="CFU43" s="193"/>
      <c r="CFV43" s="193"/>
      <c r="CFW43" s="193"/>
      <c r="CFX43" s="193"/>
      <c r="CFY43" s="193"/>
      <c r="CFZ43" s="193"/>
      <c r="CGA43" s="193"/>
      <c r="CGB43" s="193"/>
      <c r="CGC43" s="193"/>
      <c r="CGD43" s="193"/>
      <c r="CGE43" s="193"/>
      <c r="CGF43" s="193"/>
      <c r="CGG43" s="193"/>
      <c r="CGH43" s="193"/>
      <c r="CGI43" s="193"/>
      <c r="CGJ43" s="193"/>
      <c r="CGK43" s="193"/>
      <c r="CGL43" s="193"/>
      <c r="CGM43" s="193"/>
      <c r="CGN43" s="193"/>
      <c r="CGO43" s="193"/>
      <c r="CGP43" s="193"/>
      <c r="CGQ43" s="193"/>
      <c r="CGR43" s="193"/>
      <c r="CGS43" s="193"/>
      <c r="CGT43" s="193"/>
      <c r="CGU43" s="193"/>
      <c r="CGV43" s="193"/>
      <c r="CGW43" s="193"/>
      <c r="CGX43" s="193"/>
      <c r="CGY43" s="193"/>
      <c r="CGZ43" s="193"/>
      <c r="CHA43" s="193"/>
      <c r="CHB43" s="193"/>
      <c r="CHC43" s="193"/>
      <c r="CHD43" s="193"/>
      <c r="CHE43" s="193"/>
      <c r="CHF43" s="193"/>
      <c r="CHG43" s="193"/>
      <c r="CHH43" s="193"/>
      <c r="CHI43" s="193"/>
      <c r="CHJ43" s="193"/>
      <c r="CHK43" s="193"/>
      <c r="CHL43" s="193"/>
      <c r="CHM43" s="193"/>
      <c r="CHN43" s="193"/>
      <c r="CHO43" s="193"/>
      <c r="CHP43" s="193"/>
      <c r="CHQ43" s="193"/>
      <c r="CHR43" s="193"/>
      <c r="CHS43" s="193"/>
      <c r="CHT43" s="193"/>
      <c r="CHU43" s="193"/>
      <c r="CHV43" s="193"/>
      <c r="CHW43" s="193"/>
      <c r="CHX43" s="193"/>
      <c r="CHY43" s="193"/>
      <c r="CHZ43" s="193"/>
      <c r="CIA43" s="193"/>
      <c r="CIB43" s="193"/>
      <c r="CIC43" s="193"/>
      <c r="CID43" s="193"/>
      <c r="CIE43" s="193"/>
      <c r="CIF43" s="193"/>
      <c r="CIG43" s="193"/>
      <c r="CIH43" s="193"/>
      <c r="CII43" s="193"/>
      <c r="CIJ43" s="193"/>
      <c r="CIK43" s="193"/>
      <c r="CIL43" s="193"/>
      <c r="CIM43" s="193"/>
      <c r="CIN43" s="193"/>
      <c r="CIO43" s="193"/>
      <c r="CIP43" s="193"/>
      <c r="CIQ43" s="193"/>
      <c r="CIR43" s="193"/>
      <c r="CIS43" s="193"/>
      <c r="CIT43" s="193"/>
      <c r="CIU43" s="193"/>
      <c r="CIV43" s="193"/>
      <c r="CIW43" s="193"/>
      <c r="CIX43" s="193"/>
      <c r="CIY43" s="193"/>
      <c r="CIZ43" s="193"/>
      <c r="CJA43" s="193"/>
      <c r="CJB43" s="193"/>
      <c r="CJC43" s="193"/>
      <c r="CJD43" s="193"/>
      <c r="CJE43" s="193"/>
      <c r="CJF43" s="193"/>
      <c r="CJG43" s="193"/>
      <c r="CJH43" s="193"/>
      <c r="CJI43" s="193"/>
      <c r="CJJ43" s="193"/>
      <c r="CJK43" s="193"/>
      <c r="CJL43" s="193"/>
      <c r="CJM43" s="193"/>
      <c r="CJN43" s="193"/>
      <c r="CJO43" s="193"/>
      <c r="CJP43" s="193"/>
      <c r="CJQ43" s="193"/>
      <c r="CJR43" s="193"/>
      <c r="CJS43" s="193"/>
      <c r="CJT43" s="193"/>
      <c r="CJU43" s="193"/>
      <c r="CJV43" s="193"/>
      <c r="CJW43" s="193"/>
      <c r="CJX43" s="193"/>
      <c r="CJY43" s="193"/>
      <c r="CJZ43" s="193"/>
      <c r="CKA43" s="193"/>
      <c r="CKB43" s="193"/>
      <c r="CKC43" s="193"/>
      <c r="CKD43" s="193"/>
      <c r="CKE43" s="193"/>
      <c r="CKF43" s="193"/>
      <c r="CKG43" s="193"/>
      <c r="CKH43" s="193"/>
      <c r="CKI43" s="193"/>
      <c r="CKJ43" s="193"/>
      <c r="CKK43" s="193"/>
      <c r="CKL43" s="193"/>
      <c r="CKM43" s="193"/>
      <c r="CKN43" s="193"/>
      <c r="CKO43" s="193"/>
      <c r="CKP43" s="193"/>
      <c r="CKQ43" s="193"/>
      <c r="CKR43" s="193"/>
      <c r="CKS43" s="193"/>
      <c r="CKT43" s="193"/>
      <c r="CKU43" s="193"/>
      <c r="CKV43" s="193"/>
      <c r="CKW43" s="193"/>
      <c r="CKX43" s="193"/>
      <c r="CKY43" s="193"/>
      <c r="CKZ43" s="193"/>
      <c r="CLA43" s="193"/>
      <c r="CLB43" s="193"/>
      <c r="CLC43" s="193"/>
      <c r="CLD43" s="193"/>
      <c r="CLE43" s="193"/>
      <c r="CLF43" s="193"/>
      <c r="CLG43" s="193"/>
      <c r="CLH43" s="193"/>
      <c r="CLI43" s="193"/>
      <c r="CLJ43" s="193"/>
      <c r="CLK43" s="193"/>
      <c r="CLL43" s="193"/>
      <c r="CLM43" s="193"/>
      <c r="CLN43" s="193"/>
      <c r="CLO43" s="193"/>
      <c r="CLP43" s="193"/>
      <c r="CLQ43" s="193"/>
      <c r="CLR43" s="193"/>
      <c r="CLS43" s="193"/>
      <c r="CLT43" s="193"/>
      <c r="CLU43" s="193"/>
      <c r="CLV43" s="193"/>
      <c r="CLW43" s="193"/>
      <c r="CLX43" s="193"/>
      <c r="CLY43" s="193"/>
      <c r="CLZ43" s="193"/>
      <c r="CMA43" s="193"/>
      <c r="CMB43" s="193"/>
      <c r="CMC43" s="193"/>
      <c r="CMD43" s="193"/>
      <c r="CME43" s="193"/>
      <c r="CMF43" s="193"/>
      <c r="CMG43" s="193"/>
      <c r="CMH43" s="193"/>
      <c r="CMI43" s="193"/>
      <c r="CMJ43" s="193"/>
      <c r="CMK43" s="193"/>
      <c r="CML43" s="193"/>
      <c r="CMM43" s="193"/>
      <c r="CMN43" s="193"/>
      <c r="CMO43" s="193"/>
      <c r="CMP43" s="193"/>
      <c r="CMQ43" s="193"/>
      <c r="CMR43" s="193"/>
      <c r="CMS43" s="193"/>
      <c r="CMT43" s="193"/>
      <c r="CMU43" s="193"/>
      <c r="CMV43" s="193"/>
      <c r="CMW43" s="193"/>
      <c r="CMX43" s="193"/>
      <c r="CMY43" s="193"/>
      <c r="CMZ43" s="193"/>
      <c r="CNA43" s="193"/>
      <c r="CNB43" s="193"/>
      <c r="CNC43" s="193"/>
      <c r="CND43" s="193"/>
      <c r="CNE43" s="193"/>
      <c r="CNF43" s="193"/>
      <c r="CNG43" s="193"/>
      <c r="CNH43" s="193"/>
      <c r="CNI43" s="193"/>
      <c r="CNJ43" s="193"/>
      <c r="CNK43" s="193"/>
      <c r="CNL43" s="193"/>
      <c r="CNM43" s="193"/>
      <c r="CNN43" s="193"/>
      <c r="CNO43" s="193"/>
      <c r="CNP43" s="193"/>
      <c r="CNQ43" s="193"/>
      <c r="CNR43" s="193"/>
      <c r="CNS43" s="193"/>
      <c r="CNT43" s="193"/>
      <c r="CNU43" s="193"/>
      <c r="CNV43" s="193"/>
      <c r="CNW43" s="193"/>
      <c r="CNX43" s="193"/>
      <c r="CNY43" s="193"/>
      <c r="CNZ43" s="193"/>
      <c r="COA43" s="193"/>
      <c r="COB43" s="193"/>
      <c r="COC43" s="193"/>
      <c r="COD43" s="193"/>
      <c r="COE43" s="193"/>
      <c r="COF43" s="193"/>
      <c r="COG43" s="193"/>
      <c r="COH43" s="193"/>
      <c r="COI43" s="193"/>
      <c r="COJ43" s="193"/>
      <c r="COK43" s="193"/>
      <c r="COL43" s="193"/>
      <c r="COM43" s="193"/>
      <c r="CON43" s="193"/>
      <c r="COO43" s="193"/>
      <c r="COP43" s="193"/>
      <c r="COQ43" s="193"/>
      <c r="COR43" s="193"/>
      <c r="COS43" s="193"/>
      <c r="COT43" s="193"/>
      <c r="COU43" s="193"/>
      <c r="COV43" s="193"/>
      <c r="COW43" s="193"/>
      <c r="COX43" s="193"/>
      <c r="COY43" s="193"/>
      <c r="COZ43" s="193"/>
      <c r="CPA43" s="193"/>
      <c r="CPB43" s="193"/>
      <c r="CPC43" s="193"/>
      <c r="CPD43" s="193"/>
      <c r="CPE43" s="193"/>
      <c r="CPF43" s="193"/>
      <c r="CPG43" s="193"/>
      <c r="CPH43" s="193"/>
      <c r="CPI43" s="193"/>
      <c r="CPJ43" s="193"/>
      <c r="CPK43" s="193"/>
      <c r="CPL43" s="193"/>
      <c r="CPM43" s="193"/>
      <c r="CPN43" s="193"/>
      <c r="CPO43" s="193"/>
      <c r="CPP43" s="193"/>
      <c r="CPQ43" s="193"/>
      <c r="CPR43" s="193"/>
      <c r="CPS43" s="193"/>
      <c r="CPT43" s="193"/>
      <c r="CPU43" s="193"/>
      <c r="CPV43" s="193"/>
      <c r="CPW43" s="193"/>
      <c r="CPX43" s="193"/>
      <c r="CPY43" s="193"/>
      <c r="CPZ43" s="193"/>
      <c r="CQA43" s="193"/>
      <c r="CQB43" s="193"/>
      <c r="CQC43" s="193"/>
      <c r="CQD43" s="193"/>
      <c r="CQE43" s="193"/>
      <c r="CQF43" s="193"/>
      <c r="CQG43" s="193"/>
      <c r="CQH43" s="193"/>
      <c r="CQI43" s="193"/>
      <c r="CQJ43" s="193"/>
      <c r="CQK43" s="193"/>
      <c r="CQL43" s="193"/>
      <c r="CQM43" s="193"/>
      <c r="CQN43" s="193"/>
      <c r="CQO43" s="193"/>
      <c r="CQP43" s="193"/>
      <c r="CQQ43" s="193"/>
      <c r="CQR43" s="193"/>
      <c r="CQS43" s="193"/>
      <c r="CQT43" s="193"/>
      <c r="CQU43" s="193"/>
      <c r="CQV43" s="193"/>
      <c r="CQW43" s="193"/>
      <c r="CQX43" s="193"/>
      <c r="CQY43" s="193"/>
      <c r="CQZ43" s="193"/>
      <c r="CRA43" s="193"/>
      <c r="CRB43" s="193"/>
      <c r="CRC43" s="193"/>
      <c r="CRD43" s="193"/>
      <c r="CRE43" s="193"/>
      <c r="CRF43" s="193"/>
      <c r="CRG43" s="193"/>
      <c r="CRH43" s="193"/>
      <c r="CRI43" s="193"/>
      <c r="CRJ43" s="193"/>
      <c r="CRK43" s="193"/>
      <c r="CRL43" s="193"/>
      <c r="CRM43" s="193"/>
      <c r="CRN43" s="193"/>
      <c r="CRO43" s="193"/>
      <c r="CRP43" s="193"/>
      <c r="CRQ43" s="193"/>
      <c r="CRR43" s="193"/>
      <c r="CRS43" s="193"/>
      <c r="CRT43" s="193"/>
      <c r="CRU43" s="193"/>
      <c r="CRV43" s="193"/>
      <c r="CRW43" s="193"/>
      <c r="CRX43" s="193"/>
      <c r="CRY43" s="193"/>
      <c r="CRZ43" s="193"/>
      <c r="CSA43" s="193"/>
      <c r="CSB43" s="193"/>
      <c r="CSC43" s="193"/>
      <c r="CSD43" s="193"/>
      <c r="CSE43" s="193"/>
      <c r="CSF43" s="193"/>
      <c r="CSG43" s="193"/>
      <c r="CSH43" s="193"/>
      <c r="CSI43" s="193"/>
      <c r="CSJ43" s="193"/>
      <c r="CSK43" s="193"/>
      <c r="CSL43" s="193"/>
      <c r="CSM43" s="193"/>
      <c r="CSN43" s="193"/>
      <c r="CSO43" s="193"/>
      <c r="CSP43" s="193"/>
      <c r="CSQ43" s="193"/>
      <c r="CSR43" s="193"/>
      <c r="CSS43" s="193"/>
      <c r="CST43" s="193"/>
      <c r="CSU43" s="193"/>
      <c r="CSV43" s="193"/>
      <c r="CSW43" s="193"/>
      <c r="CSX43" s="193"/>
      <c r="CSY43" s="193"/>
      <c r="CSZ43" s="193"/>
      <c r="CTA43" s="193"/>
      <c r="CTB43" s="193"/>
      <c r="CTC43" s="193"/>
      <c r="CTD43" s="193"/>
      <c r="CTE43" s="193"/>
      <c r="CTF43" s="193"/>
      <c r="CTG43" s="193"/>
      <c r="CTH43" s="193"/>
      <c r="CTI43" s="193"/>
      <c r="CTJ43" s="193"/>
      <c r="CTK43" s="193"/>
      <c r="CTL43" s="193"/>
      <c r="CTM43" s="193"/>
      <c r="CTN43" s="193"/>
      <c r="CTO43" s="193"/>
      <c r="CTP43" s="193"/>
      <c r="CTQ43" s="193"/>
      <c r="CTR43" s="193"/>
      <c r="CTS43" s="193"/>
      <c r="CTT43" s="193"/>
      <c r="CTU43" s="193"/>
      <c r="CTV43" s="193"/>
      <c r="CTW43" s="193"/>
      <c r="CTX43" s="193"/>
      <c r="CTY43" s="193"/>
      <c r="CTZ43" s="193"/>
      <c r="CUA43" s="193"/>
    </row>
    <row r="44" s="192" customFormat="1" spans="1:1024 1025:2575">
      <c r="A44" s="238" t="s">
        <v>32</v>
      </c>
      <c r="B44" s="239">
        <f t="shared" si="31"/>
        <v>10</v>
      </c>
      <c r="C44" s="240">
        <f t="shared" si="26"/>
        <v>45559</v>
      </c>
      <c r="D44" s="241">
        <f t="shared" si="22"/>
        <v>45565</v>
      </c>
      <c r="E44" s="242">
        <v>1305</v>
      </c>
      <c r="F44" s="243">
        <f t="shared" si="27"/>
        <v>45579</v>
      </c>
      <c r="G44" s="242">
        <v>1138</v>
      </c>
      <c r="H44" s="36">
        <f t="shared" si="10"/>
        <v>0.872030651340996</v>
      </c>
      <c r="I44" s="241">
        <f t="shared" si="28"/>
        <v>45596</v>
      </c>
      <c r="J44" s="242">
        <v>1106</v>
      </c>
      <c r="K44" s="36">
        <f t="shared" si="0"/>
        <v>0.847509578544061</v>
      </c>
      <c r="L44" s="241">
        <f t="shared" si="29"/>
        <v>45599</v>
      </c>
      <c r="M44" s="242">
        <v>1100</v>
      </c>
      <c r="N44" s="242">
        <v>10450</v>
      </c>
      <c r="O44" s="36">
        <f t="shared" si="1"/>
        <v>0.842911877394636</v>
      </c>
      <c r="P44" s="36">
        <f t="shared" si="7"/>
        <v>0.0291187739463602</v>
      </c>
      <c r="Q44" s="244">
        <f t="shared" si="2"/>
        <v>9.5</v>
      </c>
      <c r="R44" s="241">
        <f t="shared" si="30"/>
        <v>45631</v>
      </c>
      <c r="S44" s="245">
        <v>10155</v>
      </c>
      <c r="T44" s="239">
        <v>920</v>
      </c>
      <c r="U44" s="36">
        <f t="shared" si="3"/>
        <v>0.97177033492823</v>
      </c>
      <c r="V44" s="241">
        <f t="shared" si="19"/>
        <v>45666</v>
      </c>
      <c r="W44" s="245">
        <v>9706</v>
      </c>
      <c r="X44" s="36">
        <f t="shared" si="4"/>
        <v>0.955785327424914</v>
      </c>
      <c r="Y44" s="239">
        <v>23279.5</v>
      </c>
      <c r="Z44" s="55">
        <v>15</v>
      </c>
      <c r="AA44" s="55">
        <f t="shared" si="32"/>
        <v>2.39846486709252</v>
      </c>
      <c r="AB44" s="55">
        <f t="shared" si="5"/>
        <v>7.43754789272031</v>
      </c>
      <c r="AC44" s="55">
        <v>3.28</v>
      </c>
      <c r="AD44" s="245">
        <v>3.4</v>
      </c>
      <c r="AE44" s="55">
        <v>58.5</v>
      </c>
      <c r="AF44" s="245"/>
      <c r="AG44" s="246"/>
      <c r="AH44" s="246"/>
      <c r="AI44" s="246"/>
      <c r="AJ44" s="246"/>
      <c r="AK44" s="246"/>
      <c r="AL44" s="246"/>
      <c r="AM44" s="246"/>
      <c r="AN44" s="246"/>
      <c r="AO44" s="246"/>
      <c r="AP44" s="246"/>
      <c r="AQ44" s="246"/>
      <c r="AR44" s="246"/>
      <c r="AS44" s="247"/>
      <c r="AT44" s="247"/>
      <c r="AU44" s="247"/>
      <c r="AV44" s="247"/>
      <c r="AW44" s="247"/>
      <c r="AX44" s="247"/>
      <c r="AY44" s="247"/>
      <c r="AZ44" s="247"/>
      <c r="BA44" s="247"/>
      <c r="BB44" s="247"/>
      <c r="BC44" s="247"/>
      <c r="BD44" s="247"/>
      <c r="BE44" s="247"/>
      <c r="BF44" s="247"/>
      <c r="BG44" s="247"/>
      <c r="BH44" s="247"/>
      <c r="BI44" s="247"/>
      <c r="BJ44" s="247"/>
      <c r="BK44" s="247"/>
      <c r="BL44" s="247"/>
      <c r="BM44" s="247"/>
      <c r="BN44" s="247"/>
      <c r="BO44" s="247"/>
      <c r="BP44" s="247"/>
      <c r="BQ44" s="247"/>
      <c r="BR44" s="247"/>
      <c r="BS44" s="247"/>
      <c r="BT44" s="247"/>
      <c r="BU44" s="247"/>
      <c r="BV44" s="247"/>
      <c r="BW44" s="247"/>
      <c r="BX44" s="247"/>
      <c r="BY44" s="247"/>
      <c r="BZ44" s="247"/>
      <c r="CA44" s="247"/>
      <c r="CB44" s="247"/>
      <c r="CC44" s="247"/>
      <c r="CD44" s="247"/>
      <c r="CE44" s="247"/>
      <c r="CF44" s="247"/>
      <c r="CG44" s="247"/>
      <c r="CH44" s="247"/>
      <c r="CI44" s="247"/>
      <c r="CJ44" s="247"/>
      <c r="CK44" s="247"/>
      <c r="CL44" s="247"/>
      <c r="CM44" s="247"/>
      <c r="CN44" s="247"/>
      <c r="CO44" s="247"/>
      <c r="CP44" s="247"/>
      <c r="CQ44" s="247"/>
      <c r="CR44" s="247"/>
      <c r="CS44" s="247"/>
      <c r="CT44" s="247"/>
      <c r="CU44" s="247"/>
      <c r="CV44" s="247"/>
      <c r="CW44" s="247"/>
      <c r="CX44" s="247"/>
      <c r="CY44" s="247"/>
      <c r="CZ44" s="247"/>
      <c r="DA44" s="247"/>
      <c r="DB44" s="247"/>
      <c r="DC44" s="247"/>
      <c r="DD44" s="247"/>
      <c r="DE44" s="247"/>
      <c r="DF44" s="247"/>
      <c r="DG44" s="247"/>
      <c r="DH44" s="247"/>
      <c r="DI44" s="247"/>
      <c r="DJ44" s="247"/>
      <c r="DK44" s="247"/>
      <c r="DL44" s="247"/>
      <c r="DM44" s="247"/>
      <c r="DN44" s="247"/>
      <c r="DO44" s="247"/>
      <c r="DP44" s="247"/>
      <c r="DQ44" s="247"/>
      <c r="DR44" s="247"/>
      <c r="DS44" s="247"/>
      <c r="DT44" s="247"/>
      <c r="DU44" s="247"/>
      <c r="DV44" s="247"/>
      <c r="DW44" s="247"/>
      <c r="DX44" s="247"/>
      <c r="DY44" s="247"/>
      <c r="DZ44" s="247"/>
      <c r="EA44" s="247"/>
      <c r="EB44" s="247"/>
      <c r="EC44" s="247"/>
      <c r="ED44" s="247"/>
      <c r="EE44" s="247"/>
      <c r="EF44" s="247"/>
      <c r="EG44" s="247"/>
      <c r="EH44" s="247"/>
      <c r="EI44" s="247"/>
      <c r="EJ44" s="247"/>
      <c r="EK44" s="247"/>
      <c r="EL44" s="247"/>
      <c r="EM44" s="247"/>
      <c r="EN44" s="247"/>
      <c r="EO44" s="247"/>
      <c r="EP44" s="247"/>
      <c r="EQ44" s="247"/>
      <c r="ER44" s="247"/>
      <c r="ES44" s="247"/>
      <c r="ET44" s="247"/>
      <c r="EU44" s="247"/>
      <c r="EV44" s="247"/>
      <c r="EW44" s="247"/>
      <c r="EX44" s="247"/>
      <c r="EY44" s="247"/>
      <c r="EZ44" s="247"/>
      <c r="FA44" s="247"/>
      <c r="FB44" s="247"/>
      <c r="FC44" s="247"/>
      <c r="FD44" s="247"/>
      <c r="FE44" s="247"/>
      <c r="FF44" s="247"/>
      <c r="FG44" s="247"/>
      <c r="FH44" s="247"/>
      <c r="FI44" s="247"/>
      <c r="FJ44" s="247"/>
      <c r="FK44" s="247"/>
      <c r="FL44" s="247"/>
      <c r="FM44" s="247"/>
      <c r="FN44" s="247"/>
      <c r="FO44" s="247"/>
      <c r="FP44" s="247"/>
      <c r="FQ44" s="247"/>
      <c r="FR44" s="247"/>
      <c r="FS44" s="247"/>
      <c r="FT44" s="247"/>
      <c r="FU44" s="247"/>
      <c r="FV44" s="247"/>
      <c r="FW44" s="247"/>
      <c r="FX44" s="247"/>
      <c r="FY44" s="247"/>
      <c r="FZ44" s="247"/>
      <c r="GA44" s="247"/>
      <c r="GB44" s="247"/>
      <c r="GC44" s="247"/>
      <c r="GD44" s="247"/>
      <c r="GE44" s="247"/>
      <c r="GF44" s="247"/>
      <c r="GG44" s="247"/>
      <c r="GH44" s="247"/>
      <c r="GI44" s="247"/>
      <c r="GJ44" s="247"/>
      <c r="GK44" s="247"/>
      <c r="GL44" s="247"/>
      <c r="GM44" s="247"/>
      <c r="GN44" s="247"/>
      <c r="GO44" s="247"/>
      <c r="GP44" s="247"/>
      <c r="GQ44" s="247"/>
      <c r="GR44" s="247"/>
      <c r="GS44" s="247"/>
      <c r="GT44" s="247"/>
      <c r="GU44" s="247"/>
      <c r="GV44" s="247"/>
      <c r="GW44" s="247"/>
      <c r="GX44" s="247"/>
      <c r="GY44" s="247"/>
      <c r="GZ44" s="247"/>
      <c r="HA44" s="247"/>
      <c r="HB44" s="247"/>
      <c r="HC44" s="247"/>
      <c r="HD44" s="247"/>
      <c r="HE44" s="247"/>
      <c r="HF44" s="247"/>
      <c r="HG44" s="247"/>
      <c r="HH44" s="247"/>
      <c r="HI44" s="247"/>
      <c r="HJ44" s="247"/>
      <c r="HK44" s="247"/>
      <c r="HL44" s="247"/>
      <c r="HM44" s="247"/>
      <c r="HN44" s="247"/>
      <c r="HO44" s="247"/>
      <c r="HP44" s="247"/>
      <c r="HQ44" s="247"/>
      <c r="HR44" s="247"/>
      <c r="HS44" s="247"/>
      <c r="HT44" s="247"/>
      <c r="HU44" s="247"/>
      <c r="HV44" s="247"/>
      <c r="HW44" s="247"/>
      <c r="HX44" s="247"/>
      <c r="HY44" s="247"/>
      <c r="HZ44" s="247"/>
      <c r="IA44" s="247"/>
      <c r="IB44" s="247"/>
      <c r="IC44" s="247"/>
      <c r="ID44" s="247"/>
      <c r="IE44" s="247"/>
      <c r="IF44" s="247"/>
      <c r="IG44" s="247"/>
      <c r="IH44" s="247"/>
      <c r="II44" s="247"/>
      <c r="IJ44" s="247"/>
      <c r="IK44" s="247"/>
      <c r="IL44" s="247"/>
      <c r="IM44" s="247"/>
      <c r="IN44" s="247"/>
      <c r="IO44" s="247"/>
      <c r="IP44" s="247"/>
      <c r="IQ44" s="247"/>
      <c r="IR44" s="247"/>
      <c r="IS44" s="247"/>
      <c r="IT44" s="247"/>
      <c r="IU44" s="247"/>
      <c r="IV44" s="247"/>
      <c r="IW44" s="247"/>
      <c r="IX44" s="247"/>
      <c r="IY44" s="247"/>
      <c r="IZ44" s="247"/>
      <c r="JA44" s="247"/>
      <c r="JB44" s="247"/>
      <c r="JC44" s="247"/>
      <c r="JD44" s="247"/>
      <c r="JE44" s="247"/>
      <c r="JF44" s="247"/>
      <c r="JG44" s="247"/>
      <c r="JH44" s="247"/>
      <c r="JI44" s="247"/>
      <c r="JJ44" s="247"/>
      <c r="JK44" s="247"/>
      <c r="JL44" s="247"/>
      <c r="JM44" s="247"/>
      <c r="JN44" s="247"/>
      <c r="JO44" s="247"/>
      <c r="JP44" s="247"/>
      <c r="JQ44" s="247"/>
      <c r="JR44" s="247"/>
      <c r="JS44" s="247"/>
      <c r="JT44" s="247"/>
      <c r="JU44" s="247"/>
      <c r="JV44" s="247"/>
      <c r="JW44" s="247"/>
      <c r="JX44" s="247"/>
      <c r="JY44" s="247"/>
      <c r="JZ44" s="247"/>
      <c r="KA44" s="247"/>
      <c r="KB44" s="247"/>
      <c r="KC44" s="247"/>
      <c r="KD44" s="247"/>
      <c r="KE44" s="247"/>
      <c r="KF44" s="247"/>
      <c r="KG44" s="247"/>
      <c r="KH44" s="247"/>
      <c r="KI44" s="247"/>
      <c r="KJ44" s="247"/>
      <c r="KK44" s="247"/>
      <c r="KL44" s="247"/>
      <c r="KM44" s="247"/>
      <c r="KN44" s="247"/>
      <c r="KO44" s="247"/>
      <c r="KP44" s="247"/>
      <c r="KQ44" s="247"/>
      <c r="KR44" s="247"/>
      <c r="KS44" s="247"/>
      <c r="KT44" s="247"/>
      <c r="KU44" s="247"/>
      <c r="KV44" s="247"/>
      <c r="KW44" s="247"/>
      <c r="KX44" s="247"/>
      <c r="KY44" s="247"/>
      <c r="KZ44" s="247"/>
      <c r="LA44" s="247"/>
      <c r="LB44" s="247"/>
      <c r="LC44" s="247"/>
      <c r="LD44" s="247"/>
      <c r="LE44" s="247"/>
      <c r="LF44" s="247"/>
      <c r="LG44" s="247"/>
      <c r="LH44" s="247"/>
      <c r="LI44" s="247"/>
      <c r="LJ44" s="247"/>
      <c r="LK44" s="247"/>
      <c r="LL44" s="247"/>
      <c r="LM44" s="247"/>
      <c r="LN44" s="247"/>
      <c r="LO44" s="247"/>
      <c r="LP44" s="247"/>
      <c r="LQ44" s="247"/>
      <c r="LR44" s="247"/>
      <c r="LS44" s="247"/>
      <c r="LT44" s="247"/>
      <c r="LU44" s="247"/>
      <c r="LV44" s="247"/>
      <c r="LW44" s="247"/>
      <c r="LX44" s="247"/>
      <c r="LY44" s="247"/>
      <c r="LZ44" s="247"/>
      <c r="MA44" s="247"/>
      <c r="MB44" s="247"/>
      <c r="MC44" s="247"/>
      <c r="MD44" s="247"/>
      <c r="ME44" s="247"/>
      <c r="MF44" s="247"/>
      <c r="MG44" s="247"/>
      <c r="MH44" s="247"/>
      <c r="MI44" s="247"/>
      <c r="MJ44" s="247"/>
      <c r="MK44" s="247"/>
      <c r="ML44" s="247"/>
      <c r="MM44" s="247"/>
      <c r="MN44" s="247"/>
      <c r="MO44" s="247"/>
      <c r="MP44" s="247"/>
      <c r="MQ44" s="247"/>
      <c r="MR44" s="247"/>
      <c r="MS44" s="247"/>
      <c r="MT44" s="247"/>
      <c r="MU44" s="247"/>
      <c r="MV44" s="247"/>
      <c r="MW44" s="247"/>
      <c r="MX44" s="247"/>
      <c r="MY44" s="247"/>
      <c r="MZ44" s="247"/>
      <c r="NA44" s="247"/>
      <c r="NB44" s="247"/>
      <c r="NC44" s="247"/>
      <c r="ND44" s="247"/>
      <c r="NE44" s="247"/>
      <c r="NF44" s="247"/>
      <c r="NG44" s="247"/>
      <c r="NH44" s="247"/>
      <c r="NI44" s="247"/>
      <c r="NJ44" s="247"/>
      <c r="NK44" s="247"/>
      <c r="NL44" s="247"/>
      <c r="NM44" s="247"/>
      <c r="NN44" s="247"/>
      <c r="NO44" s="247"/>
      <c r="NP44" s="247"/>
      <c r="NQ44" s="247"/>
      <c r="NR44" s="247"/>
      <c r="NS44" s="247"/>
      <c r="NT44" s="247"/>
      <c r="NU44" s="247"/>
      <c r="NV44" s="247"/>
      <c r="NW44" s="247"/>
      <c r="NX44" s="247"/>
      <c r="NY44" s="247"/>
      <c r="NZ44" s="247"/>
      <c r="OA44" s="247"/>
      <c r="OB44" s="247"/>
      <c r="OC44" s="247"/>
      <c r="OD44" s="247"/>
      <c r="OE44" s="247"/>
      <c r="OF44" s="247"/>
      <c r="OG44" s="247"/>
      <c r="OH44" s="247"/>
      <c r="OI44" s="247"/>
      <c r="OJ44" s="247"/>
      <c r="OK44" s="247"/>
      <c r="OL44" s="247"/>
      <c r="OM44" s="247"/>
      <c r="ON44" s="247"/>
      <c r="OO44" s="247"/>
      <c r="OP44" s="247"/>
      <c r="OQ44" s="247"/>
      <c r="OR44" s="247"/>
      <c r="OS44" s="247"/>
      <c r="OT44" s="247"/>
      <c r="OU44" s="247"/>
      <c r="OV44" s="247"/>
      <c r="OW44" s="247"/>
      <c r="OX44" s="247"/>
      <c r="OY44" s="247"/>
      <c r="OZ44" s="247"/>
      <c r="PA44" s="247"/>
      <c r="PB44" s="247"/>
      <c r="PC44" s="247"/>
      <c r="PD44" s="247"/>
      <c r="PE44" s="247"/>
      <c r="PF44" s="247"/>
      <c r="PG44" s="247"/>
      <c r="PH44" s="247"/>
      <c r="PI44" s="247"/>
      <c r="PJ44" s="247"/>
      <c r="PK44" s="247"/>
      <c r="PL44" s="247"/>
      <c r="PM44" s="247"/>
      <c r="PN44" s="247"/>
      <c r="PO44" s="247"/>
      <c r="PP44" s="247"/>
      <c r="PQ44" s="247"/>
      <c r="PR44" s="247"/>
      <c r="PS44" s="247"/>
      <c r="PT44" s="247"/>
      <c r="PU44" s="247"/>
      <c r="PV44" s="247"/>
      <c r="PW44" s="247"/>
      <c r="PX44" s="247"/>
      <c r="PY44" s="247"/>
      <c r="PZ44" s="247"/>
      <c r="QA44" s="247"/>
      <c r="QB44" s="247"/>
      <c r="QC44" s="247"/>
      <c r="QD44" s="247"/>
      <c r="QE44" s="247"/>
      <c r="QF44" s="247"/>
      <c r="QG44" s="247"/>
      <c r="QH44" s="247"/>
      <c r="QI44" s="247"/>
      <c r="QJ44" s="247"/>
      <c r="QK44" s="247"/>
      <c r="QL44" s="247"/>
      <c r="QM44" s="247"/>
      <c r="QN44" s="247"/>
      <c r="QO44" s="247"/>
      <c r="QP44" s="247"/>
      <c r="QQ44" s="247"/>
      <c r="QR44" s="247"/>
      <c r="QS44" s="247"/>
      <c r="QT44" s="247"/>
      <c r="QU44" s="247"/>
      <c r="QV44" s="247"/>
      <c r="QW44" s="247"/>
      <c r="QX44" s="247"/>
      <c r="QY44" s="247"/>
      <c r="QZ44" s="247"/>
      <c r="RA44" s="247"/>
      <c r="RB44" s="247"/>
      <c r="RC44" s="247"/>
      <c r="RD44" s="247"/>
      <c r="RE44" s="247"/>
      <c r="RF44" s="247"/>
      <c r="RG44" s="247"/>
      <c r="RH44" s="247"/>
      <c r="RI44" s="247"/>
      <c r="RJ44" s="247"/>
      <c r="RK44" s="247"/>
      <c r="RL44" s="247"/>
      <c r="RM44" s="247"/>
      <c r="RN44" s="247"/>
      <c r="RO44" s="247"/>
      <c r="RP44" s="247"/>
      <c r="RQ44" s="247"/>
      <c r="RR44" s="247"/>
      <c r="RS44" s="247"/>
      <c r="RT44" s="247"/>
      <c r="RU44" s="247"/>
      <c r="RV44" s="247"/>
      <c r="RW44" s="247"/>
      <c r="RX44" s="247"/>
      <c r="RY44" s="247"/>
      <c r="RZ44" s="247"/>
      <c r="SA44" s="247"/>
      <c r="SB44" s="247"/>
      <c r="SC44" s="247"/>
      <c r="SD44" s="247"/>
      <c r="SE44" s="247"/>
      <c r="SF44" s="247"/>
      <c r="SG44" s="247"/>
      <c r="SH44" s="247"/>
      <c r="SI44" s="247"/>
      <c r="SJ44" s="247"/>
      <c r="SK44" s="247"/>
      <c r="SL44" s="247"/>
      <c r="SM44" s="247"/>
      <c r="SN44" s="247"/>
      <c r="SO44" s="247"/>
      <c r="SP44" s="247"/>
      <c r="SQ44" s="247"/>
      <c r="SR44" s="247"/>
      <c r="SS44" s="247"/>
      <c r="ST44" s="247"/>
      <c r="SU44" s="247"/>
      <c r="SV44" s="247"/>
      <c r="SW44" s="247"/>
      <c r="SX44" s="247"/>
      <c r="SY44" s="247"/>
      <c r="SZ44" s="247"/>
      <c r="TA44" s="247"/>
      <c r="TB44" s="247"/>
      <c r="TC44" s="247"/>
      <c r="TD44" s="247"/>
      <c r="TE44" s="247"/>
      <c r="TF44" s="247"/>
      <c r="TG44" s="247"/>
      <c r="TH44" s="247"/>
      <c r="TI44" s="247"/>
      <c r="TJ44" s="247"/>
      <c r="TK44" s="247"/>
      <c r="TL44" s="247"/>
      <c r="TM44" s="247"/>
      <c r="TN44" s="247"/>
      <c r="TO44" s="247"/>
      <c r="TP44" s="247"/>
      <c r="TQ44" s="247"/>
      <c r="TR44" s="247"/>
      <c r="TS44" s="247"/>
      <c r="TT44" s="247"/>
      <c r="TU44" s="247"/>
      <c r="TV44" s="247"/>
      <c r="TW44" s="247"/>
      <c r="TX44" s="247"/>
      <c r="TY44" s="247"/>
      <c r="TZ44" s="247"/>
      <c r="UA44" s="247"/>
      <c r="UB44" s="247"/>
      <c r="UC44" s="247"/>
      <c r="UD44" s="247"/>
      <c r="UE44" s="247"/>
      <c r="UF44" s="247"/>
      <c r="UG44" s="247"/>
      <c r="UH44" s="247"/>
      <c r="UI44" s="247"/>
      <c r="UJ44" s="247"/>
      <c r="UK44" s="247"/>
      <c r="UL44" s="247"/>
      <c r="UM44" s="247"/>
      <c r="UN44" s="247"/>
      <c r="UO44" s="247"/>
      <c r="UP44" s="247"/>
      <c r="UQ44" s="247"/>
      <c r="UR44" s="247"/>
      <c r="US44" s="247"/>
      <c r="UT44" s="247"/>
      <c r="UU44" s="247"/>
      <c r="UV44" s="247"/>
      <c r="UW44" s="247"/>
      <c r="UX44" s="247"/>
      <c r="UY44" s="247"/>
      <c r="UZ44" s="247"/>
      <c r="VA44" s="247"/>
      <c r="VB44" s="247"/>
      <c r="VC44" s="247"/>
      <c r="VD44" s="247"/>
      <c r="VE44" s="247"/>
      <c r="VF44" s="247"/>
      <c r="VG44" s="247"/>
      <c r="VH44" s="247"/>
      <c r="VI44" s="247"/>
      <c r="VJ44" s="247"/>
      <c r="VK44" s="247"/>
      <c r="VL44" s="247"/>
      <c r="VM44" s="247"/>
      <c r="VN44" s="247"/>
      <c r="VO44" s="247"/>
      <c r="VP44" s="247"/>
      <c r="VQ44" s="247"/>
      <c r="VR44" s="247"/>
      <c r="VS44" s="247"/>
      <c r="VT44" s="247"/>
      <c r="VU44" s="247"/>
      <c r="VV44" s="247"/>
      <c r="VW44" s="247"/>
      <c r="VX44" s="247"/>
      <c r="VY44" s="247"/>
      <c r="VZ44" s="247"/>
      <c r="WA44" s="247"/>
      <c r="WB44" s="247"/>
      <c r="WC44" s="247"/>
      <c r="WD44" s="247"/>
      <c r="WE44" s="247"/>
      <c r="WF44" s="247"/>
      <c r="WG44" s="247"/>
      <c r="WH44" s="247"/>
      <c r="WI44" s="247"/>
      <c r="WJ44" s="247"/>
      <c r="WK44" s="247"/>
      <c r="WL44" s="247"/>
      <c r="WM44" s="247"/>
      <c r="WN44" s="247"/>
      <c r="WO44" s="247"/>
      <c r="WP44" s="247"/>
      <c r="WQ44" s="247"/>
      <c r="WR44" s="247"/>
      <c r="WS44" s="247"/>
      <c r="WT44" s="247"/>
      <c r="WU44" s="247"/>
      <c r="WV44" s="247"/>
      <c r="WW44" s="247"/>
      <c r="WX44" s="247"/>
      <c r="WY44" s="247"/>
      <c r="WZ44" s="247"/>
      <c r="XA44" s="247"/>
      <c r="XB44" s="247"/>
      <c r="XC44" s="247"/>
      <c r="XD44" s="247"/>
      <c r="XE44" s="247"/>
      <c r="XF44" s="247"/>
      <c r="XG44" s="247"/>
      <c r="XH44" s="247"/>
      <c r="XI44" s="247"/>
      <c r="XJ44" s="247"/>
      <c r="XK44" s="247"/>
      <c r="XL44" s="247"/>
      <c r="XM44" s="247"/>
      <c r="XN44" s="247"/>
      <c r="XO44" s="247"/>
      <c r="XP44" s="247"/>
      <c r="XQ44" s="247"/>
      <c r="XR44" s="247"/>
      <c r="XS44" s="247"/>
      <c r="XT44" s="247"/>
      <c r="XU44" s="247"/>
      <c r="XV44" s="247"/>
      <c r="XW44" s="247"/>
      <c r="XX44" s="247"/>
      <c r="XY44" s="247"/>
      <c r="XZ44" s="247"/>
      <c r="YA44" s="247"/>
      <c r="YB44" s="247"/>
      <c r="YC44" s="247"/>
      <c r="YD44" s="247"/>
      <c r="YE44" s="247"/>
      <c r="YF44" s="247"/>
      <c r="YG44" s="247"/>
      <c r="YH44" s="247"/>
      <c r="YI44" s="247"/>
      <c r="YJ44" s="247"/>
      <c r="YK44" s="247"/>
      <c r="YL44" s="247"/>
      <c r="YM44" s="247"/>
      <c r="YN44" s="247"/>
      <c r="YO44" s="247"/>
      <c r="YP44" s="247"/>
      <c r="YQ44" s="247"/>
      <c r="YR44" s="247"/>
      <c r="YS44" s="247"/>
      <c r="YT44" s="247"/>
      <c r="YU44" s="247"/>
      <c r="YV44" s="247"/>
      <c r="YW44" s="247"/>
      <c r="YX44" s="247"/>
      <c r="YY44" s="247"/>
      <c r="YZ44" s="247"/>
      <c r="ZA44" s="247"/>
      <c r="ZB44" s="247"/>
      <c r="ZC44" s="247"/>
      <c r="ZD44" s="247"/>
      <c r="ZE44" s="247"/>
      <c r="ZF44" s="247"/>
      <c r="ZG44" s="247"/>
      <c r="ZH44" s="247"/>
      <c r="ZI44" s="247"/>
      <c r="ZJ44" s="247"/>
      <c r="ZK44" s="247"/>
      <c r="ZL44" s="247"/>
      <c r="ZM44" s="247"/>
      <c r="ZN44" s="247"/>
      <c r="ZO44" s="247"/>
      <c r="ZP44" s="247"/>
      <c r="ZQ44" s="247"/>
      <c r="ZR44" s="247"/>
      <c r="ZS44" s="247"/>
      <c r="ZT44" s="247"/>
      <c r="ZU44" s="247"/>
      <c r="ZV44" s="247"/>
      <c r="ZW44" s="247"/>
      <c r="ZX44" s="247"/>
      <c r="ZY44" s="247"/>
      <c r="ZZ44" s="247"/>
      <c r="AAA44" s="247"/>
      <c r="AAB44" s="247"/>
      <c r="AAC44" s="247"/>
      <c r="AAD44" s="247"/>
      <c r="AAE44" s="247"/>
      <c r="AAF44" s="247"/>
      <c r="AAG44" s="247"/>
      <c r="AAH44" s="247"/>
      <c r="AAI44" s="247"/>
      <c r="AAJ44" s="247"/>
      <c r="AAK44" s="247"/>
      <c r="AAL44" s="247"/>
      <c r="AAM44" s="247"/>
      <c r="AAN44" s="247"/>
      <c r="AAO44" s="247"/>
      <c r="AAP44" s="247"/>
      <c r="AAQ44" s="247"/>
      <c r="AAR44" s="247"/>
      <c r="AAS44" s="247"/>
      <c r="AAT44" s="247"/>
      <c r="AAU44" s="247"/>
      <c r="AAV44" s="247"/>
      <c r="AAW44" s="247"/>
      <c r="AAX44" s="247"/>
      <c r="AAY44" s="247"/>
      <c r="AAZ44" s="247"/>
      <c r="ABA44" s="247"/>
      <c r="ABB44" s="247"/>
      <c r="ABC44" s="247"/>
      <c r="ABD44" s="247"/>
      <c r="ABE44" s="247"/>
      <c r="ABF44" s="247"/>
      <c r="ABG44" s="247"/>
      <c r="ABH44" s="247"/>
      <c r="ABI44" s="247"/>
      <c r="ABJ44" s="247"/>
      <c r="ABK44" s="247"/>
      <c r="ABL44" s="247"/>
      <c r="ABM44" s="247"/>
      <c r="ABN44" s="247"/>
      <c r="ABO44" s="247"/>
      <c r="ABP44" s="247"/>
      <c r="ABQ44" s="247"/>
      <c r="ABR44" s="247"/>
      <c r="ABS44" s="247"/>
      <c r="ABT44" s="247"/>
      <c r="ABU44" s="247"/>
      <c r="ABV44" s="247"/>
      <c r="ABW44" s="247"/>
      <c r="ABX44" s="247"/>
      <c r="ABY44" s="247"/>
      <c r="ABZ44" s="247"/>
      <c r="ACA44" s="247"/>
      <c r="ACB44" s="247"/>
      <c r="ACC44" s="247"/>
      <c r="ACD44" s="247"/>
      <c r="ACE44" s="247"/>
      <c r="ACF44" s="247"/>
      <c r="ACG44" s="247"/>
      <c r="ACH44" s="247"/>
      <c r="ACI44" s="247"/>
      <c r="ACJ44" s="247"/>
      <c r="ACK44" s="247"/>
      <c r="ACL44" s="247"/>
      <c r="ACM44" s="247"/>
      <c r="ACN44" s="247"/>
      <c r="ACO44" s="247"/>
      <c r="ACP44" s="247"/>
      <c r="ACQ44" s="247"/>
      <c r="ACR44" s="247"/>
      <c r="ACS44" s="247"/>
      <c r="ACT44" s="247"/>
      <c r="ACU44" s="247"/>
      <c r="ACV44" s="247"/>
      <c r="ACW44" s="247"/>
      <c r="ACX44" s="247"/>
      <c r="ACY44" s="247"/>
      <c r="ACZ44" s="247"/>
      <c r="ADA44" s="247"/>
      <c r="ADB44" s="247"/>
      <c r="ADC44" s="247"/>
      <c r="ADD44" s="247"/>
      <c r="ADE44" s="247"/>
      <c r="ADF44" s="247"/>
      <c r="ADG44" s="247"/>
      <c r="ADH44" s="247"/>
      <c r="ADI44" s="247"/>
      <c r="ADJ44" s="247"/>
      <c r="ADK44" s="247"/>
      <c r="ADL44" s="247"/>
      <c r="ADM44" s="247"/>
      <c r="ADN44" s="247"/>
      <c r="ADO44" s="247"/>
      <c r="ADP44" s="247"/>
      <c r="ADQ44" s="247"/>
      <c r="ADR44" s="247"/>
      <c r="ADS44" s="247"/>
      <c r="ADT44" s="247"/>
      <c r="ADU44" s="247"/>
      <c r="ADV44" s="247"/>
      <c r="ADW44" s="247"/>
      <c r="ADX44" s="247"/>
      <c r="ADY44" s="247"/>
      <c r="ADZ44" s="247"/>
      <c r="AEA44" s="247"/>
      <c r="AEB44" s="247"/>
      <c r="AEC44" s="247"/>
      <c r="AED44" s="247"/>
      <c r="AEE44" s="247"/>
      <c r="AEF44" s="247"/>
      <c r="AEG44" s="247"/>
      <c r="AEH44" s="247"/>
      <c r="AEI44" s="247"/>
      <c r="AEJ44" s="247"/>
      <c r="AEK44" s="247"/>
      <c r="AEL44" s="247"/>
      <c r="AEM44" s="247"/>
      <c r="AEN44" s="247"/>
      <c r="AEO44" s="247"/>
      <c r="AEP44" s="247"/>
      <c r="AEQ44" s="247"/>
      <c r="AER44" s="247"/>
      <c r="AES44" s="247"/>
      <c r="AET44" s="247"/>
      <c r="AEU44" s="247"/>
      <c r="AEV44" s="247"/>
      <c r="AEW44" s="247"/>
      <c r="AEX44" s="247"/>
      <c r="AEY44" s="247"/>
      <c r="AEZ44" s="247"/>
      <c r="AFA44" s="247"/>
      <c r="AFB44" s="247"/>
      <c r="AFC44" s="247"/>
      <c r="AFD44" s="247"/>
      <c r="AFE44" s="247"/>
      <c r="AFF44" s="247"/>
      <c r="AFG44" s="247"/>
      <c r="AFH44" s="247"/>
      <c r="AFI44" s="247"/>
      <c r="AFJ44" s="247"/>
      <c r="AFK44" s="247"/>
      <c r="AFL44" s="247"/>
      <c r="AFM44" s="247"/>
      <c r="AFN44" s="247"/>
      <c r="AFO44" s="247"/>
      <c r="AFP44" s="247"/>
      <c r="AFQ44" s="247"/>
      <c r="AFR44" s="247"/>
      <c r="AFS44" s="247"/>
      <c r="AFT44" s="247"/>
      <c r="AFU44" s="247"/>
      <c r="AFV44" s="247"/>
      <c r="AFW44" s="247"/>
      <c r="AFX44" s="247"/>
      <c r="AFY44" s="247"/>
      <c r="AFZ44" s="247"/>
      <c r="AGA44" s="247"/>
      <c r="AGB44" s="247"/>
      <c r="AGC44" s="247"/>
      <c r="AGD44" s="247"/>
      <c r="AGE44" s="247"/>
      <c r="AGF44" s="247"/>
      <c r="AGG44" s="247"/>
      <c r="AGH44" s="247"/>
      <c r="AGI44" s="247"/>
      <c r="AGJ44" s="247"/>
      <c r="AGK44" s="247"/>
      <c r="AGL44" s="247"/>
      <c r="AGM44" s="247"/>
      <c r="AGN44" s="247"/>
      <c r="AGO44" s="247"/>
      <c r="AGP44" s="247"/>
      <c r="AGQ44" s="247"/>
      <c r="AGR44" s="247"/>
      <c r="AGS44" s="247"/>
      <c r="AGT44" s="247"/>
      <c r="AGU44" s="247"/>
      <c r="AGV44" s="247"/>
      <c r="AGW44" s="247"/>
      <c r="AGX44" s="247"/>
      <c r="AGY44" s="247"/>
      <c r="AGZ44" s="247"/>
      <c r="AHA44" s="247"/>
      <c r="AHB44" s="247"/>
      <c r="AHC44" s="247"/>
      <c r="AHD44" s="247"/>
      <c r="AHE44" s="247"/>
      <c r="AHF44" s="247"/>
      <c r="AHG44" s="247"/>
      <c r="AHH44" s="247"/>
      <c r="AHI44" s="247"/>
      <c r="AHJ44" s="247"/>
      <c r="AHK44" s="247"/>
      <c r="AHL44" s="247"/>
      <c r="AHM44" s="247"/>
      <c r="AHN44" s="247"/>
      <c r="AHO44" s="247"/>
      <c r="AHP44" s="247"/>
      <c r="AHQ44" s="247"/>
      <c r="AHR44" s="247"/>
      <c r="AHS44" s="247"/>
      <c r="AHT44" s="247"/>
      <c r="AHU44" s="247"/>
      <c r="AHV44" s="247"/>
      <c r="AHW44" s="247"/>
      <c r="AHX44" s="247"/>
      <c r="AHY44" s="247"/>
      <c r="AHZ44" s="247"/>
      <c r="AIA44" s="247"/>
      <c r="AIB44" s="247"/>
      <c r="AIC44" s="247"/>
      <c r="AID44" s="247"/>
      <c r="AIE44" s="247"/>
      <c r="AIF44" s="247"/>
      <c r="AIG44" s="247"/>
      <c r="AIH44" s="247"/>
      <c r="AII44" s="247"/>
      <c r="AIJ44" s="247"/>
      <c r="AIK44" s="247"/>
      <c r="AIL44" s="247"/>
      <c r="AIM44" s="247"/>
      <c r="AIN44" s="247"/>
      <c r="AIO44" s="247"/>
      <c r="AIP44" s="247"/>
      <c r="AIQ44" s="247"/>
      <c r="AIR44" s="247"/>
      <c r="AIS44" s="247"/>
      <c r="AIT44" s="247"/>
      <c r="AIU44" s="247"/>
      <c r="AIV44" s="247"/>
      <c r="AIW44" s="247"/>
      <c r="AIX44" s="247"/>
      <c r="AIY44" s="247"/>
      <c r="AIZ44" s="247"/>
      <c r="AJA44" s="247"/>
      <c r="AJB44" s="247"/>
      <c r="AJC44" s="247"/>
      <c r="AJD44" s="247"/>
      <c r="AJE44" s="247"/>
      <c r="AJF44" s="247"/>
      <c r="AJG44" s="247"/>
      <c r="AJH44" s="247"/>
      <c r="AJI44" s="247"/>
      <c r="AJJ44" s="247"/>
      <c r="AJK44" s="247"/>
      <c r="AJL44" s="247"/>
      <c r="AJM44" s="247"/>
      <c r="AJN44" s="247"/>
      <c r="AJO44" s="247"/>
      <c r="AJP44" s="247"/>
      <c r="AJQ44" s="247"/>
      <c r="AJR44" s="247"/>
      <c r="AJS44" s="247"/>
      <c r="AJT44" s="247"/>
      <c r="AJU44" s="247"/>
      <c r="AJV44" s="247"/>
      <c r="AJW44" s="247"/>
      <c r="AJX44" s="247"/>
      <c r="AJY44" s="247"/>
      <c r="AJZ44" s="247"/>
      <c r="AKA44" s="247"/>
      <c r="AKB44" s="247"/>
      <c r="AKC44" s="247"/>
      <c r="AKD44" s="247"/>
      <c r="AKE44" s="247"/>
      <c r="AKF44" s="247"/>
      <c r="AKG44" s="247"/>
      <c r="AKH44" s="247"/>
      <c r="AKI44" s="247"/>
      <c r="AKJ44" s="247"/>
      <c r="AKK44" s="247"/>
      <c r="AKL44" s="247"/>
      <c r="AKM44" s="247"/>
      <c r="AKN44" s="247"/>
      <c r="AKO44" s="247"/>
      <c r="AKP44" s="247"/>
      <c r="AKQ44" s="247"/>
      <c r="AKR44" s="247"/>
      <c r="AKS44" s="247"/>
      <c r="AKT44" s="247"/>
      <c r="AKU44" s="247"/>
      <c r="AKV44" s="247"/>
      <c r="AKW44" s="247"/>
      <c r="AKX44" s="247"/>
      <c r="AKY44" s="247"/>
      <c r="AKZ44" s="247"/>
      <c r="ALA44" s="247"/>
      <c r="ALB44" s="247"/>
      <c r="ALC44" s="247"/>
      <c r="ALD44" s="247"/>
      <c r="ALE44" s="247"/>
      <c r="ALF44" s="247"/>
      <c r="ALG44" s="247"/>
      <c r="ALH44" s="247"/>
      <c r="ALI44" s="247"/>
      <c r="ALJ44" s="247"/>
      <c r="ALK44" s="247"/>
      <c r="ALL44" s="247"/>
      <c r="ALM44" s="247"/>
      <c r="ALN44" s="247"/>
      <c r="ALO44" s="247"/>
      <c r="ALP44" s="247"/>
      <c r="ALQ44" s="247"/>
      <c r="ALR44" s="247"/>
      <c r="ALS44" s="247"/>
      <c r="ALT44" s="247"/>
      <c r="ALU44" s="247"/>
      <c r="ALV44" s="247"/>
      <c r="ALW44" s="247"/>
      <c r="ALX44" s="247"/>
      <c r="ALY44" s="247"/>
      <c r="ALZ44" s="247"/>
      <c r="AMA44" s="247"/>
      <c r="AMB44" s="247"/>
      <c r="AMC44" s="247"/>
      <c r="AMD44" s="247"/>
      <c r="AME44" s="247"/>
      <c r="AMF44" s="247"/>
      <c r="AMG44" s="247"/>
      <c r="AMH44" s="247"/>
      <c r="AMI44" s="247"/>
      <c r="AMJ44" s="247"/>
      <c r="AMK44" s="247"/>
      <c r="AML44" s="247"/>
      <c r="AMM44" s="247"/>
      <c r="AMN44" s="247"/>
      <c r="AMO44" s="247"/>
      <c r="AMP44" s="247"/>
      <c r="AMQ44" s="247"/>
      <c r="AMR44" s="247"/>
      <c r="AMS44" s="247"/>
      <c r="AMT44" s="247"/>
      <c r="AMU44" s="247"/>
      <c r="AMV44" s="247"/>
      <c r="AMW44" s="247"/>
      <c r="AMX44" s="247"/>
      <c r="AMY44" s="247"/>
      <c r="AMZ44" s="247"/>
      <c r="ANA44" s="247"/>
      <c r="ANB44" s="247"/>
      <c r="ANC44" s="247"/>
      <c r="AND44" s="247"/>
      <c r="ANE44" s="247"/>
      <c r="ANF44" s="247"/>
      <c r="ANG44" s="247"/>
      <c r="ANH44" s="247"/>
      <c r="ANI44" s="247"/>
      <c r="ANJ44" s="247"/>
      <c r="ANK44" s="247"/>
      <c r="ANL44" s="247"/>
      <c r="ANM44" s="247"/>
      <c r="ANN44" s="247"/>
      <c r="ANO44" s="247"/>
      <c r="ANP44" s="247"/>
      <c r="ANQ44" s="247"/>
      <c r="ANR44" s="247"/>
      <c r="ANS44" s="247"/>
      <c r="ANT44" s="247"/>
      <c r="ANU44" s="247"/>
      <c r="ANV44" s="247"/>
      <c r="ANW44" s="247"/>
      <c r="ANX44" s="247"/>
      <c r="ANY44" s="247"/>
      <c r="ANZ44" s="247"/>
      <c r="AOA44" s="247"/>
      <c r="AOB44" s="247"/>
      <c r="AOC44" s="247"/>
      <c r="AOD44" s="247"/>
      <c r="AOE44" s="247"/>
      <c r="AOF44" s="247"/>
      <c r="AOG44" s="247"/>
      <c r="AOH44" s="247"/>
      <c r="AOI44" s="247"/>
      <c r="AOJ44" s="247"/>
      <c r="AOK44" s="247"/>
      <c r="AOL44" s="247"/>
      <c r="AOM44" s="247"/>
      <c r="AON44" s="247"/>
      <c r="AOO44" s="247"/>
      <c r="AOP44" s="247"/>
      <c r="AOQ44" s="247"/>
      <c r="AOR44" s="247"/>
      <c r="AOS44" s="247"/>
      <c r="AOT44" s="247"/>
      <c r="AOU44" s="247"/>
      <c r="AOV44" s="247"/>
      <c r="AOW44" s="247"/>
      <c r="AOX44" s="247"/>
      <c r="AOY44" s="247"/>
      <c r="AOZ44" s="247"/>
      <c r="APA44" s="247"/>
      <c r="APB44" s="247"/>
      <c r="APC44" s="247"/>
      <c r="APD44" s="247"/>
      <c r="APE44" s="247"/>
      <c r="APF44" s="247"/>
      <c r="APG44" s="247"/>
      <c r="APH44" s="247"/>
      <c r="API44" s="247"/>
      <c r="APJ44" s="247"/>
      <c r="APK44" s="247"/>
      <c r="APL44" s="247"/>
      <c r="APM44" s="247"/>
      <c r="APN44" s="247"/>
      <c r="APO44" s="247"/>
      <c r="APP44" s="247"/>
      <c r="APQ44" s="247"/>
      <c r="APR44" s="247"/>
      <c r="APS44" s="247"/>
      <c r="APT44" s="247"/>
      <c r="APU44" s="247"/>
      <c r="APV44" s="247"/>
      <c r="APW44" s="247"/>
      <c r="APX44" s="247"/>
      <c r="APY44" s="247"/>
      <c r="APZ44" s="247"/>
      <c r="AQA44" s="247"/>
      <c r="AQB44" s="247"/>
      <c r="AQC44" s="247"/>
      <c r="AQD44" s="247"/>
      <c r="AQE44" s="247"/>
      <c r="AQF44" s="247"/>
      <c r="AQG44" s="247"/>
      <c r="AQH44" s="247"/>
      <c r="AQI44" s="247"/>
      <c r="AQJ44" s="247"/>
      <c r="AQK44" s="247"/>
      <c r="AQL44" s="247"/>
      <c r="AQM44" s="247"/>
      <c r="AQN44" s="247"/>
      <c r="AQO44" s="247"/>
      <c r="AQP44" s="247"/>
      <c r="AQQ44" s="247"/>
      <c r="AQR44" s="247"/>
      <c r="AQS44" s="247"/>
      <c r="AQT44" s="247"/>
      <c r="AQU44" s="247"/>
      <c r="AQV44" s="247"/>
      <c r="AQW44" s="247"/>
      <c r="AQX44" s="247"/>
      <c r="AQY44" s="247"/>
      <c r="AQZ44" s="247"/>
      <c r="ARA44" s="247"/>
      <c r="ARB44" s="247"/>
      <c r="ARC44" s="247"/>
      <c r="ARD44" s="247"/>
      <c r="ARE44" s="247"/>
      <c r="ARF44" s="247"/>
      <c r="ARG44" s="247"/>
      <c r="ARH44" s="247"/>
      <c r="ARI44" s="247"/>
      <c r="ARJ44" s="247"/>
      <c r="ARK44" s="247"/>
      <c r="ARL44" s="247"/>
      <c r="ARM44" s="247"/>
      <c r="ARN44" s="247"/>
      <c r="ARO44" s="247"/>
      <c r="ARP44" s="247"/>
      <c r="ARQ44" s="247"/>
      <c r="ARR44" s="247"/>
      <c r="ARS44" s="247"/>
      <c r="ART44" s="247"/>
      <c r="ARU44" s="247"/>
      <c r="ARV44" s="247"/>
      <c r="ARW44" s="247"/>
      <c r="ARX44" s="247"/>
      <c r="ARY44" s="247"/>
      <c r="ARZ44" s="247"/>
      <c r="ASA44" s="247"/>
      <c r="ASB44" s="247"/>
      <c r="ASC44" s="247"/>
      <c r="ASD44" s="247"/>
      <c r="ASE44" s="247"/>
      <c r="ASF44" s="247"/>
      <c r="ASG44" s="247"/>
      <c r="ASH44" s="247"/>
      <c r="ASI44" s="247"/>
      <c r="ASJ44" s="247"/>
      <c r="ASK44" s="247"/>
      <c r="ASL44" s="247"/>
      <c r="ASM44" s="247"/>
      <c r="ASN44" s="247"/>
      <c r="ASO44" s="247"/>
      <c r="ASP44" s="247"/>
      <c r="ASQ44" s="247"/>
      <c r="ASR44" s="247"/>
      <c r="ASS44" s="247"/>
      <c r="AST44" s="247"/>
      <c r="ASU44" s="247"/>
      <c r="ASV44" s="247"/>
      <c r="ASW44" s="247"/>
      <c r="ASX44" s="247"/>
      <c r="ASY44" s="247"/>
      <c r="ASZ44" s="247"/>
      <c r="ATA44" s="247"/>
      <c r="ATB44" s="247"/>
      <c r="ATC44" s="247"/>
      <c r="ATD44" s="247"/>
      <c r="ATE44" s="247"/>
      <c r="ATF44" s="247"/>
      <c r="ATG44" s="247"/>
      <c r="ATH44" s="247"/>
      <c r="ATI44" s="247"/>
      <c r="ATJ44" s="247"/>
      <c r="ATK44" s="247"/>
      <c r="ATL44" s="247"/>
      <c r="ATM44" s="247"/>
      <c r="ATN44" s="247"/>
      <c r="ATO44" s="247"/>
      <c r="ATP44" s="247"/>
      <c r="ATQ44" s="247"/>
      <c r="ATR44" s="247"/>
      <c r="ATS44" s="247"/>
      <c r="ATT44" s="247"/>
      <c r="ATU44" s="247"/>
      <c r="ATV44" s="247"/>
      <c r="ATW44" s="247"/>
      <c r="ATX44" s="247"/>
      <c r="ATY44" s="247"/>
      <c r="ATZ44" s="247"/>
      <c r="AUA44" s="247"/>
      <c r="AUB44" s="247"/>
      <c r="AUC44" s="247"/>
      <c r="AUD44" s="247"/>
      <c r="AUE44" s="247"/>
      <c r="AUF44" s="247"/>
      <c r="AUG44" s="247"/>
      <c r="AUH44" s="247"/>
      <c r="AUI44" s="247"/>
      <c r="AUJ44" s="247"/>
      <c r="AUK44" s="247"/>
      <c r="AUL44" s="247"/>
      <c r="AUM44" s="247"/>
      <c r="AUN44" s="247"/>
      <c r="AUO44" s="247"/>
      <c r="AUP44" s="247"/>
      <c r="AUQ44" s="247"/>
      <c r="AUR44" s="247"/>
      <c r="AUS44" s="247"/>
      <c r="AUT44" s="247"/>
      <c r="AUU44" s="247"/>
      <c r="AUV44" s="247"/>
      <c r="AUW44" s="247"/>
      <c r="AUX44" s="247"/>
      <c r="AUY44" s="247"/>
      <c r="AUZ44" s="247"/>
      <c r="AVA44" s="247"/>
      <c r="AVB44" s="247"/>
      <c r="AVC44" s="247"/>
      <c r="AVD44" s="247"/>
      <c r="AVE44" s="247"/>
      <c r="AVF44" s="247"/>
      <c r="AVG44" s="247"/>
      <c r="AVH44" s="247"/>
      <c r="AVI44" s="247"/>
      <c r="AVJ44" s="247"/>
      <c r="AVK44" s="247"/>
      <c r="AVL44" s="247"/>
      <c r="AVM44" s="247"/>
      <c r="AVN44" s="247"/>
      <c r="AVO44" s="247"/>
      <c r="AVP44" s="247"/>
      <c r="AVQ44" s="247"/>
      <c r="AVR44" s="247"/>
      <c r="AVS44" s="247"/>
      <c r="AVT44" s="247"/>
      <c r="AVU44" s="247"/>
      <c r="AVV44" s="247"/>
      <c r="AVW44" s="247"/>
      <c r="AVX44" s="247"/>
      <c r="AVY44" s="247"/>
      <c r="AVZ44" s="247"/>
      <c r="AWA44" s="247"/>
      <c r="AWB44" s="247"/>
      <c r="AWC44" s="247"/>
      <c r="AWD44" s="247"/>
      <c r="AWE44" s="247"/>
      <c r="AWF44" s="247"/>
      <c r="AWG44" s="247"/>
      <c r="AWH44" s="247"/>
      <c r="AWI44" s="247"/>
      <c r="AWJ44" s="247"/>
      <c r="AWK44" s="247"/>
      <c r="AWL44" s="247"/>
      <c r="AWM44" s="247"/>
      <c r="AWN44" s="247"/>
      <c r="AWO44" s="247"/>
      <c r="AWP44" s="247"/>
      <c r="AWQ44" s="247"/>
      <c r="AWR44" s="247"/>
      <c r="AWS44" s="247"/>
      <c r="AWT44" s="247"/>
      <c r="AWU44" s="247"/>
      <c r="AWV44" s="247"/>
      <c r="AWW44" s="247"/>
      <c r="AWX44" s="247"/>
      <c r="AWY44" s="247"/>
      <c r="AWZ44" s="247"/>
      <c r="AXA44" s="247"/>
      <c r="AXB44" s="247"/>
      <c r="AXC44" s="247"/>
      <c r="AXD44" s="247"/>
      <c r="AXE44" s="247"/>
      <c r="AXF44" s="247"/>
      <c r="AXG44" s="247"/>
      <c r="AXH44" s="247"/>
      <c r="AXI44" s="247"/>
      <c r="AXJ44" s="247"/>
      <c r="AXK44" s="247"/>
      <c r="AXL44" s="247"/>
      <c r="AXM44" s="247"/>
      <c r="AXN44" s="247"/>
      <c r="AXO44" s="247"/>
      <c r="AXP44" s="247"/>
      <c r="AXQ44" s="247"/>
      <c r="AXR44" s="247"/>
      <c r="AXS44" s="247"/>
      <c r="AXT44" s="247"/>
      <c r="AXU44" s="247"/>
      <c r="AXV44" s="247"/>
      <c r="AXW44" s="247"/>
      <c r="AXX44" s="247"/>
      <c r="AXY44" s="247"/>
      <c r="AXZ44" s="247"/>
      <c r="AYA44" s="247"/>
      <c r="AYB44" s="247"/>
      <c r="AYC44" s="247"/>
      <c r="AYD44" s="247"/>
      <c r="AYE44" s="247"/>
      <c r="AYF44" s="247"/>
      <c r="AYG44" s="247"/>
      <c r="AYH44" s="247"/>
      <c r="AYI44" s="247"/>
      <c r="AYJ44" s="247"/>
      <c r="AYK44" s="247"/>
      <c r="AYL44" s="247"/>
      <c r="AYM44" s="247"/>
      <c r="AYN44" s="247"/>
      <c r="AYO44" s="247"/>
      <c r="AYP44" s="247"/>
      <c r="AYQ44" s="247"/>
      <c r="AYR44" s="247"/>
      <c r="AYS44" s="247"/>
      <c r="AYT44" s="247"/>
      <c r="AYU44" s="247"/>
      <c r="AYV44" s="247"/>
      <c r="AYW44" s="247"/>
      <c r="AYX44" s="247"/>
      <c r="AYY44" s="247"/>
      <c r="AYZ44" s="247"/>
      <c r="AZA44" s="247"/>
      <c r="AZB44" s="247"/>
      <c r="AZC44" s="247"/>
      <c r="AZD44" s="247"/>
      <c r="AZE44" s="247"/>
      <c r="AZF44" s="247"/>
      <c r="AZG44" s="247"/>
      <c r="AZH44" s="247"/>
      <c r="AZI44" s="247"/>
      <c r="AZJ44" s="247"/>
      <c r="AZK44" s="247"/>
      <c r="AZL44" s="247"/>
      <c r="AZM44" s="247"/>
      <c r="AZN44" s="247"/>
      <c r="AZO44" s="247"/>
      <c r="AZP44" s="247"/>
      <c r="AZQ44" s="247"/>
      <c r="AZR44" s="247"/>
      <c r="AZS44" s="247"/>
      <c r="AZT44" s="247"/>
      <c r="AZU44" s="247"/>
      <c r="AZV44" s="247"/>
      <c r="AZW44" s="247"/>
      <c r="AZX44" s="247"/>
      <c r="AZY44" s="247"/>
      <c r="AZZ44" s="247"/>
      <c r="BAA44" s="247"/>
      <c r="BAB44" s="247"/>
      <c r="BAC44" s="247"/>
      <c r="BAD44" s="247"/>
      <c r="BAE44" s="247"/>
      <c r="BAF44" s="247"/>
      <c r="BAG44" s="247"/>
      <c r="BAH44" s="247"/>
      <c r="BAI44" s="247"/>
      <c r="BAJ44" s="247"/>
      <c r="BAK44" s="247"/>
      <c r="BAL44" s="247"/>
      <c r="BAM44" s="247"/>
      <c r="BAN44" s="247"/>
      <c r="BAO44" s="247"/>
      <c r="BAP44" s="247"/>
      <c r="BAQ44" s="247"/>
      <c r="BAR44" s="247"/>
      <c r="BAS44" s="247"/>
      <c r="BAT44" s="247"/>
      <c r="BAU44" s="247"/>
      <c r="BAV44" s="247"/>
      <c r="BAW44" s="247"/>
      <c r="BAX44" s="247"/>
      <c r="BAY44" s="247"/>
      <c r="BAZ44" s="247"/>
      <c r="BBA44" s="247"/>
      <c r="BBB44" s="247"/>
      <c r="BBC44" s="247"/>
      <c r="BBD44" s="247"/>
      <c r="BBE44" s="247"/>
      <c r="BBF44" s="247"/>
      <c r="BBG44" s="247"/>
      <c r="BBH44" s="247"/>
      <c r="BBI44" s="247"/>
      <c r="BBJ44" s="247"/>
      <c r="BBK44" s="247"/>
      <c r="BBL44" s="247"/>
      <c r="BBM44" s="247"/>
      <c r="BBN44" s="247"/>
      <c r="BBO44" s="247"/>
      <c r="BBP44" s="247"/>
      <c r="BBQ44" s="247"/>
      <c r="BBR44" s="247"/>
      <c r="BBS44" s="247"/>
      <c r="BBT44" s="247"/>
      <c r="BBU44" s="247"/>
      <c r="BBV44" s="247"/>
      <c r="BBW44" s="247"/>
      <c r="BBX44" s="247"/>
      <c r="BBY44" s="247"/>
      <c r="BBZ44" s="247"/>
      <c r="BCA44" s="247"/>
      <c r="BCB44" s="247"/>
      <c r="BCC44" s="247"/>
      <c r="BCD44" s="247"/>
      <c r="BCE44" s="247"/>
      <c r="BCF44" s="247"/>
      <c r="BCG44" s="247"/>
      <c r="BCH44" s="247"/>
      <c r="BCI44" s="247"/>
      <c r="BCJ44" s="247"/>
      <c r="BCK44" s="247"/>
      <c r="BCL44" s="247"/>
      <c r="BCM44" s="247"/>
      <c r="BCN44" s="247"/>
      <c r="BCO44" s="247"/>
      <c r="BCP44" s="247"/>
      <c r="BCQ44" s="247"/>
      <c r="BCR44" s="247"/>
      <c r="BCS44" s="247"/>
      <c r="BCT44" s="247"/>
      <c r="BCU44" s="247"/>
      <c r="BCV44" s="247"/>
      <c r="BCW44" s="247"/>
      <c r="BCX44" s="247"/>
      <c r="BCY44" s="247"/>
      <c r="BCZ44" s="247"/>
      <c r="BDA44" s="247"/>
      <c r="BDB44" s="247"/>
      <c r="BDC44" s="247"/>
      <c r="BDD44" s="247"/>
      <c r="BDE44" s="247"/>
      <c r="BDF44" s="247"/>
      <c r="BDG44" s="247"/>
      <c r="BDH44" s="247"/>
      <c r="BDI44" s="247"/>
      <c r="BDJ44" s="247"/>
      <c r="BDK44" s="247"/>
      <c r="BDL44" s="247"/>
      <c r="BDM44" s="247"/>
      <c r="BDN44" s="247"/>
      <c r="BDO44" s="247"/>
      <c r="BDP44" s="247"/>
      <c r="BDQ44" s="247"/>
      <c r="BDR44" s="247"/>
      <c r="BDS44" s="247"/>
      <c r="BDT44" s="247"/>
      <c r="BDU44" s="247"/>
      <c r="BDV44" s="247"/>
      <c r="BDW44" s="247"/>
      <c r="BDX44" s="247"/>
      <c r="BDY44" s="247"/>
      <c r="BDZ44" s="247"/>
      <c r="BEA44" s="247"/>
      <c r="BEB44" s="247"/>
      <c r="BEC44" s="247"/>
      <c r="BED44" s="247"/>
      <c r="BEE44" s="247"/>
      <c r="BEF44" s="247"/>
      <c r="BEG44" s="247"/>
      <c r="BEH44" s="247"/>
      <c r="BEI44" s="247"/>
      <c r="BEJ44" s="247"/>
      <c r="BEK44" s="247"/>
      <c r="BEL44" s="247"/>
      <c r="BEM44" s="247"/>
      <c r="BEN44" s="247"/>
      <c r="BEO44" s="247"/>
      <c r="BEP44" s="247"/>
      <c r="BEQ44" s="247"/>
      <c r="BER44" s="247"/>
      <c r="BES44" s="247"/>
      <c r="BET44" s="247"/>
      <c r="BEU44" s="247"/>
      <c r="BEV44" s="247"/>
      <c r="BEW44" s="247"/>
      <c r="BEX44" s="247"/>
      <c r="BEY44" s="247"/>
      <c r="BEZ44" s="247"/>
      <c r="BFA44" s="247"/>
      <c r="BFB44" s="247"/>
      <c r="BFC44" s="247"/>
      <c r="BFD44" s="247"/>
      <c r="BFE44" s="247"/>
      <c r="BFF44" s="247"/>
      <c r="BFG44" s="247"/>
      <c r="BFH44" s="247"/>
      <c r="BFI44" s="247"/>
      <c r="BFJ44" s="247"/>
      <c r="BFK44" s="247"/>
      <c r="BFL44" s="247"/>
      <c r="BFM44" s="247"/>
      <c r="BFN44" s="247"/>
      <c r="BFO44" s="247"/>
      <c r="BFP44" s="247"/>
      <c r="BFQ44" s="247"/>
      <c r="BFR44" s="247"/>
      <c r="BFS44" s="247"/>
      <c r="BFT44" s="247"/>
      <c r="BFU44" s="247"/>
      <c r="BFV44" s="247"/>
      <c r="BFW44" s="247"/>
      <c r="BFX44" s="247"/>
      <c r="BFY44" s="247"/>
      <c r="BFZ44" s="247"/>
      <c r="BGA44" s="247"/>
      <c r="BGB44" s="247"/>
      <c r="BGC44" s="247"/>
      <c r="BGD44" s="247"/>
      <c r="BGE44" s="247"/>
      <c r="BGF44" s="247"/>
      <c r="BGG44" s="247"/>
      <c r="BGH44" s="247"/>
      <c r="BGI44" s="247"/>
      <c r="BGJ44" s="247"/>
      <c r="BGK44" s="247"/>
      <c r="BGL44" s="247"/>
      <c r="BGM44" s="247"/>
      <c r="BGN44" s="247"/>
      <c r="BGO44" s="247"/>
      <c r="BGP44" s="247"/>
      <c r="BGQ44" s="247"/>
      <c r="BGR44" s="247"/>
      <c r="BGS44" s="247"/>
      <c r="BGT44" s="247"/>
      <c r="BGU44" s="247"/>
      <c r="BGV44" s="247"/>
      <c r="BGW44" s="247"/>
      <c r="BGX44" s="247"/>
      <c r="BGY44" s="247"/>
      <c r="BGZ44" s="247"/>
      <c r="BHA44" s="247"/>
      <c r="BHB44" s="247"/>
      <c r="BHC44" s="247"/>
      <c r="BHD44" s="247"/>
      <c r="BHE44" s="247"/>
      <c r="BHF44" s="247"/>
      <c r="BHG44" s="247"/>
      <c r="BHH44" s="247"/>
      <c r="BHI44" s="247"/>
      <c r="BHJ44" s="247"/>
      <c r="BHK44" s="247"/>
      <c r="BHL44" s="247"/>
      <c r="BHM44" s="247"/>
      <c r="BHN44" s="247"/>
      <c r="BHO44" s="247"/>
      <c r="BHP44" s="247"/>
      <c r="BHQ44" s="247"/>
      <c r="BHR44" s="247"/>
      <c r="BHS44" s="247"/>
      <c r="BHT44" s="247"/>
      <c r="BHU44" s="247"/>
      <c r="BHV44" s="247"/>
      <c r="BHW44" s="247"/>
      <c r="BHX44" s="247"/>
      <c r="BHY44" s="247"/>
      <c r="BHZ44" s="247"/>
      <c r="BIA44" s="247"/>
      <c r="BIB44" s="247"/>
      <c r="BIC44" s="247"/>
      <c r="BID44" s="247"/>
      <c r="BIE44" s="247"/>
      <c r="BIF44" s="247"/>
      <c r="BIG44" s="247"/>
      <c r="BIH44" s="247"/>
      <c r="BII44" s="247"/>
      <c r="BIJ44" s="247"/>
      <c r="BIK44" s="247"/>
      <c r="BIL44" s="247"/>
      <c r="BIM44" s="247"/>
      <c r="BIN44" s="247"/>
      <c r="BIO44" s="247"/>
      <c r="BIP44" s="247"/>
      <c r="BIQ44" s="247"/>
      <c r="BIR44" s="247"/>
      <c r="BIS44" s="247"/>
      <c r="BIT44" s="247"/>
      <c r="BIU44" s="247"/>
      <c r="BIV44" s="247"/>
      <c r="BIW44" s="247"/>
      <c r="BIX44" s="247"/>
      <c r="BIY44" s="247"/>
      <c r="BIZ44" s="247"/>
      <c r="BJA44" s="247"/>
      <c r="BJB44" s="247"/>
      <c r="BJC44" s="247"/>
      <c r="BJD44" s="247"/>
      <c r="BJE44" s="247"/>
      <c r="BJF44" s="247"/>
      <c r="BJG44" s="247"/>
      <c r="BJH44" s="247"/>
      <c r="BJI44" s="247"/>
      <c r="BJJ44" s="247"/>
      <c r="BJK44" s="247"/>
      <c r="BJL44" s="247"/>
      <c r="BJM44" s="247"/>
      <c r="BJN44" s="247"/>
      <c r="BJO44" s="247"/>
      <c r="BJP44" s="247"/>
      <c r="BJQ44" s="247"/>
      <c r="BJR44" s="247"/>
      <c r="BJS44" s="247"/>
      <c r="BJT44" s="247"/>
      <c r="BJU44" s="247"/>
      <c r="BJV44" s="247"/>
      <c r="BJW44" s="247"/>
      <c r="BJX44" s="247"/>
      <c r="BJY44" s="247"/>
      <c r="BJZ44" s="247"/>
      <c r="BKA44" s="247"/>
      <c r="BKB44" s="247"/>
      <c r="BKC44" s="247"/>
      <c r="BKD44" s="247"/>
      <c r="BKE44" s="247"/>
      <c r="BKF44" s="247"/>
      <c r="BKG44" s="247"/>
      <c r="BKH44" s="247"/>
      <c r="BKI44" s="247"/>
      <c r="BKJ44" s="247"/>
      <c r="BKK44" s="247"/>
      <c r="BKL44" s="247"/>
      <c r="BKM44" s="247"/>
      <c r="BKN44" s="247"/>
      <c r="BKO44" s="247"/>
      <c r="BKP44" s="247"/>
      <c r="BKQ44" s="247"/>
      <c r="BKR44" s="247"/>
      <c r="BKS44" s="247"/>
      <c r="BKT44" s="247"/>
      <c r="BKU44" s="247"/>
      <c r="BKV44" s="247"/>
      <c r="BKW44" s="247"/>
      <c r="BKX44" s="247"/>
      <c r="BKY44" s="247"/>
      <c r="BKZ44" s="247"/>
      <c r="BLA44" s="247"/>
      <c r="BLB44" s="247"/>
      <c r="BLC44" s="247"/>
      <c r="BLD44" s="247"/>
      <c r="BLE44" s="247"/>
      <c r="BLF44" s="247"/>
      <c r="BLG44" s="247"/>
      <c r="BLH44" s="247"/>
      <c r="BLI44" s="247"/>
      <c r="BLJ44" s="247"/>
      <c r="BLK44" s="247"/>
      <c r="BLL44" s="247"/>
      <c r="BLM44" s="247"/>
      <c r="BLN44" s="247"/>
      <c r="BLO44" s="247"/>
      <c r="BLP44" s="247"/>
      <c r="BLQ44" s="247"/>
      <c r="BLR44" s="247"/>
      <c r="BLS44" s="247"/>
      <c r="BLT44" s="247"/>
      <c r="BLU44" s="247"/>
      <c r="BLV44" s="247"/>
      <c r="BLW44" s="247"/>
      <c r="BLX44" s="247"/>
      <c r="BLY44" s="247"/>
      <c r="BLZ44" s="247"/>
      <c r="BMA44" s="247"/>
      <c r="BMB44" s="247"/>
      <c r="BMC44" s="247"/>
      <c r="BMD44" s="247"/>
      <c r="BME44" s="247"/>
      <c r="BMF44" s="247"/>
      <c r="BMG44" s="247"/>
      <c r="BMH44" s="247"/>
      <c r="BMI44" s="247"/>
      <c r="BMJ44" s="247"/>
      <c r="BMK44" s="247"/>
      <c r="BML44" s="247"/>
      <c r="BMM44" s="247"/>
      <c r="BMN44" s="247"/>
      <c r="BMO44" s="247"/>
      <c r="BMP44" s="247"/>
      <c r="BMQ44" s="247"/>
      <c r="BMR44" s="247"/>
      <c r="BMS44" s="247"/>
      <c r="BMT44" s="247"/>
      <c r="BMU44" s="247"/>
      <c r="BMV44" s="247"/>
      <c r="BMW44" s="247"/>
      <c r="BMX44" s="247"/>
      <c r="BMY44" s="247"/>
      <c r="BMZ44" s="247"/>
      <c r="BNA44" s="247"/>
      <c r="BNB44" s="247"/>
      <c r="BNC44" s="247"/>
      <c r="BND44" s="247"/>
      <c r="BNE44" s="247"/>
      <c r="BNF44" s="247"/>
      <c r="BNG44" s="247"/>
      <c r="BNH44" s="247"/>
      <c r="BNI44" s="247"/>
      <c r="BNJ44" s="247"/>
      <c r="BNK44" s="247"/>
      <c r="BNL44" s="247"/>
      <c r="BNM44" s="247"/>
      <c r="BNN44" s="247"/>
      <c r="BNO44" s="247"/>
      <c r="BNP44" s="247"/>
      <c r="BNQ44" s="247"/>
      <c r="BNR44" s="247"/>
      <c r="BNS44" s="247"/>
      <c r="BNT44" s="247"/>
      <c r="BNU44" s="247"/>
      <c r="BNV44" s="247"/>
      <c r="BNW44" s="247"/>
      <c r="BNX44" s="247"/>
      <c r="BNY44" s="247"/>
      <c r="BNZ44" s="247"/>
      <c r="BOA44" s="247"/>
      <c r="BOB44" s="247"/>
      <c r="BOC44" s="247"/>
      <c r="BOD44" s="247"/>
      <c r="BOE44" s="247"/>
      <c r="BOF44" s="247"/>
      <c r="BOG44" s="247"/>
      <c r="BOH44" s="247"/>
      <c r="BOI44" s="247"/>
      <c r="BOJ44" s="247"/>
      <c r="BOK44" s="247"/>
      <c r="BOL44" s="247"/>
      <c r="BOM44" s="247"/>
      <c r="BON44" s="247"/>
      <c r="BOO44" s="247"/>
      <c r="BOP44" s="247"/>
      <c r="BOQ44" s="247"/>
      <c r="BOR44" s="247"/>
      <c r="BOS44" s="247"/>
      <c r="BOT44" s="247"/>
      <c r="BOU44" s="247"/>
      <c r="BOV44" s="247"/>
      <c r="BOW44" s="247"/>
      <c r="BOX44" s="247"/>
      <c r="BOY44" s="247"/>
      <c r="BOZ44" s="247"/>
      <c r="BPA44" s="247"/>
      <c r="BPB44" s="247"/>
      <c r="BPC44" s="247"/>
      <c r="BPD44" s="247"/>
      <c r="BPE44" s="247"/>
      <c r="BPF44" s="247"/>
      <c r="BPG44" s="247"/>
      <c r="BPH44" s="247"/>
      <c r="BPI44" s="247"/>
      <c r="BPJ44" s="247"/>
      <c r="BPK44" s="247"/>
      <c r="BPL44" s="247"/>
      <c r="BPM44" s="247"/>
      <c r="BPN44" s="247"/>
      <c r="BPO44" s="247"/>
      <c r="BPP44" s="247"/>
      <c r="BPQ44" s="247"/>
      <c r="BPR44" s="247"/>
      <c r="BPS44" s="247"/>
      <c r="BPT44" s="247"/>
      <c r="BPU44" s="247"/>
      <c r="BPV44" s="247"/>
      <c r="BPW44" s="247"/>
      <c r="BPX44" s="247"/>
      <c r="BPY44" s="247"/>
      <c r="BPZ44" s="247"/>
      <c r="BQA44" s="247"/>
      <c r="BQB44" s="247"/>
      <c r="BQC44" s="247"/>
      <c r="BQD44" s="247"/>
      <c r="BQE44" s="247"/>
      <c r="BQF44" s="247"/>
      <c r="BQG44" s="247"/>
      <c r="BQH44" s="247"/>
      <c r="BQI44" s="247"/>
      <c r="BQJ44" s="247"/>
      <c r="BQK44" s="247"/>
      <c r="BQL44" s="247"/>
      <c r="BQM44" s="247"/>
      <c r="BQN44" s="247"/>
      <c r="BQO44" s="247"/>
      <c r="BQP44" s="247"/>
      <c r="BQQ44" s="247"/>
      <c r="BQR44" s="247"/>
      <c r="BQS44" s="247"/>
      <c r="BQT44" s="247"/>
      <c r="BQU44" s="247"/>
      <c r="BQV44" s="247"/>
      <c r="BQW44" s="247"/>
      <c r="BQX44" s="247"/>
      <c r="BQY44" s="247"/>
      <c r="BQZ44" s="247"/>
      <c r="BRA44" s="247"/>
      <c r="BRB44" s="247"/>
      <c r="BRC44" s="247"/>
      <c r="BRD44" s="247"/>
      <c r="BRE44" s="247"/>
      <c r="BRF44" s="247"/>
      <c r="BRG44" s="247"/>
      <c r="BRH44" s="247"/>
      <c r="BRI44" s="247"/>
      <c r="BRJ44" s="247"/>
      <c r="BRK44" s="247"/>
      <c r="BRL44" s="247"/>
      <c r="BRM44" s="247"/>
      <c r="BRN44" s="247"/>
      <c r="BRO44" s="247"/>
      <c r="BRP44" s="247"/>
      <c r="BRQ44" s="247"/>
      <c r="BRR44" s="247"/>
      <c r="BRS44" s="247"/>
      <c r="BRT44" s="247"/>
      <c r="BRU44" s="247"/>
      <c r="BRV44" s="247"/>
      <c r="BRW44" s="247"/>
      <c r="BRX44" s="247"/>
      <c r="BRY44" s="247"/>
      <c r="BRZ44" s="247"/>
      <c r="BSA44" s="247"/>
      <c r="BSB44" s="247"/>
      <c r="BSC44" s="247"/>
      <c r="BSD44" s="247"/>
      <c r="BSE44" s="247"/>
      <c r="BSF44" s="247"/>
      <c r="BSG44" s="247"/>
      <c r="BSH44" s="247"/>
      <c r="BSI44" s="247"/>
      <c r="BSJ44" s="247"/>
      <c r="BSK44" s="247"/>
      <c r="BSL44" s="247"/>
      <c r="BSM44" s="247"/>
      <c r="BSN44" s="247"/>
      <c r="BSO44" s="247"/>
      <c r="BSP44" s="247"/>
      <c r="BSQ44" s="247"/>
      <c r="BSR44" s="247"/>
      <c r="BSS44" s="247"/>
      <c r="BST44" s="247"/>
      <c r="BSU44" s="247"/>
      <c r="BSV44" s="247"/>
      <c r="BSW44" s="247"/>
      <c r="BSX44" s="247"/>
      <c r="BSY44" s="247"/>
      <c r="BSZ44" s="247"/>
      <c r="BTA44" s="247"/>
      <c r="BTB44" s="247"/>
      <c r="BTC44" s="247"/>
      <c r="BTD44" s="247"/>
      <c r="BTE44" s="247"/>
      <c r="BTF44" s="247"/>
      <c r="BTG44" s="247"/>
      <c r="BTH44" s="247"/>
      <c r="BTI44" s="247"/>
      <c r="BTJ44" s="247"/>
      <c r="BTK44" s="247"/>
      <c r="BTL44" s="247"/>
      <c r="BTM44" s="247"/>
      <c r="BTN44" s="247"/>
      <c r="BTO44" s="247"/>
      <c r="BTP44" s="247"/>
      <c r="BTQ44" s="247"/>
      <c r="BTR44" s="247"/>
      <c r="BTS44" s="247"/>
      <c r="BTT44" s="247"/>
      <c r="BTU44" s="247"/>
      <c r="BTV44" s="247"/>
      <c r="BTW44" s="247"/>
      <c r="BTX44" s="247"/>
      <c r="BTY44" s="247"/>
      <c r="BTZ44" s="247"/>
      <c r="BUA44" s="247"/>
      <c r="BUB44" s="247"/>
      <c r="BUC44" s="247"/>
      <c r="BUD44" s="247"/>
      <c r="BUE44" s="247"/>
      <c r="BUF44" s="247"/>
      <c r="BUG44" s="247"/>
      <c r="BUH44" s="247"/>
      <c r="BUI44" s="247"/>
      <c r="BUJ44" s="247"/>
      <c r="BUK44" s="247"/>
      <c r="BUL44" s="247"/>
      <c r="BUM44" s="247"/>
      <c r="BUN44" s="247"/>
      <c r="BUO44" s="247"/>
      <c r="BUP44" s="247"/>
      <c r="BUQ44" s="247"/>
      <c r="BUR44" s="247"/>
      <c r="BUS44" s="247"/>
      <c r="BUT44" s="247"/>
      <c r="BUU44" s="247"/>
      <c r="BUV44" s="247"/>
      <c r="BUW44" s="247"/>
      <c r="BUX44" s="247"/>
      <c r="BUY44" s="247"/>
      <c r="BUZ44" s="247"/>
      <c r="BVA44" s="247"/>
      <c r="BVB44" s="247"/>
      <c r="BVC44" s="247"/>
      <c r="BVD44" s="247"/>
      <c r="BVE44" s="247"/>
      <c r="BVF44" s="247"/>
      <c r="BVG44" s="247"/>
      <c r="BVH44" s="247"/>
      <c r="BVI44" s="247"/>
      <c r="BVJ44" s="247"/>
      <c r="BVK44" s="247"/>
      <c r="BVL44" s="247"/>
      <c r="BVM44" s="247"/>
      <c r="BVN44" s="247"/>
      <c r="BVO44" s="247"/>
      <c r="BVP44" s="247"/>
      <c r="BVQ44" s="247"/>
      <c r="BVR44" s="247"/>
      <c r="BVS44" s="247"/>
      <c r="BVT44" s="247"/>
      <c r="BVU44" s="247"/>
      <c r="BVV44" s="247"/>
      <c r="BVW44" s="247"/>
      <c r="BVX44" s="247"/>
      <c r="BVY44" s="247"/>
      <c r="BVZ44" s="247"/>
      <c r="BWA44" s="247"/>
      <c r="BWB44" s="247"/>
      <c r="BWC44" s="247"/>
      <c r="BWD44" s="247"/>
      <c r="BWE44" s="247"/>
      <c r="BWF44" s="247"/>
      <c r="BWG44" s="247"/>
      <c r="BWH44" s="247"/>
      <c r="BWI44" s="247"/>
      <c r="BWJ44" s="247"/>
      <c r="BWK44" s="247"/>
      <c r="BWL44" s="247"/>
      <c r="BWM44" s="247"/>
      <c r="BWN44" s="247"/>
      <c r="BWO44" s="247"/>
      <c r="BWP44" s="247"/>
      <c r="BWQ44" s="247"/>
      <c r="BWR44" s="247"/>
      <c r="BWS44" s="247"/>
      <c r="BWT44" s="247"/>
      <c r="BWU44" s="247"/>
      <c r="BWV44" s="247"/>
      <c r="BWW44" s="247"/>
      <c r="BWX44" s="247"/>
      <c r="BWY44" s="247"/>
      <c r="BWZ44" s="247"/>
      <c r="BXA44" s="247"/>
      <c r="BXB44" s="247"/>
      <c r="BXC44" s="247"/>
      <c r="BXD44" s="247"/>
      <c r="BXE44" s="247"/>
      <c r="BXF44" s="247"/>
      <c r="BXG44" s="247"/>
      <c r="BXH44" s="247"/>
      <c r="BXI44" s="247"/>
      <c r="BXJ44" s="247"/>
      <c r="BXK44" s="247"/>
      <c r="BXL44" s="247"/>
      <c r="BXM44" s="247"/>
      <c r="BXN44" s="247"/>
      <c r="BXO44" s="247"/>
      <c r="BXP44" s="247"/>
      <c r="BXQ44" s="247"/>
      <c r="BXR44" s="247"/>
      <c r="BXS44" s="247"/>
      <c r="BXT44" s="247"/>
      <c r="BXU44" s="247"/>
      <c r="BXV44" s="247"/>
      <c r="BXW44" s="247"/>
      <c r="BXX44" s="247"/>
      <c r="BXY44" s="247"/>
      <c r="BXZ44" s="247"/>
      <c r="BYA44" s="247"/>
      <c r="BYB44" s="247"/>
      <c r="BYC44" s="247"/>
      <c r="BYD44" s="247"/>
      <c r="BYE44" s="247"/>
      <c r="BYF44" s="247"/>
      <c r="BYG44" s="247"/>
      <c r="BYH44" s="247"/>
      <c r="BYI44" s="247"/>
      <c r="BYJ44" s="247"/>
      <c r="BYK44" s="247"/>
      <c r="BYL44" s="247"/>
      <c r="BYM44" s="247"/>
      <c r="BYN44" s="247"/>
      <c r="BYO44" s="247"/>
      <c r="BYP44" s="247"/>
      <c r="BYQ44" s="247"/>
      <c r="BYR44" s="247"/>
      <c r="BYS44" s="247"/>
      <c r="BYT44" s="247"/>
      <c r="BYU44" s="247"/>
      <c r="BYV44" s="247"/>
      <c r="BYW44" s="247"/>
      <c r="BYX44" s="247"/>
      <c r="BYY44" s="247"/>
      <c r="BYZ44" s="247"/>
      <c r="BZA44" s="247"/>
      <c r="BZB44" s="247"/>
      <c r="BZC44" s="247"/>
      <c r="BZD44" s="247"/>
      <c r="BZE44" s="247"/>
      <c r="BZF44" s="247"/>
      <c r="BZG44" s="247"/>
      <c r="BZH44" s="247"/>
      <c r="BZI44" s="247"/>
      <c r="BZJ44" s="247"/>
      <c r="BZK44" s="247"/>
      <c r="BZL44" s="247"/>
      <c r="BZM44" s="247"/>
      <c r="BZN44" s="247"/>
      <c r="BZO44" s="247"/>
      <c r="BZP44" s="247"/>
      <c r="BZQ44" s="247"/>
      <c r="BZR44" s="247"/>
      <c r="BZS44" s="247"/>
      <c r="BZT44" s="247"/>
      <c r="BZU44" s="247"/>
      <c r="BZV44" s="247"/>
      <c r="BZW44" s="247"/>
      <c r="BZX44" s="247"/>
      <c r="BZY44" s="247"/>
      <c r="BZZ44" s="247"/>
      <c r="CAA44" s="247"/>
      <c r="CAB44" s="247"/>
      <c r="CAC44" s="247"/>
      <c r="CAD44" s="247"/>
      <c r="CAE44" s="247"/>
      <c r="CAF44" s="247"/>
      <c r="CAG44" s="247"/>
      <c r="CAH44" s="247"/>
      <c r="CAI44" s="247"/>
      <c r="CAJ44" s="247"/>
      <c r="CAK44" s="247"/>
      <c r="CAL44" s="247"/>
      <c r="CAM44" s="247"/>
      <c r="CAN44" s="247"/>
      <c r="CAO44" s="247"/>
      <c r="CAP44" s="247"/>
      <c r="CAQ44" s="247"/>
      <c r="CAR44" s="247"/>
      <c r="CAS44" s="247"/>
      <c r="CAT44" s="247"/>
      <c r="CAU44" s="247"/>
      <c r="CAV44" s="247"/>
      <c r="CAW44" s="247"/>
      <c r="CAX44" s="247"/>
      <c r="CAY44" s="247"/>
      <c r="CAZ44" s="247"/>
      <c r="CBA44" s="247"/>
      <c r="CBB44" s="247"/>
      <c r="CBC44" s="247"/>
      <c r="CBD44" s="247"/>
      <c r="CBE44" s="247"/>
      <c r="CBF44" s="247"/>
      <c r="CBG44" s="247"/>
      <c r="CBH44" s="247"/>
      <c r="CBI44" s="247"/>
      <c r="CBJ44" s="247"/>
      <c r="CBK44" s="247"/>
      <c r="CBL44" s="247"/>
      <c r="CBM44" s="247"/>
      <c r="CBN44" s="247"/>
      <c r="CBO44" s="247"/>
      <c r="CBP44" s="247"/>
      <c r="CBQ44" s="247"/>
      <c r="CBR44" s="247"/>
      <c r="CBS44" s="247"/>
      <c r="CBT44" s="247"/>
      <c r="CBU44" s="247"/>
      <c r="CBV44" s="247"/>
      <c r="CBW44" s="247"/>
      <c r="CBX44" s="247"/>
      <c r="CBY44" s="247"/>
      <c r="CBZ44" s="247"/>
      <c r="CCA44" s="247"/>
      <c r="CCB44" s="247"/>
      <c r="CCC44" s="247"/>
      <c r="CCD44" s="247"/>
      <c r="CCE44" s="247"/>
      <c r="CCF44" s="247"/>
      <c r="CCG44" s="247"/>
      <c r="CCH44" s="247"/>
      <c r="CCI44" s="247"/>
      <c r="CCJ44" s="247"/>
      <c r="CCK44" s="247"/>
      <c r="CCL44" s="247"/>
      <c r="CCM44" s="247"/>
      <c r="CCN44" s="247"/>
      <c r="CCO44" s="247"/>
      <c r="CCP44" s="247"/>
      <c r="CCQ44" s="247"/>
      <c r="CCR44" s="247"/>
      <c r="CCS44" s="247"/>
      <c r="CCT44" s="247"/>
      <c r="CCU44" s="247"/>
      <c r="CCV44" s="247"/>
      <c r="CCW44" s="247"/>
      <c r="CCX44" s="247"/>
      <c r="CCY44" s="247"/>
      <c r="CCZ44" s="247"/>
      <c r="CDA44" s="247"/>
      <c r="CDB44" s="247"/>
      <c r="CDC44" s="247"/>
      <c r="CDD44" s="247"/>
      <c r="CDE44" s="247"/>
      <c r="CDF44" s="247"/>
      <c r="CDG44" s="247"/>
      <c r="CDH44" s="247"/>
      <c r="CDI44" s="247"/>
      <c r="CDJ44" s="247"/>
      <c r="CDK44" s="247"/>
      <c r="CDL44" s="247"/>
      <c r="CDM44" s="247"/>
      <c r="CDN44" s="247"/>
      <c r="CDO44" s="247"/>
      <c r="CDP44" s="247"/>
      <c r="CDQ44" s="247"/>
      <c r="CDR44" s="247"/>
      <c r="CDS44" s="247"/>
      <c r="CDT44" s="247"/>
      <c r="CDU44" s="247"/>
      <c r="CDV44" s="247"/>
      <c r="CDW44" s="247"/>
      <c r="CDX44" s="247"/>
      <c r="CDY44" s="247"/>
      <c r="CDZ44" s="247"/>
      <c r="CEA44" s="247"/>
      <c r="CEB44" s="247"/>
      <c r="CEC44" s="247"/>
      <c r="CED44" s="247"/>
      <c r="CEE44" s="247"/>
      <c r="CEF44" s="247"/>
      <c r="CEG44" s="247"/>
      <c r="CEH44" s="247"/>
      <c r="CEI44" s="247"/>
      <c r="CEJ44" s="247"/>
      <c r="CEK44" s="247"/>
      <c r="CEL44" s="247"/>
      <c r="CEM44" s="247"/>
      <c r="CEN44" s="247"/>
      <c r="CEO44" s="247"/>
      <c r="CEP44" s="247"/>
      <c r="CEQ44" s="247"/>
      <c r="CER44" s="247"/>
      <c r="CES44" s="247"/>
      <c r="CET44" s="247"/>
      <c r="CEU44" s="247"/>
      <c r="CEV44" s="247"/>
      <c r="CEW44" s="247"/>
      <c r="CEX44" s="247"/>
      <c r="CEY44" s="247"/>
      <c r="CEZ44" s="247"/>
      <c r="CFA44" s="247"/>
      <c r="CFB44" s="247"/>
      <c r="CFC44" s="247"/>
      <c r="CFD44" s="247"/>
      <c r="CFE44" s="247"/>
      <c r="CFF44" s="247"/>
      <c r="CFG44" s="247"/>
      <c r="CFH44" s="247"/>
      <c r="CFI44" s="247"/>
      <c r="CFJ44" s="247"/>
      <c r="CFK44" s="247"/>
      <c r="CFL44" s="247"/>
      <c r="CFM44" s="247"/>
      <c r="CFN44" s="247"/>
      <c r="CFO44" s="247"/>
      <c r="CFP44" s="247"/>
      <c r="CFQ44" s="247"/>
      <c r="CFR44" s="247"/>
      <c r="CFS44" s="247"/>
      <c r="CFT44" s="247"/>
      <c r="CFU44" s="247"/>
      <c r="CFV44" s="247"/>
      <c r="CFW44" s="247"/>
      <c r="CFX44" s="247"/>
      <c r="CFY44" s="247"/>
      <c r="CFZ44" s="247"/>
      <c r="CGA44" s="247"/>
      <c r="CGB44" s="247"/>
      <c r="CGC44" s="247"/>
      <c r="CGD44" s="247"/>
      <c r="CGE44" s="247"/>
      <c r="CGF44" s="247"/>
      <c r="CGG44" s="247"/>
      <c r="CGH44" s="247"/>
      <c r="CGI44" s="247"/>
      <c r="CGJ44" s="247"/>
      <c r="CGK44" s="247"/>
      <c r="CGL44" s="247"/>
      <c r="CGM44" s="247"/>
      <c r="CGN44" s="247"/>
      <c r="CGO44" s="247"/>
      <c r="CGP44" s="247"/>
      <c r="CGQ44" s="247"/>
      <c r="CGR44" s="247"/>
      <c r="CGS44" s="247"/>
      <c r="CGT44" s="247"/>
      <c r="CGU44" s="247"/>
      <c r="CGV44" s="247"/>
      <c r="CGW44" s="247"/>
      <c r="CGX44" s="247"/>
      <c r="CGY44" s="247"/>
      <c r="CGZ44" s="247"/>
      <c r="CHA44" s="247"/>
      <c r="CHB44" s="247"/>
      <c r="CHC44" s="247"/>
      <c r="CHD44" s="247"/>
      <c r="CHE44" s="247"/>
      <c r="CHF44" s="247"/>
      <c r="CHG44" s="247"/>
      <c r="CHH44" s="247"/>
      <c r="CHI44" s="247"/>
      <c r="CHJ44" s="247"/>
      <c r="CHK44" s="247"/>
      <c r="CHL44" s="247"/>
      <c r="CHM44" s="247"/>
      <c r="CHN44" s="247"/>
      <c r="CHO44" s="247"/>
      <c r="CHP44" s="247"/>
      <c r="CHQ44" s="247"/>
      <c r="CHR44" s="247"/>
      <c r="CHS44" s="247"/>
      <c r="CHT44" s="247"/>
      <c r="CHU44" s="247"/>
      <c r="CHV44" s="247"/>
      <c r="CHW44" s="247"/>
      <c r="CHX44" s="247"/>
      <c r="CHY44" s="247"/>
      <c r="CHZ44" s="247"/>
      <c r="CIA44" s="247"/>
      <c r="CIB44" s="247"/>
      <c r="CIC44" s="247"/>
      <c r="CID44" s="247"/>
      <c r="CIE44" s="247"/>
      <c r="CIF44" s="247"/>
      <c r="CIG44" s="247"/>
      <c r="CIH44" s="247"/>
      <c r="CII44" s="247"/>
      <c r="CIJ44" s="247"/>
      <c r="CIK44" s="247"/>
      <c r="CIL44" s="247"/>
      <c r="CIM44" s="247"/>
      <c r="CIN44" s="247"/>
      <c r="CIO44" s="247"/>
      <c r="CIP44" s="247"/>
      <c r="CIQ44" s="247"/>
      <c r="CIR44" s="247"/>
      <c r="CIS44" s="247"/>
      <c r="CIT44" s="247"/>
      <c r="CIU44" s="247"/>
      <c r="CIV44" s="247"/>
      <c r="CIW44" s="247"/>
      <c r="CIX44" s="247"/>
      <c r="CIY44" s="247"/>
      <c r="CIZ44" s="247"/>
      <c r="CJA44" s="247"/>
      <c r="CJB44" s="247"/>
      <c r="CJC44" s="247"/>
      <c r="CJD44" s="247"/>
      <c r="CJE44" s="247"/>
      <c r="CJF44" s="247"/>
      <c r="CJG44" s="247"/>
      <c r="CJH44" s="247"/>
      <c r="CJI44" s="247"/>
      <c r="CJJ44" s="247"/>
      <c r="CJK44" s="247"/>
      <c r="CJL44" s="247"/>
      <c r="CJM44" s="247"/>
      <c r="CJN44" s="247"/>
      <c r="CJO44" s="247"/>
      <c r="CJP44" s="247"/>
      <c r="CJQ44" s="247"/>
      <c r="CJR44" s="247"/>
      <c r="CJS44" s="247"/>
      <c r="CJT44" s="247"/>
      <c r="CJU44" s="247"/>
      <c r="CJV44" s="247"/>
      <c r="CJW44" s="247"/>
      <c r="CJX44" s="247"/>
      <c r="CJY44" s="247"/>
      <c r="CJZ44" s="247"/>
      <c r="CKA44" s="247"/>
      <c r="CKB44" s="247"/>
      <c r="CKC44" s="247"/>
      <c r="CKD44" s="247"/>
      <c r="CKE44" s="247"/>
      <c r="CKF44" s="247"/>
      <c r="CKG44" s="247"/>
      <c r="CKH44" s="247"/>
      <c r="CKI44" s="247"/>
      <c r="CKJ44" s="247"/>
      <c r="CKK44" s="247"/>
      <c r="CKL44" s="247"/>
      <c r="CKM44" s="247"/>
      <c r="CKN44" s="247"/>
      <c r="CKO44" s="247"/>
      <c r="CKP44" s="247"/>
      <c r="CKQ44" s="247"/>
      <c r="CKR44" s="247"/>
      <c r="CKS44" s="247"/>
      <c r="CKT44" s="247"/>
      <c r="CKU44" s="247"/>
      <c r="CKV44" s="247"/>
      <c r="CKW44" s="247"/>
      <c r="CKX44" s="247"/>
      <c r="CKY44" s="247"/>
      <c r="CKZ44" s="247"/>
      <c r="CLA44" s="247"/>
      <c r="CLB44" s="247"/>
      <c r="CLC44" s="247"/>
      <c r="CLD44" s="247"/>
      <c r="CLE44" s="247"/>
      <c r="CLF44" s="247"/>
      <c r="CLG44" s="247"/>
      <c r="CLH44" s="247"/>
      <c r="CLI44" s="247"/>
      <c r="CLJ44" s="247"/>
      <c r="CLK44" s="247"/>
      <c r="CLL44" s="247"/>
      <c r="CLM44" s="247"/>
      <c r="CLN44" s="247"/>
      <c r="CLO44" s="247"/>
      <c r="CLP44" s="247"/>
      <c r="CLQ44" s="247"/>
      <c r="CLR44" s="247"/>
      <c r="CLS44" s="247"/>
      <c r="CLT44" s="247"/>
      <c r="CLU44" s="247"/>
      <c r="CLV44" s="247"/>
      <c r="CLW44" s="247"/>
      <c r="CLX44" s="247"/>
      <c r="CLY44" s="247"/>
      <c r="CLZ44" s="247"/>
      <c r="CMA44" s="247"/>
      <c r="CMB44" s="247"/>
      <c r="CMC44" s="247"/>
      <c r="CMD44" s="247"/>
      <c r="CME44" s="247"/>
      <c r="CMF44" s="247"/>
      <c r="CMG44" s="247"/>
      <c r="CMH44" s="247"/>
      <c r="CMI44" s="247"/>
      <c r="CMJ44" s="247"/>
      <c r="CMK44" s="247"/>
      <c r="CML44" s="247"/>
      <c r="CMM44" s="247"/>
      <c r="CMN44" s="247"/>
      <c r="CMO44" s="247"/>
      <c r="CMP44" s="247"/>
      <c r="CMQ44" s="247"/>
      <c r="CMR44" s="247"/>
      <c r="CMS44" s="247"/>
      <c r="CMT44" s="247"/>
      <c r="CMU44" s="247"/>
      <c r="CMV44" s="247"/>
      <c r="CMW44" s="247"/>
      <c r="CMX44" s="247"/>
      <c r="CMY44" s="247"/>
      <c r="CMZ44" s="247"/>
      <c r="CNA44" s="247"/>
      <c r="CNB44" s="247"/>
      <c r="CNC44" s="247"/>
      <c r="CND44" s="247"/>
      <c r="CNE44" s="247"/>
      <c r="CNF44" s="247"/>
      <c r="CNG44" s="247"/>
      <c r="CNH44" s="247"/>
      <c r="CNI44" s="247"/>
      <c r="CNJ44" s="247"/>
      <c r="CNK44" s="247"/>
      <c r="CNL44" s="247"/>
      <c r="CNM44" s="247"/>
      <c r="CNN44" s="247"/>
      <c r="CNO44" s="247"/>
      <c r="CNP44" s="247"/>
      <c r="CNQ44" s="247"/>
      <c r="CNR44" s="247"/>
      <c r="CNS44" s="247"/>
      <c r="CNT44" s="247"/>
      <c r="CNU44" s="247"/>
      <c r="CNV44" s="247"/>
      <c r="CNW44" s="247"/>
      <c r="CNX44" s="247"/>
      <c r="CNY44" s="247"/>
      <c r="CNZ44" s="247"/>
      <c r="COA44" s="247"/>
      <c r="COB44" s="247"/>
      <c r="COC44" s="247"/>
      <c r="COD44" s="247"/>
      <c r="COE44" s="247"/>
      <c r="COF44" s="247"/>
      <c r="COG44" s="247"/>
      <c r="COH44" s="247"/>
      <c r="COI44" s="247"/>
      <c r="COJ44" s="247"/>
      <c r="COK44" s="247"/>
      <c r="COL44" s="247"/>
      <c r="COM44" s="247"/>
      <c r="CON44" s="247"/>
      <c r="COO44" s="247"/>
      <c r="COP44" s="247"/>
      <c r="COQ44" s="247"/>
      <c r="COR44" s="247"/>
      <c r="COS44" s="247"/>
      <c r="COT44" s="247"/>
      <c r="COU44" s="247"/>
      <c r="COV44" s="247"/>
      <c r="COW44" s="247"/>
      <c r="COX44" s="247"/>
      <c r="COY44" s="247"/>
      <c r="COZ44" s="247"/>
      <c r="CPA44" s="247"/>
      <c r="CPB44" s="247"/>
      <c r="CPC44" s="247"/>
      <c r="CPD44" s="247"/>
      <c r="CPE44" s="247"/>
      <c r="CPF44" s="247"/>
      <c r="CPG44" s="247"/>
      <c r="CPH44" s="247"/>
      <c r="CPI44" s="247"/>
      <c r="CPJ44" s="247"/>
      <c r="CPK44" s="247"/>
      <c r="CPL44" s="247"/>
      <c r="CPM44" s="247"/>
      <c r="CPN44" s="247"/>
      <c r="CPO44" s="247"/>
      <c r="CPP44" s="247"/>
      <c r="CPQ44" s="247"/>
      <c r="CPR44" s="247"/>
      <c r="CPS44" s="247"/>
      <c r="CPT44" s="247"/>
      <c r="CPU44" s="247"/>
      <c r="CPV44" s="247"/>
      <c r="CPW44" s="247"/>
      <c r="CPX44" s="247"/>
      <c r="CPY44" s="247"/>
      <c r="CPZ44" s="247"/>
      <c r="CQA44" s="247"/>
      <c r="CQB44" s="247"/>
      <c r="CQC44" s="247"/>
      <c r="CQD44" s="247"/>
      <c r="CQE44" s="247"/>
      <c r="CQF44" s="247"/>
      <c r="CQG44" s="247"/>
      <c r="CQH44" s="247"/>
      <c r="CQI44" s="247"/>
      <c r="CQJ44" s="247"/>
      <c r="CQK44" s="247"/>
      <c r="CQL44" s="247"/>
      <c r="CQM44" s="247"/>
      <c r="CQN44" s="247"/>
      <c r="CQO44" s="247"/>
      <c r="CQP44" s="247"/>
      <c r="CQQ44" s="247"/>
      <c r="CQR44" s="247"/>
      <c r="CQS44" s="247"/>
      <c r="CQT44" s="247"/>
      <c r="CQU44" s="247"/>
      <c r="CQV44" s="247"/>
      <c r="CQW44" s="247"/>
      <c r="CQX44" s="247"/>
      <c r="CQY44" s="247"/>
      <c r="CQZ44" s="247"/>
      <c r="CRA44" s="247"/>
      <c r="CRB44" s="247"/>
      <c r="CRC44" s="247"/>
      <c r="CRD44" s="247"/>
      <c r="CRE44" s="247"/>
      <c r="CRF44" s="247"/>
      <c r="CRG44" s="247"/>
      <c r="CRH44" s="247"/>
      <c r="CRI44" s="247"/>
      <c r="CRJ44" s="247"/>
      <c r="CRK44" s="247"/>
      <c r="CRL44" s="247"/>
      <c r="CRM44" s="247"/>
      <c r="CRN44" s="247"/>
      <c r="CRO44" s="247"/>
      <c r="CRP44" s="247"/>
      <c r="CRQ44" s="247"/>
      <c r="CRR44" s="247"/>
      <c r="CRS44" s="247"/>
      <c r="CRT44" s="247"/>
      <c r="CRU44" s="247"/>
      <c r="CRV44" s="247"/>
      <c r="CRW44" s="247"/>
      <c r="CRX44" s="247"/>
      <c r="CRY44" s="247"/>
      <c r="CRZ44" s="247"/>
      <c r="CSA44" s="247"/>
      <c r="CSB44" s="247"/>
      <c r="CSC44" s="247"/>
      <c r="CSD44" s="247"/>
      <c r="CSE44" s="247"/>
      <c r="CSF44" s="247"/>
      <c r="CSG44" s="247"/>
      <c r="CSH44" s="247"/>
      <c r="CSI44" s="247"/>
      <c r="CSJ44" s="247"/>
      <c r="CSK44" s="247"/>
      <c r="CSL44" s="247"/>
      <c r="CSM44" s="247"/>
      <c r="CSN44" s="247"/>
      <c r="CSO44" s="247"/>
      <c r="CSP44" s="247"/>
      <c r="CSQ44" s="247"/>
      <c r="CSR44" s="247"/>
      <c r="CSS44" s="247"/>
      <c r="CST44" s="247"/>
      <c r="CSU44" s="247"/>
      <c r="CSV44" s="247"/>
      <c r="CSW44" s="247"/>
      <c r="CSX44" s="247"/>
      <c r="CSY44" s="247"/>
      <c r="CSZ44" s="247"/>
      <c r="CTA44" s="247"/>
      <c r="CTB44" s="247"/>
      <c r="CTC44" s="247"/>
      <c r="CTD44" s="247"/>
      <c r="CTE44" s="247"/>
      <c r="CTF44" s="247"/>
      <c r="CTG44" s="247"/>
      <c r="CTH44" s="247"/>
      <c r="CTI44" s="247"/>
      <c r="CTJ44" s="247"/>
      <c r="CTK44" s="247"/>
      <c r="CTL44" s="247"/>
      <c r="CTM44" s="247"/>
      <c r="CTN44" s="247"/>
      <c r="CTO44" s="247"/>
      <c r="CTP44" s="247"/>
      <c r="CTQ44" s="247"/>
      <c r="CTR44" s="247"/>
      <c r="CTS44" s="247"/>
      <c r="CTT44" s="247"/>
      <c r="CTU44" s="247"/>
      <c r="CTV44" s="247"/>
      <c r="CTW44" s="247"/>
      <c r="CTX44" s="247"/>
      <c r="CTY44" s="247"/>
      <c r="CTZ44" s="247"/>
      <c r="CUA44" s="247"/>
    </row>
    <row r="45" s="191" customFormat="1" spans="1:1024 1025:2575">
      <c r="A45" s="227" t="s">
        <v>30</v>
      </c>
      <c r="B45" s="228">
        <f t="shared" si="31"/>
        <v>11</v>
      </c>
      <c r="C45" s="229">
        <f t="shared" si="26"/>
        <v>45566</v>
      </c>
      <c r="D45" s="230">
        <f t="shared" si="22"/>
        <v>45572</v>
      </c>
      <c r="E45" s="231">
        <v>1326</v>
      </c>
      <c r="F45" s="232">
        <f t="shared" si="27"/>
        <v>45586</v>
      </c>
      <c r="G45" s="231">
        <v>1062</v>
      </c>
      <c r="H45" s="233">
        <f t="shared" si="10"/>
        <v>0.800904977375566</v>
      </c>
      <c r="I45" s="230">
        <f t="shared" si="28"/>
        <v>45603</v>
      </c>
      <c r="J45" s="231">
        <v>1042</v>
      </c>
      <c r="K45" s="233">
        <f t="shared" si="0"/>
        <v>0.785822021116139</v>
      </c>
      <c r="L45" s="230">
        <f t="shared" si="29"/>
        <v>45606</v>
      </c>
      <c r="M45" s="231">
        <v>1042</v>
      </c>
      <c r="N45" s="231">
        <v>9805</v>
      </c>
      <c r="O45" s="233">
        <f t="shared" si="1"/>
        <v>0.785822021116139</v>
      </c>
      <c r="P45" s="233">
        <f t="shared" si="7"/>
        <v>0.0150829562594269</v>
      </c>
      <c r="Q45" s="234">
        <f t="shared" si="2"/>
        <v>9.40978886756238</v>
      </c>
      <c r="R45" s="230">
        <f t="shared" si="30"/>
        <v>45638</v>
      </c>
      <c r="S45" s="235">
        <v>9612</v>
      </c>
      <c r="T45" s="228">
        <v>904</v>
      </c>
      <c r="U45" s="233">
        <f t="shared" si="3"/>
        <v>0.980316165221826</v>
      </c>
      <c r="V45" s="230">
        <f t="shared" si="19"/>
        <v>45673</v>
      </c>
      <c r="W45" s="235">
        <v>9361</v>
      </c>
      <c r="X45" s="233">
        <f t="shared" si="4"/>
        <v>0.973886808156471</v>
      </c>
      <c r="Y45" s="228">
        <v>22726</v>
      </c>
      <c r="Z45" s="236">
        <v>14.2</v>
      </c>
      <c r="AA45" s="236">
        <f t="shared" si="32"/>
        <v>2.42773207990599</v>
      </c>
      <c r="AB45" s="236">
        <f t="shared" si="5"/>
        <v>7.05957767722474</v>
      </c>
      <c r="AC45" s="236">
        <v>3.32</v>
      </c>
      <c r="AD45" s="235">
        <v>3.28</v>
      </c>
      <c r="AE45" s="236">
        <v>58.45</v>
      </c>
      <c r="AF45" s="235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193"/>
      <c r="BJ45" s="193"/>
      <c r="BK45" s="193"/>
      <c r="BL45" s="193"/>
      <c r="BM45" s="193"/>
      <c r="BN45" s="193"/>
      <c r="BO45" s="193"/>
      <c r="BP45" s="193"/>
      <c r="BQ45" s="193"/>
      <c r="BR45" s="193"/>
      <c r="BS45" s="193"/>
      <c r="BT45" s="193"/>
      <c r="BU45" s="193"/>
      <c r="BV45" s="193"/>
      <c r="BW45" s="193"/>
      <c r="BX45" s="193"/>
      <c r="BY45" s="193"/>
      <c r="BZ45" s="193"/>
      <c r="CA45" s="193"/>
      <c r="CB45" s="193"/>
      <c r="CC45" s="193"/>
      <c r="CD45" s="193"/>
      <c r="CE45" s="193"/>
      <c r="CF45" s="193"/>
      <c r="CG45" s="193"/>
      <c r="CH45" s="193"/>
      <c r="CI45" s="193"/>
      <c r="CJ45" s="193"/>
      <c r="CK45" s="193"/>
      <c r="CL45" s="193"/>
      <c r="CM45" s="193"/>
      <c r="CN45" s="193"/>
      <c r="CO45" s="193"/>
      <c r="CP45" s="193"/>
      <c r="CQ45" s="193"/>
      <c r="CR45" s="193"/>
      <c r="CS45" s="193"/>
      <c r="CT45" s="193"/>
      <c r="CU45" s="193"/>
      <c r="CV45" s="193"/>
      <c r="CW45" s="193"/>
      <c r="CX45" s="193"/>
      <c r="CY45" s="193"/>
      <c r="CZ45" s="193"/>
      <c r="DA45" s="193"/>
      <c r="DB45" s="193"/>
      <c r="DC45" s="193"/>
      <c r="DD45" s="193"/>
      <c r="DE45" s="193"/>
      <c r="DF45" s="193"/>
      <c r="DG45" s="193"/>
      <c r="DH45" s="193"/>
      <c r="DI45" s="193"/>
      <c r="DJ45" s="193"/>
      <c r="DK45" s="193"/>
      <c r="DL45" s="193"/>
      <c r="DM45" s="193"/>
      <c r="DN45" s="193"/>
      <c r="DO45" s="193"/>
      <c r="DP45" s="193"/>
      <c r="DQ45" s="193"/>
      <c r="DR45" s="193"/>
      <c r="DS45" s="193"/>
      <c r="DT45" s="193"/>
      <c r="DU45" s="193"/>
      <c r="DV45" s="193"/>
      <c r="DW45" s="193"/>
      <c r="DX45" s="193"/>
      <c r="DY45" s="193"/>
      <c r="DZ45" s="193"/>
      <c r="EA45" s="193"/>
      <c r="EB45" s="193"/>
      <c r="EC45" s="193"/>
      <c r="ED45" s="193"/>
      <c r="EE45" s="193"/>
      <c r="EF45" s="193"/>
      <c r="EG45" s="193"/>
      <c r="EH45" s="193"/>
      <c r="EI45" s="193"/>
      <c r="EJ45" s="193"/>
      <c r="EK45" s="193"/>
      <c r="EL45" s="193"/>
      <c r="EM45" s="193"/>
      <c r="EN45" s="193"/>
      <c r="EO45" s="193"/>
      <c r="EP45" s="193"/>
      <c r="EQ45" s="193"/>
      <c r="ER45" s="193"/>
      <c r="ES45" s="193"/>
      <c r="ET45" s="193"/>
      <c r="EU45" s="193"/>
      <c r="EV45" s="193"/>
      <c r="EW45" s="193"/>
      <c r="EX45" s="193"/>
      <c r="EY45" s="193"/>
      <c r="EZ45" s="193"/>
      <c r="FA45" s="193"/>
      <c r="FB45" s="193"/>
      <c r="FC45" s="193"/>
      <c r="FD45" s="193"/>
      <c r="FE45" s="193"/>
      <c r="FF45" s="193"/>
      <c r="FG45" s="193"/>
      <c r="FH45" s="193"/>
      <c r="FI45" s="193"/>
      <c r="FJ45" s="193"/>
      <c r="FK45" s="193"/>
      <c r="FL45" s="193"/>
      <c r="FM45" s="193"/>
      <c r="FN45" s="193"/>
      <c r="FO45" s="193"/>
      <c r="FP45" s="193"/>
      <c r="FQ45" s="193"/>
      <c r="FR45" s="193"/>
      <c r="FS45" s="193"/>
      <c r="FT45" s="193"/>
      <c r="FU45" s="193"/>
      <c r="FV45" s="193"/>
      <c r="FW45" s="193"/>
      <c r="FX45" s="193"/>
      <c r="FY45" s="193"/>
      <c r="FZ45" s="193"/>
      <c r="GA45" s="193"/>
      <c r="GB45" s="193"/>
      <c r="GC45" s="193"/>
      <c r="GD45" s="193"/>
      <c r="GE45" s="193"/>
      <c r="GF45" s="193"/>
      <c r="GG45" s="193"/>
      <c r="GH45" s="193"/>
      <c r="GI45" s="193"/>
      <c r="GJ45" s="193"/>
      <c r="GK45" s="193"/>
      <c r="GL45" s="193"/>
      <c r="GM45" s="193"/>
      <c r="GN45" s="193"/>
      <c r="GO45" s="193"/>
      <c r="GP45" s="193"/>
      <c r="GQ45" s="193"/>
      <c r="GR45" s="193"/>
      <c r="GS45" s="193"/>
      <c r="GT45" s="193"/>
      <c r="GU45" s="193"/>
      <c r="GV45" s="193"/>
      <c r="GW45" s="193"/>
      <c r="GX45" s="193"/>
      <c r="GY45" s="193"/>
      <c r="GZ45" s="193"/>
      <c r="HA45" s="193"/>
      <c r="HB45" s="193"/>
      <c r="HC45" s="193"/>
      <c r="HD45" s="193"/>
      <c r="HE45" s="193"/>
      <c r="HF45" s="193"/>
      <c r="HG45" s="193"/>
      <c r="HH45" s="193"/>
      <c r="HI45" s="193"/>
      <c r="HJ45" s="193"/>
      <c r="HK45" s="193"/>
      <c r="HL45" s="193"/>
      <c r="HM45" s="193"/>
      <c r="HN45" s="193"/>
      <c r="HO45" s="193"/>
      <c r="HP45" s="193"/>
      <c r="HQ45" s="193"/>
      <c r="HR45" s="193"/>
      <c r="HS45" s="193"/>
      <c r="HT45" s="193"/>
      <c r="HU45" s="193"/>
      <c r="HV45" s="193"/>
      <c r="HW45" s="193"/>
      <c r="HX45" s="193"/>
      <c r="HY45" s="193"/>
      <c r="HZ45" s="193"/>
      <c r="IA45" s="193"/>
      <c r="IB45" s="193"/>
      <c r="IC45" s="193"/>
      <c r="ID45" s="193"/>
      <c r="IE45" s="193"/>
      <c r="IF45" s="193"/>
      <c r="IG45" s="193"/>
      <c r="IH45" s="193"/>
      <c r="II45" s="193"/>
      <c r="IJ45" s="193"/>
      <c r="IK45" s="193"/>
      <c r="IL45" s="193"/>
      <c r="IM45" s="193"/>
      <c r="IN45" s="193"/>
      <c r="IO45" s="193"/>
      <c r="IP45" s="193"/>
      <c r="IQ45" s="193"/>
      <c r="IR45" s="193"/>
      <c r="IS45" s="193"/>
      <c r="IT45" s="193"/>
      <c r="IU45" s="193"/>
      <c r="IV45" s="193"/>
      <c r="IW45" s="193"/>
      <c r="IX45" s="193"/>
      <c r="IY45" s="193"/>
      <c r="IZ45" s="193"/>
      <c r="JA45" s="193"/>
      <c r="JB45" s="193"/>
      <c r="JC45" s="193"/>
      <c r="JD45" s="193"/>
      <c r="JE45" s="193"/>
      <c r="JF45" s="193"/>
      <c r="JG45" s="193"/>
      <c r="JH45" s="193"/>
      <c r="JI45" s="193"/>
      <c r="JJ45" s="193"/>
      <c r="JK45" s="193"/>
      <c r="JL45" s="193"/>
      <c r="JM45" s="193"/>
      <c r="JN45" s="193"/>
      <c r="JO45" s="193"/>
      <c r="JP45" s="193"/>
      <c r="JQ45" s="193"/>
      <c r="JR45" s="193"/>
      <c r="JS45" s="193"/>
      <c r="JT45" s="193"/>
      <c r="JU45" s="193"/>
      <c r="JV45" s="193"/>
      <c r="JW45" s="193"/>
      <c r="JX45" s="193"/>
      <c r="JY45" s="193"/>
      <c r="JZ45" s="193"/>
      <c r="KA45" s="193"/>
      <c r="KB45" s="193"/>
      <c r="KC45" s="193"/>
      <c r="KD45" s="193"/>
      <c r="KE45" s="193"/>
      <c r="KF45" s="193"/>
      <c r="KG45" s="193"/>
      <c r="KH45" s="193"/>
      <c r="KI45" s="193"/>
      <c r="KJ45" s="193"/>
      <c r="KK45" s="193"/>
      <c r="KL45" s="193"/>
      <c r="KM45" s="193"/>
      <c r="KN45" s="193"/>
      <c r="KO45" s="193"/>
      <c r="KP45" s="193"/>
      <c r="KQ45" s="193"/>
      <c r="KR45" s="193"/>
      <c r="KS45" s="193"/>
      <c r="KT45" s="193"/>
      <c r="KU45" s="193"/>
      <c r="KV45" s="193"/>
      <c r="KW45" s="193"/>
      <c r="KX45" s="193"/>
      <c r="KY45" s="193"/>
      <c r="KZ45" s="193"/>
      <c r="LA45" s="193"/>
      <c r="LB45" s="193"/>
      <c r="LC45" s="193"/>
      <c r="LD45" s="193"/>
      <c r="LE45" s="193"/>
      <c r="LF45" s="193"/>
      <c r="LG45" s="193"/>
      <c r="LH45" s="193"/>
      <c r="LI45" s="193"/>
      <c r="LJ45" s="193"/>
      <c r="LK45" s="193"/>
      <c r="LL45" s="193"/>
      <c r="LM45" s="193"/>
      <c r="LN45" s="193"/>
      <c r="LO45" s="193"/>
      <c r="LP45" s="193"/>
      <c r="LQ45" s="193"/>
      <c r="LR45" s="193"/>
      <c r="LS45" s="193"/>
      <c r="LT45" s="193"/>
      <c r="LU45" s="193"/>
      <c r="LV45" s="193"/>
      <c r="LW45" s="193"/>
      <c r="LX45" s="193"/>
      <c r="LY45" s="193"/>
      <c r="LZ45" s="193"/>
      <c r="MA45" s="193"/>
      <c r="MB45" s="193"/>
      <c r="MC45" s="193"/>
      <c r="MD45" s="193"/>
      <c r="ME45" s="193"/>
      <c r="MF45" s="193"/>
      <c r="MG45" s="193"/>
      <c r="MH45" s="193"/>
      <c r="MI45" s="193"/>
      <c r="MJ45" s="193"/>
      <c r="MK45" s="193"/>
      <c r="ML45" s="193"/>
      <c r="MM45" s="193"/>
      <c r="MN45" s="193"/>
      <c r="MO45" s="193"/>
      <c r="MP45" s="193"/>
      <c r="MQ45" s="193"/>
      <c r="MR45" s="193"/>
      <c r="MS45" s="193"/>
      <c r="MT45" s="193"/>
      <c r="MU45" s="193"/>
      <c r="MV45" s="193"/>
      <c r="MW45" s="193"/>
      <c r="MX45" s="193"/>
      <c r="MY45" s="193"/>
      <c r="MZ45" s="193"/>
      <c r="NA45" s="193"/>
      <c r="NB45" s="193"/>
      <c r="NC45" s="193"/>
      <c r="ND45" s="193"/>
      <c r="NE45" s="193"/>
      <c r="NF45" s="193"/>
      <c r="NG45" s="193"/>
      <c r="NH45" s="193"/>
      <c r="NI45" s="193"/>
      <c r="NJ45" s="193"/>
      <c r="NK45" s="193"/>
      <c r="NL45" s="193"/>
      <c r="NM45" s="193"/>
      <c r="NN45" s="193"/>
      <c r="NO45" s="193"/>
      <c r="NP45" s="193"/>
      <c r="NQ45" s="193"/>
      <c r="NR45" s="193"/>
      <c r="NS45" s="193"/>
      <c r="NT45" s="193"/>
      <c r="NU45" s="193"/>
      <c r="NV45" s="193"/>
      <c r="NW45" s="193"/>
      <c r="NX45" s="193"/>
      <c r="NY45" s="193"/>
      <c r="NZ45" s="193"/>
      <c r="OA45" s="193"/>
      <c r="OB45" s="193"/>
      <c r="OC45" s="193"/>
      <c r="OD45" s="193"/>
      <c r="OE45" s="193"/>
      <c r="OF45" s="193"/>
      <c r="OG45" s="193"/>
      <c r="OH45" s="193"/>
      <c r="OI45" s="193"/>
      <c r="OJ45" s="193"/>
      <c r="OK45" s="193"/>
      <c r="OL45" s="193"/>
      <c r="OM45" s="193"/>
      <c r="ON45" s="193"/>
      <c r="OO45" s="193"/>
      <c r="OP45" s="193"/>
      <c r="OQ45" s="193"/>
      <c r="OR45" s="193"/>
      <c r="OS45" s="193"/>
      <c r="OT45" s="193"/>
      <c r="OU45" s="193"/>
      <c r="OV45" s="193"/>
      <c r="OW45" s="193"/>
      <c r="OX45" s="193"/>
      <c r="OY45" s="193"/>
      <c r="OZ45" s="193"/>
      <c r="PA45" s="193"/>
      <c r="PB45" s="193"/>
      <c r="PC45" s="193"/>
      <c r="PD45" s="193"/>
      <c r="PE45" s="193"/>
      <c r="PF45" s="193"/>
      <c r="PG45" s="193"/>
      <c r="PH45" s="193"/>
      <c r="PI45" s="193"/>
      <c r="PJ45" s="193"/>
      <c r="PK45" s="193"/>
      <c r="PL45" s="193"/>
      <c r="PM45" s="193"/>
      <c r="PN45" s="193"/>
      <c r="PO45" s="193"/>
      <c r="PP45" s="193"/>
      <c r="PQ45" s="193"/>
      <c r="PR45" s="193"/>
      <c r="PS45" s="193"/>
      <c r="PT45" s="193"/>
      <c r="PU45" s="193"/>
      <c r="PV45" s="193"/>
      <c r="PW45" s="193"/>
      <c r="PX45" s="193"/>
      <c r="PY45" s="193"/>
      <c r="PZ45" s="193"/>
      <c r="QA45" s="193"/>
      <c r="QB45" s="193"/>
      <c r="QC45" s="193"/>
      <c r="QD45" s="193"/>
      <c r="QE45" s="193"/>
      <c r="QF45" s="193"/>
      <c r="QG45" s="193"/>
      <c r="QH45" s="193"/>
      <c r="QI45" s="193"/>
      <c r="QJ45" s="193"/>
      <c r="QK45" s="193"/>
      <c r="QL45" s="193"/>
      <c r="QM45" s="193"/>
      <c r="QN45" s="193"/>
      <c r="QO45" s="193"/>
      <c r="QP45" s="193"/>
      <c r="QQ45" s="193"/>
      <c r="QR45" s="193"/>
      <c r="QS45" s="193"/>
      <c r="QT45" s="193"/>
      <c r="QU45" s="193"/>
      <c r="QV45" s="193"/>
      <c r="QW45" s="193"/>
      <c r="QX45" s="193"/>
      <c r="QY45" s="193"/>
      <c r="QZ45" s="193"/>
      <c r="RA45" s="193"/>
      <c r="RB45" s="193"/>
      <c r="RC45" s="193"/>
      <c r="RD45" s="193"/>
      <c r="RE45" s="193"/>
      <c r="RF45" s="193"/>
      <c r="RG45" s="193"/>
      <c r="RH45" s="193"/>
      <c r="RI45" s="193"/>
      <c r="RJ45" s="193"/>
      <c r="RK45" s="193"/>
      <c r="RL45" s="193"/>
      <c r="RM45" s="193"/>
      <c r="RN45" s="193"/>
      <c r="RO45" s="193"/>
      <c r="RP45" s="193"/>
      <c r="RQ45" s="193"/>
      <c r="RR45" s="193"/>
      <c r="RS45" s="193"/>
      <c r="RT45" s="193"/>
      <c r="RU45" s="193"/>
      <c r="RV45" s="193"/>
      <c r="RW45" s="193"/>
      <c r="RX45" s="193"/>
      <c r="RY45" s="193"/>
      <c r="RZ45" s="193"/>
      <c r="SA45" s="193"/>
      <c r="SB45" s="193"/>
      <c r="SC45" s="193"/>
      <c r="SD45" s="193"/>
      <c r="SE45" s="193"/>
      <c r="SF45" s="193"/>
      <c r="SG45" s="193"/>
      <c r="SH45" s="193"/>
      <c r="SI45" s="193"/>
      <c r="SJ45" s="193"/>
      <c r="SK45" s="193"/>
      <c r="SL45" s="193"/>
      <c r="SM45" s="193"/>
      <c r="SN45" s="193"/>
      <c r="SO45" s="193"/>
      <c r="SP45" s="193"/>
      <c r="SQ45" s="193"/>
      <c r="SR45" s="193"/>
      <c r="SS45" s="193"/>
      <c r="ST45" s="193"/>
      <c r="SU45" s="193"/>
      <c r="SV45" s="193"/>
      <c r="SW45" s="193"/>
      <c r="SX45" s="193"/>
      <c r="SY45" s="193"/>
      <c r="SZ45" s="193"/>
      <c r="TA45" s="193"/>
      <c r="TB45" s="193"/>
      <c r="TC45" s="193"/>
      <c r="TD45" s="193"/>
      <c r="TE45" s="193"/>
      <c r="TF45" s="193"/>
      <c r="TG45" s="193"/>
      <c r="TH45" s="193"/>
      <c r="TI45" s="193"/>
      <c r="TJ45" s="193"/>
      <c r="TK45" s="193"/>
      <c r="TL45" s="193"/>
      <c r="TM45" s="193"/>
      <c r="TN45" s="193"/>
      <c r="TO45" s="193"/>
      <c r="TP45" s="193"/>
      <c r="TQ45" s="193"/>
      <c r="TR45" s="193"/>
      <c r="TS45" s="193"/>
      <c r="TT45" s="193"/>
      <c r="TU45" s="193"/>
      <c r="TV45" s="193"/>
      <c r="TW45" s="193"/>
      <c r="TX45" s="193"/>
      <c r="TY45" s="193"/>
      <c r="TZ45" s="193"/>
      <c r="UA45" s="193"/>
      <c r="UB45" s="193"/>
      <c r="UC45" s="193"/>
      <c r="UD45" s="193"/>
      <c r="UE45" s="193"/>
      <c r="UF45" s="193"/>
      <c r="UG45" s="193"/>
      <c r="UH45" s="193"/>
      <c r="UI45" s="193"/>
      <c r="UJ45" s="193"/>
      <c r="UK45" s="193"/>
      <c r="UL45" s="193"/>
      <c r="UM45" s="193"/>
      <c r="UN45" s="193"/>
      <c r="UO45" s="193"/>
      <c r="UP45" s="193"/>
      <c r="UQ45" s="193"/>
      <c r="UR45" s="193"/>
      <c r="US45" s="193"/>
      <c r="UT45" s="193"/>
      <c r="UU45" s="193"/>
      <c r="UV45" s="193"/>
      <c r="UW45" s="193"/>
      <c r="UX45" s="193"/>
      <c r="UY45" s="193"/>
      <c r="UZ45" s="193"/>
      <c r="VA45" s="193"/>
      <c r="VB45" s="193"/>
      <c r="VC45" s="193"/>
      <c r="VD45" s="193"/>
      <c r="VE45" s="193"/>
      <c r="VF45" s="193"/>
      <c r="VG45" s="193"/>
      <c r="VH45" s="193"/>
      <c r="VI45" s="193"/>
      <c r="VJ45" s="193"/>
      <c r="VK45" s="193"/>
      <c r="VL45" s="193"/>
      <c r="VM45" s="193"/>
      <c r="VN45" s="193"/>
      <c r="VO45" s="193"/>
      <c r="VP45" s="193"/>
      <c r="VQ45" s="193"/>
      <c r="VR45" s="193"/>
      <c r="VS45" s="193"/>
      <c r="VT45" s="193"/>
      <c r="VU45" s="193"/>
      <c r="VV45" s="193"/>
      <c r="VW45" s="193"/>
      <c r="VX45" s="193"/>
      <c r="VY45" s="193"/>
      <c r="VZ45" s="193"/>
      <c r="WA45" s="193"/>
      <c r="WB45" s="193"/>
      <c r="WC45" s="193"/>
      <c r="WD45" s="193"/>
      <c r="WE45" s="193"/>
      <c r="WF45" s="193"/>
      <c r="WG45" s="193"/>
      <c r="WH45" s="193"/>
      <c r="WI45" s="193"/>
      <c r="WJ45" s="193"/>
      <c r="WK45" s="193"/>
      <c r="WL45" s="193"/>
      <c r="WM45" s="193"/>
      <c r="WN45" s="193"/>
      <c r="WO45" s="193"/>
      <c r="WP45" s="193"/>
      <c r="WQ45" s="193"/>
      <c r="WR45" s="193"/>
      <c r="WS45" s="193"/>
      <c r="WT45" s="193"/>
      <c r="WU45" s="193"/>
      <c r="WV45" s="193"/>
      <c r="WW45" s="193"/>
      <c r="WX45" s="193"/>
      <c r="WY45" s="193"/>
      <c r="WZ45" s="193"/>
      <c r="XA45" s="193"/>
      <c r="XB45" s="193"/>
      <c r="XC45" s="193"/>
      <c r="XD45" s="193"/>
      <c r="XE45" s="193"/>
      <c r="XF45" s="193"/>
      <c r="XG45" s="193"/>
      <c r="XH45" s="193"/>
      <c r="XI45" s="193"/>
      <c r="XJ45" s="193"/>
      <c r="XK45" s="193"/>
      <c r="XL45" s="193"/>
      <c r="XM45" s="193"/>
      <c r="XN45" s="193"/>
      <c r="XO45" s="193"/>
      <c r="XP45" s="193"/>
      <c r="XQ45" s="193"/>
      <c r="XR45" s="193"/>
      <c r="XS45" s="193"/>
      <c r="XT45" s="193"/>
      <c r="XU45" s="193"/>
      <c r="XV45" s="193"/>
      <c r="XW45" s="193"/>
      <c r="XX45" s="193"/>
      <c r="XY45" s="193"/>
      <c r="XZ45" s="193"/>
      <c r="YA45" s="193"/>
      <c r="YB45" s="193"/>
      <c r="YC45" s="193"/>
      <c r="YD45" s="193"/>
      <c r="YE45" s="193"/>
      <c r="YF45" s="193"/>
      <c r="YG45" s="193"/>
      <c r="YH45" s="193"/>
      <c r="YI45" s="193"/>
      <c r="YJ45" s="193"/>
      <c r="YK45" s="193"/>
      <c r="YL45" s="193"/>
      <c r="YM45" s="193"/>
      <c r="YN45" s="193"/>
      <c r="YO45" s="193"/>
      <c r="YP45" s="193"/>
      <c r="YQ45" s="193"/>
      <c r="YR45" s="193"/>
      <c r="YS45" s="193"/>
      <c r="YT45" s="193"/>
      <c r="YU45" s="193"/>
      <c r="YV45" s="193"/>
      <c r="YW45" s="193"/>
      <c r="YX45" s="193"/>
      <c r="YY45" s="193"/>
      <c r="YZ45" s="193"/>
      <c r="ZA45" s="193"/>
      <c r="ZB45" s="193"/>
      <c r="ZC45" s="193"/>
      <c r="ZD45" s="193"/>
      <c r="ZE45" s="193"/>
      <c r="ZF45" s="193"/>
      <c r="ZG45" s="193"/>
      <c r="ZH45" s="193"/>
      <c r="ZI45" s="193"/>
      <c r="ZJ45" s="193"/>
      <c r="ZK45" s="193"/>
      <c r="ZL45" s="193"/>
      <c r="ZM45" s="193"/>
      <c r="ZN45" s="193"/>
      <c r="ZO45" s="193"/>
      <c r="ZP45" s="193"/>
      <c r="ZQ45" s="193"/>
      <c r="ZR45" s="193"/>
      <c r="ZS45" s="193"/>
      <c r="ZT45" s="193"/>
      <c r="ZU45" s="193"/>
      <c r="ZV45" s="193"/>
      <c r="ZW45" s="193"/>
      <c r="ZX45" s="193"/>
      <c r="ZY45" s="193"/>
      <c r="ZZ45" s="193"/>
      <c r="AAA45" s="193"/>
      <c r="AAB45" s="193"/>
      <c r="AAC45" s="193"/>
      <c r="AAD45" s="193"/>
      <c r="AAE45" s="193"/>
      <c r="AAF45" s="193"/>
      <c r="AAG45" s="193"/>
      <c r="AAH45" s="193"/>
      <c r="AAI45" s="193"/>
      <c r="AAJ45" s="193"/>
      <c r="AAK45" s="193"/>
      <c r="AAL45" s="193"/>
      <c r="AAM45" s="193"/>
      <c r="AAN45" s="193"/>
      <c r="AAO45" s="193"/>
      <c r="AAP45" s="193"/>
      <c r="AAQ45" s="193"/>
      <c r="AAR45" s="193"/>
      <c r="AAS45" s="193"/>
      <c r="AAT45" s="193"/>
      <c r="AAU45" s="193"/>
      <c r="AAV45" s="193"/>
      <c r="AAW45" s="193"/>
      <c r="AAX45" s="193"/>
      <c r="AAY45" s="193"/>
      <c r="AAZ45" s="193"/>
      <c r="ABA45" s="193"/>
      <c r="ABB45" s="193"/>
      <c r="ABC45" s="193"/>
      <c r="ABD45" s="193"/>
      <c r="ABE45" s="193"/>
      <c r="ABF45" s="193"/>
      <c r="ABG45" s="193"/>
      <c r="ABH45" s="193"/>
      <c r="ABI45" s="193"/>
      <c r="ABJ45" s="193"/>
      <c r="ABK45" s="193"/>
      <c r="ABL45" s="193"/>
      <c r="ABM45" s="193"/>
      <c r="ABN45" s="193"/>
      <c r="ABO45" s="193"/>
      <c r="ABP45" s="193"/>
      <c r="ABQ45" s="193"/>
      <c r="ABR45" s="193"/>
      <c r="ABS45" s="193"/>
      <c r="ABT45" s="193"/>
      <c r="ABU45" s="193"/>
      <c r="ABV45" s="193"/>
      <c r="ABW45" s="193"/>
      <c r="ABX45" s="193"/>
      <c r="ABY45" s="193"/>
      <c r="ABZ45" s="193"/>
      <c r="ACA45" s="193"/>
      <c r="ACB45" s="193"/>
      <c r="ACC45" s="193"/>
      <c r="ACD45" s="193"/>
      <c r="ACE45" s="193"/>
      <c r="ACF45" s="193"/>
      <c r="ACG45" s="193"/>
      <c r="ACH45" s="193"/>
      <c r="ACI45" s="193"/>
      <c r="ACJ45" s="193"/>
      <c r="ACK45" s="193"/>
      <c r="ACL45" s="193"/>
      <c r="ACM45" s="193"/>
      <c r="ACN45" s="193"/>
      <c r="ACO45" s="193"/>
      <c r="ACP45" s="193"/>
      <c r="ACQ45" s="193"/>
      <c r="ACR45" s="193"/>
      <c r="ACS45" s="193"/>
      <c r="ACT45" s="193"/>
      <c r="ACU45" s="193"/>
      <c r="ACV45" s="193"/>
      <c r="ACW45" s="193"/>
      <c r="ACX45" s="193"/>
      <c r="ACY45" s="193"/>
      <c r="ACZ45" s="193"/>
      <c r="ADA45" s="193"/>
      <c r="ADB45" s="193"/>
      <c r="ADC45" s="193"/>
      <c r="ADD45" s="193"/>
      <c r="ADE45" s="193"/>
      <c r="ADF45" s="193"/>
      <c r="ADG45" s="193"/>
      <c r="ADH45" s="193"/>
      <c r="ADI45" s="193"/>
      <c r="ADJ45" s="193"/>
      <c r="ADK45" s="193"/>
      <c r="ADL45" s="193"/>
      <c r="ADM45" s="193"/>
      <c r="ADN45" s="193"/>
      <c r="ADO45" s="193"/>
      <c r="ADP45" s="193"/>
      <c r="ADQ45" s="193"/>
      <c r="ADR45" s="193"/>
      <c r="ADS45" s="193"/>
      <c r="ADT45" s="193"/>
      <c r="ADU45" s="193"/>
      <c r="ADV45" s="193"/>
      <c r="ADW45" s="193"/>
      <c r="ADX45" s="193"/>
      <c r="ADY45" s="193"/>
      <c r="ADZ45" s="193"/>
      <c r="AEA45" s="193"/>
      <c r="AEB45" s="193"/>
      <c r="AEC45" s="193"/>
      <c r="AED45" s="193"/>
      <c r="AEE45" s="193"/>
      <c r="AEF45" s="193"/>
      <c r="AEG45" s="193"/>
      <c r="AEH45" s="193"/>
      <c r="AEI45" s="193"/>
      <c r="AEJ45" s="193"/>
      <c r="AEK45" s="193"/>
      <c r="AEL45" s="193"/>
      <c r="AEM45" s="193"/>
      <c r="AEN45" s="193"/>
      <c r="AEO45" s="193"/>
      <c r="AEP45" s="193"/>
      <c r="AEQ45" s="193"/>
      <c r="AER45" s="193"/>
      <c r="AES45" s="193"/>
      <c r="AET45" s="193"/>
      <c r="AEU45" s="193"/>
      <c r="AEV45" s="193"/>
      <c r="AEW45" s="193"/>
      <c r="AEX45" s="193"/>
      <c r="AEY45" s="193"/>
      <c r="AEZ45" s="193"/>
      <c r="AFA45" s="193"/>
      <c r="AFB45" s="193"/>
      <c r="AFC45" s="193"/>
      <c r="AFD45" s="193"/>
      <c r="AFE45" s="193"/>
      <c r="AFF45" s="193"/>
      <c r="AFG45" s="193"/>
      <c r="AFH45" s="193"/>
      <c r="AFI45" s="193"/>
      <c r="AFJ45" s="193"/>
      <c r="AFK45" s="193"/>
      <c r="AFL45" s="193"/>
      <c r="AFM45" s="193"/>
      <c r="AFN45" s="193"/>
      <c r="AFO45" s="193"/>
      <c r="AFP45" s="193"/>
      <c r="AFQ45" s="193"/>
      <c r="AFR45" s="193"/>
      <c r="AFS45" s="193"/>
      <c r="AFT45" s="193"/>
      <c r="AFU45" s="193"/>
      <c r="AFV45" s="193"/>
      <c r="AFW45" s="193"/>
      <c r="AFX45" s="193"/>
      <c r="AFY45" s="193"/>
      <c r="AFZ45" s="193"/>
      <c r="AGA45" s="193"/>
      <c r="AGB45" s="193"/>
      <c r="AGC45" s="193"/>
      <c r="AGD45" s="193"/>
      <c r="AGE45" s="193"/>
      <c r="AGF45" s="193"/>
      <c r="AGG45" s="193"/>
      <c r="AGH45" s="193"/>
      <c r="AGI45" s="193"/>
      <c r="AGJ45" s="193"/>
      <c r="AGK45" s="193"/>
      <c r="AGL45" s="193"/>
      <c r="AGM45" s="193"/>
      <c r="AGN45" s="193"/>
      <c r="AGO45" s="193"/>
      <c r="AGP45" s="193"/>
      <c r="AGQ45" s="193"/>
      <c r="AGR45" s="193"/>
      <c r="AGS45" s="193"/>
      <c r="AGT45" s="193"/>
      <c r="AGU45" s="193"/>
      <c r="AGV45" s="193"/>
      <c r="AGW45" s="193"/>
      <c r="AGX45" s="193"/>
      <c r="AGY45" s="193"/>
      <c r="AGZ45" s="193"/>
      <c r="AHA45" s="193"/>
      <c r="AHB45" s="193"/>
      <c r="AHC45" s="193"/>
      <c r="AHD45" s="193"/>
      <c r="AHE45" s="193"/>
      <c r="AHF45" s="193"/>
      <c r="AHG45" s="193"/>
      <c r="AHH45" s="193"/>
      <c r="AHI45" s="193"/>
      <c r="AHJ45" s="193"/>
      <c r="AHK45" s="193"/>
      <c r="AHL45" s="193"/>
      <c r="AHM45" s="193"/>
      <c r="AHN45" s="193"/>
      <c r="AHO45" s="193"/>
      <c r="AHP45" s="193"/>
      <c r="AHQ45" s="193"/>
      <c r="AHR45" s="193"/>
      <c r="AHS45" s="193"/>
      <c r="AHT45" s="193"/>
      <c r="AHU45" s="193"/>
      <c r="AHV45" s="193"/>
      <c r="AHW45" s="193"/>
      <c r="AHX45" s="193"/>
      <c r="AHY45" s="193"/>
      <c r="AHZ45" s="193"/>
      <c r="AIA45" s="193"/>
      <c r="AIB45" s="193"/>
      <c r="AIC45" s="193"/>
      <c r="AID45" s="193"/>
      <c r="AIE45" s="193"/>
      <c r="AIF45" s="193"/>
      <c r="AIG45" s="193"/>
      <c r="AIH45" s="193"/>
      <c r="AII45" s="193"/>
      <c r="AIJ45" s="193"/>
      <c r="AIK45" s="193"/>
      <c r="AIL45" s="193"/>
      <c r="AIM45" s="193"/>
      <c r="AIN45" s="193"/>
      <c r="AIO45" s="193"/>
      <c r="AIP45" s="193"/>
      <c r="AIQ45" s="193"/>
      <c r="AIR45" s="193"/>
      <c r="AIS45" s="193"/>
      <c r="AIT45" s="193"/>
      <c r="AIU45" s="193"/>
      <c r="AIV45" s="193"/>
      <c r="AIW45" s="193"/>
      <c r="AIX45" s="193"/>
      <c r="AIY45" s="193"/>
      <c r="AIZ45" s="193"/>
      <c r="AJA45" s="193"/>
      <c r="AJB45" s="193"/>
      <c r="AJC45" s="193"/>
      <c r="AJD45" s="193"/>
      <c r="AJE45" s="193"/>
      <c r="AJF45" s="193"/>
      <c r="AJG45" s="193"/>
      <c r="AJH45" s="193"/>
      <c r="AJI45" s="193"/>
      <c r="AJJ45" s="193"/>
      <c r="AJK45" s="193"/>
      <c r="AJL45" s="193"/>
      <c r="AJM45" s="193"/>
      <c r="AJN45" s="193"/>
      <c r="AJO45" s="193"/>
      <c r="AJP45" s="193"/>
      <c r="AJQ45" s="193"/>
      <c r="AJR45" s="193"/>
      <c r="AJS45" s="193"/>
      <c r="AJT45" s="193"/>
      <c r="AJU45" s="193"/>
      <c r="AJV45" s="193"/>
      <c r="AJW45" s="193"/>
      <c r="AJX45" s="193"/>
      <c r="AJY45" s="193"/>
      <c r="AJZ45" s="193"/>
      <c r="AKA45" s="193"/>
      <c r="AKB45" s="193"/>
      <c r="AKC45" s="193"/>
      <c r="AKD45" s="193"/>
      <c r="AKE45" s="193"/>
      <c r="AKF45" s="193"/>
      <c r="AKG45" s="193"/>
      <c r="AKH45" s="193"/>
      <c r="AKI45" s="193"/>
      <c r="AKJ45" s="193"/>
      <c r="AKK45" s="193"/>
      <c r="AKL45" s="193"/>
      <c r="AKM45" s="193"/>
      <c r="AKN45" s="193"/>
      <c r="AKO45" s="193"/>
      <c r="AKP45" s="193"/>
      <c r="AKQ45" s="193"/>
      <c r="AKR45" s="193"/>
      <c r="AKS45" s="193"/>
      <c r="AKT45" s="193"/>
      <c r="AKU45" s="193"/>
      <c r="AKV45" s="193"/>
      <c r="AKW45" s="193"/>
      <c r="AKX45" s="193"/>
      <c r="AKY45" s="193"/>
      <c r="AKZ45" s="193"/>
      <c r="ALA45" s="193"/>
      <c r="ALB45" s="193"/>
      <c r="ALC45" s="193"/>
      <c r="ALD45" s="193"/>
      <c r="ALE45" s="193"/>
      <c r="ALF45" s="193"/>
      <c r="ALG45" s="193"/>
      <c r="ALH45" s="193"/>
      <c r="ALI45" s="193"/>
      <c r="ALJ45" s="193"/>
      <c r="ALK45" s="193"/>
      <c r="ALL45" s="193"/>
      <c r="ALM45" s="193"/>
      <c r="ALN45" s="193"/>
      <c r="ALO45" s="193"/>
      <c r="ALP45" s="193"/>
      <c r="ALQ45" s="193"/>
      <c r="ALR45" s="193"/>
      <c r="ALS45" s="193"/>
      <c r="ALT45" s="193"/>
      <c r="ALU45" s="193"/>
      <c r="ALV45" s="193"/>
      <c r="ALW45" s="193"/>
      <c r="ALX45" s="193"/>
      <c r="ALY45" s="193"/>
      <c r="ALZ45" s="193"/>
      <c r="AMA45" s="193"/>
      <c r="AMB45" s="193"/>
      <c r="AMC45" s="193"/>
      <c r="AMD45" s="193"/>
      <c r="AME45" s="193"/>
      <c r="AMF45" s="193"/>
      <c r="AMG45" s="193"/>
      <c r="AMH45" s="193"/>
      <c r="AMI45" s="193"/>
      <c r="AMJ45" s="193"/>
      <c r="AMK45" s="193"/>
      <c r="AML45" s="193"/>
      <c r="AMM45" s="193"/>
      <c r="AMN45" s="193"/>
      <c r="AMO45" s="193"/>
      <c r="AMP45" s="193"/>
      <c r="AMQ45" s="193"/>
      <c r="AMR45" s="193"/>
      <c r="AMS45" s="193"/>
      <c r="AMT45" s="193"/>
      <c r="AMU45" s="193"/>
      <c r="AMV45" s="193"/>
      <c r="AMW45" s="193"/>
      <c r="AMX45" s="193"/>
      <c r="AMY45" s="193"/>
      <c r="AMZ45" s="193"/>
      <c r="ANA45" s="193"/>
      <c r="ANB45" s="193"/>
      <c r="ANC45" s="193"/>
      <c r="AND45" s="193"/>
      <c r="ANE45" s="193"/>
      <c r="ANF45" s="193"/>
      <c r="ANG45" s="193"/>
      <c r="ANH45" s="193"/>
      <c r="ANI45" s="193"/>
      <c r="ANJ45" s="193"/>
      <c r="ANK45" s="193"/>
      <c r="ANL45" s="193"/>
      <c r="ANM45" s="193"/>
      <c r="ANN45" s="193"/>
      <c r="ANO45" s="193"/>
      <c r="ANP45" s="193"/>
      <c r="ANQ45" s="193"/>
      <c r="ANR45" s="193"/>
      <c r="ANS45" s="193"/>
      <c r="ANT45" s="193"/>
      <c r="ANU45" s="193"/>
      <c r="ANV45" s="193"/>
      <c r="ANW45" s="193"/>
      <c r="ANX45" s="193"/>
      <c r="ANY45" s="193"/>
      <c r="ANZ45" s="193"/>
      <c r="AOA45" s="193"/>
      <c r="AOB45" s="193"/>
      <c r="AOC45" s="193"/>
      <c r="AOD45" s="193"/>
      <c r="AOE45" s="193"/>
      <c r="AOF45" s="193"/>
      <c r="AOG45" s="193"/>
      <c r="AOH45" s="193"/>
      <c r="AOI45" s="193"/>
      <c r="AOJ45" s="193"/>
      <c r="AOK45" s="193"/>
      <c r="AOL45" s="193"/>
      <c r="AOM45" s="193"/>
      <c r="AON45" s="193"/>
      <c r="AOO45" s="193"/>
      <c r="AOP45" s="193"/>
      <c r="AOQ45" s="193"/>
      <c r="AOR45" s="193"/>
      <c r="AOS45" s="193"/>
      <c r="AOT45" s="193"/>
      <c r="AOU45" s="193"/>
      <c r="AOV45" s="193"/>
      <c r="AOW45" s="193"/>
      <c r="AOX45" s="193"/>
      <c r="AOY45" s="193"/>
      <c r="AOZ45" s="193"/>
      <c r="APA45" s="193"/>
      <c r="APB45" s="193"/>
      <c r="APC45" s="193"/>
      <c r="APD45" s="193"/>
      <c r="APE45" s="193"/>
      <c r="APF45" s="193"/>
      <c r="APG45" s="193"/>
      <c r="APH45" s="193"/>
      <c r="API45" s="193"/>
      <c r="APJ45" s="193"/>
      <c r="APK45" s="193"/>
      <c r="APL45" s="193"/>
      <c r="APM45" s="193"/>
      <c r="APN45" s="193"/>
      <c r="APO45" s="193"/>
      <c r="APP45" s="193"/>
      <c r="APQ45" s="193"/>
      <c r="APR45" s="193"/>
      <c r="APS45" s="193"/>
      <c r="APT45" s="193"/>
      <c r="APU45" s="193"/>
      <c r="APV45" s="193"/>
      <c r="APW45" s="193"/>
      <c r="APX45" s="193"/>
      <c r="APY45" s="193"/>
      <c r="APZ45" s="193"/>
      <c r="AQA45" s="193"/>
      <c r="AQB45" s="193"/>
      <c r="AQC45" s="193"/>
      <c r="AQD45" s="193"/>
      <c r="AQE45" s="193"/>
      <c r="AQF45" s="193"/>
      <c r="AQG45" s="193"/>
      <c r="AQH45" s="193"/>
      <c r="AQI45" s="193"/>
      <c r="AQJ45" s="193"/>
      <c r="AQK45" s="193"/>
      <c r="AQL45" s="193"/>
      <c r="AQM45" s="193"/>
      <c r="AQN45" s="193"/>
      <c r="AQO45" s="193"/>
      <c r="AQP45" s="193"/>
      <c r="AQQ45" s="193"/>
      <c r="AQR45" s="193"/>
      <c r="AQS45" s="193"/>
      <c r="AQT45" s="193"/>
      <c r="AQU45" s="193"/>
      <c r="AQV45" s="193"/>
      <c r="AQW45" s="193"/>
      <c r="AQX45" s="193"/>
      <c r="AQY45" s="193"/>
      <c r="AQZ45" s="193"/>
      <c r="ARA45" s="193"/>
      <c r="ARB45" s="193"/>
      <c r="ARC45" s="193"/>
      <c r="ARD45" s="193"/>
      <c r="ARE45" s="193"/>
      <c r="ARF45" s="193"/>
      <c r="ARG45" s="193"/>
      <c r="ARH45" s="193"/>
      <c r="ARI45" s="193"/>
      <c r="ARJ45" s="193"/>
      <c r="ARK45" s="193"/>
      <c r="ARL45" s="193"/>
      <c r="ARM45" s="193"/>
      <c r="ARN45" s="193"/>
      <c r="ARO45" s="193"/>
      <c r="ARP45" s="193"/>
      <c r="ARQ45" s="193"/>
      <c r="ARR45" s="193"/>
      <c r="ARS45" s="193"/>
      <c r="ART45" s="193"/>
      <c r="ARU45" s="193"/>
      <c r="ARV45" s="193"/>
      <c r="ARW45" s="193"/>
      <c r="ARX45" s="193"/>
      <c r="ARY45" s="193"/>
      <c r="ARZ45" s="193"/>
      <c r="ASA45" s="193"/>
      <c r="ASB45" s="193"/>
      <c r="ASC45" s="193"/>
      <c r="ASD45" s="193"/>
      <c r="ASE45" s="193"/>
      <c r="ASF45" s="193"/>
      <c r="ASG45" s="193"/>
      <c r="ASH45" s="193"/>
      <c r="ASI45" s="193"/>
      <c r="ASJ45" s="193"/>
      <c r="ASK45" s="193"/>
      <c r="ASL45" s="193"/>
      <c r="ASM45" s="193"/>
      <c r="ASN45" s="193"/>
      <c r="ASO45" s="193"/>
      <c r="ASP45" s="193"/>
      <c r="ASQ45" s="193"/>
      <c r="ASR45" s="193"/>
      <c r="ASS45" s="193"/>
      <c r="AST45" s="193"/>
      <c r="ASU45" s="193"/>
      <c r="ASV45" s="193"/>
      <c r="ASW45" s="193"/>
      <c r="ASX45" s="193"/>
      <c r="ASY45" s="193"/>
      <c r="ASZ45" s="193"/>
      <c r="ATA45" s="193"/>
      <c r="ATB45" s="193"/>
      <c r="ATC45" s="193"/>
      <c r="ATD45" s="193"/>
      <c r="ATE45" s="193"/>
      <c r="ATF45" s="193"/>
      <c r="ATG45" s="193"/>
      <c r="ATH45" s="193"/>
      <c r="ATI45" s="193"/>
      <c r="ATJ45" s="193"/>
      <c r="ATK45" s="193"/>
      <c r="ATL45" s="193"/>
      <c r="ATM45" s="193"/>
      <c r="ATN45" s="193"/>
      <c r="ATO45" s="193"/>
      <c r="ATP45" s="193"/>
      <c r="ATQ45" s="193"/>
      <c r="ATR45" s="193"/>
      <c r="ATS45" s="193"/>
      <c r="ATT45" s="193"/>
      <c r="ATU45" s="193"/>
      <c r="ATV45" s="193"/>
      <c r="ATW45" s="193"/>
      <c r="ATX45" s="193"/>
      <c r="ATY45" s="193"/>
      <c r="ATZ45" s="193"/>
      <c r="AUA45" s="193"/>
      <c r="AUB45" s="193"/>
      <c r="AUC45" s="193"/>
      <c r="AUD45" s="193"/>
      <c r="AUE45" s="193"/>
      <c r="AUF45" s="193"/>
      <c r="AUG45" s="193"/>
      <c r="AUH45" s="193"/>
      <c r="AUI45" s="193"/>
      <c r="AUJ45" s="193"/>
      <c r="AUK45" s="193"/>
      <c r="AUL45" s="193"/>
      <c r="AUM45" s="193"/>
      <c r="AUN45" s="193"/>
      <c r="AUO45" s="193"/>
      <c r="AUP45" s="193"/>
      <c r="AUQ45" s="193"/>
      <c r="AUR45" s="193"/>
      <c r="AUS45" s="193"/>
      <c r="AUT45" s="193"/>
      <c r="AUU45" s="193"/>
      <c r="AUV45" s="193"/>
      <c r="AUW45" s="193"/>
      <c r="AUX45" s="193"/>
      <c r="AUY45" s="193"/>
      <c r="AUZ45" s="193"/>
      <c r="AVA45" s="193"/>
      <c r="AVB45" s="193"/>
      <c r="AVC45" s="193"/>
      <c r="AVD45" s="193"/>
      <c r="AVE45" s="193"/>
      <c r="AVF45" s="193"/>
      <c r="AVG45" s="193"/>
      <c r="AVH45" s="193"/>
      <c r="AVI45" s="193"/>
      <c r="AVJ45" s="193"/>
      <c r="AVK45" s="193"/>
      <c r="AVL45" s="193"/>
      <c r="AVM45" s="193"/>
      <c r="AVN45" s="193"/>
      <c r="AVO45" s="193"/>
      <c r="AVP45" s="193"/>
      <c r="AVQ45" s="193"/>
      <c r="AVR45" s="193"/>
      <c r="AVS45" s="193"/>
      <c r="AVT45" s="193"/>
      <c r="AVU45" s="193"/>
      <c r="AVV45" s="193"/>
      <c r="AVW45" s="193"/>
      <c r="AVX45" s="193"/>
      <c r="AVY45" s="193"/>
      <c r="AVZ45" s="193"/>
      <c r="AWA45" s="193"/>
      <c r="AWB45" s="193"/>
      <c r="AWC45" s="193"/>
      <c r="AWD45" s="193"/>
      <c r="AWE45" s="193"/>
      <c r="AWF45" s="193"/>
      <c r="AWG45" s="193"/>
      <c r="AWH45" s="193"/>
      <c r="AWI45" s="193"/>
      <c r="AWJ45" s="193"/>
      <c r="AWK45" s="193"/>
      <c r="AWL45" s="193"/>
      <c r="AWM45" s="193"/>
      <c r="AWN45" s="193"/>
      <c r="AWO45" s="193"/>
      <c r="AWP45" s="193"/>
      <c r="AWQ45" s="193"/>
      <c r="AWR45" s="193"/>
      <c r="AWS45" s="193"/>
      <c r="AWT45" s="193"/>
      <c r="AWU45" s="193"/>
      <c r="AWV45" s="193"/>
      <c r="AWW45" s="193"/>
      <c r="AWX45" s="193"/>
      <c r="AWY45" s="193"/>
      <c r="AWZ45" s="193"/>
      <c r="AXA45" s="193"/>
      <c r="AXB45" s="193"/>
      <c r="AXC45" s="193"/>
      <c r="AXD45" s="193"/>
      <c r="AXE45" s="193"/>
      <c r="AXF45" s="193"/>
      <c r="AXG45" s="193"/>
      <c r="AXH45" s="193"/>
      <c r="AXI45" s="193"/>
      <c r="AXJ45" s="193"/>
      <c r="AXK45" s="193"/>
      <c r="AXL45" s="193"/>
      <c r="AXM45" s="193"/>
      <c r="AXN45" s="193"/>
      <c r="AXO45" s="193"/>
      <c r="AXP45" s="193"/>
      <c r="AXQ45" s="193"/>
      <c r="AXR45" s="193"/>
      <c r="AXS45" s="193"/>
      <c r="AXT45" s="193"/>
      <c r="AXU45" s="193"/>
      <c r="AXV45" s="193"/>
      <c r="AXW45" s="193"/>
      <c r="AXX45" s="193"/>
      <c r="AXY45" s="193"/>
      <c r="AXZ45" s="193"/>
      <c r="AYA45" s="193"/>
      <c r="AYB45" s="193"/>
      <c r="AYC45" s="193"/>
      <c r="AYD45" s="193"/>
      <c r="AYE45" s="193"/>
      <c r="AYF45" s="193"/>
      <c r="AYG45" s="193"/>
      <c r="AYH45" s="193"/>
      <c r="AYI45" s="193"/>
      <c r="AYJ45" s="193"/>
      <c r="AYK45" s="193"/>
      <c r="AYL45" s="193"/>
      <c r="AYM45" s="193"/>
      <c r="AYN45" s="193"/>
      <c r="AYO45" s="193"/>
      <c r="AYP45" s="193"/>
      <c r="AYQ45" s="193"/>
      <c r="AYR45" s="193"/>
      <c r="AYS45" s="193"/>
      <c r="AYT45" s="193"/>
      <c r="AYU45" s="193"/>
      <c r="AYV45" s="193"/>
      <c r="AYW45" s="193"/>
      <c r="AYX45" s="193"/>
      <c r="AYY45" s="193"/>
      <c r="AYZ45" s="193"/>
      <c r="AZA45" s="193"/>
      <c r="AZB45" s="193"/>
      <c r="AZC45" s="193"/>
      <c r="AZD45" s="193"/>
      <c r="AZE45" s="193"/>
      <c r="AZF45" s="193"/>
      <c r="AZG45" s="193"/>
      <c r="AZH45" s="193"/>
      <c r="AZI45" s="193"/>
      <c r="AZJ45" s="193"/>
      <c r="AZK45" s="193"/>
      <c r="AZL45" s="193"/>
      <c r="AZM45" s="193"/>
      <c r="AZN45" s="193"/>
      <c r="AZO45" s="193"/>
      <c r="AZP45" s="193"/>
      <c r="AZQ45" s="193"/>
      <c r="AZR45" s="193"/>
      <c r="AZS45" s="193"/>
      <c r="AZT45" s="193"/>
      <c r="AZU45" s="193"/>
      <c r="AZV45" s="193"/>
      <c r="AZW45" s="193"/>
      <c r="AZX45" s="193"/>
      <c r="AZY45" s="193"/>
      <c r="AZZ45" s="193"/>
      <c r="BAA45" s="193"/>
      <c r="BAB45" s="193"/>
      <c r="BAC45" s="193"/>
      <c r="BAD45" s="193"/>
      <c r="BAE45" s="193"/>
      <c r="BAF45" s="193"/>
      <c r="BAG45" s="193"/>
      <c r="BAH45" s="193"/>
      <c r="BAI45" s="193"/>
      <c r="BAJ45" s="193"/>
      <c r="BAK45" s="193"/>
      <c r="BAL45" s="193"/>
      <c r="BAM45" s="193"/>
      <c r="BAN45" s="193"/>
      <c r="BAO45" s="193"/>
      <c r="BAP45" s="193"/>
      <c r="BAQ45" s="193"/>
      <c r="BAR45" s="193"/>
      <c r="BAS45" s="193"/>
      <c r="BAT45" s="193"/>
      <c r="BAU45" s="193"/>
      <c r="BAV45" s="193"/>
      <c r="BAW45" s="193"/>
      <c r="BAX45" s="193"/>
      <c r="BAY45" s="193"/>
      <c r="BAZ45" s="193"/>
      <c r="BBA45" s="193"/>
      <c r="BBB45" s="193"/>
      <c r="BBC45" s="193"/>
      <c r="BBD45" s="193"/>
      <c r="BBE45" s="193"/>
      <c r="BBF45" s="193"/>
      <c r="BBG45" s="193"/>
      <c r="BBH45" s="193"/>
      <c r="BBI45" s="193"/>
      <c r="BBJ45" s="193"/>
      <c r="BBK45" s="193"/>
      <c r="BBL45" s="193"/>
      <c r="BBM45" s="193"/>
      <c r="BBN45" s="193"/>
      <c r="BBO45" s="193"/>
      <c r="BBP45" s="193"/>
      <c r="BBQ45" s="193"/>
      <c r="BBR45" s="193"/>
      <c r="BBS45" s="193"/>
      <c r="BBT45" s="193"/>
      <c r="BBU45" s="193"/>
      <c r="BBV45" s="193"/>
      <c r="BBW45" s="193"/>
      <c r="BBX45" s="193"/>
      <c r="BBY45" s="193"/>
      <c r="BBZ45" s="193"/>
      <c r="BCA45" s="193"/>
      <c r="BCB45" s="193"/>
      <c r="BCC45" s="193"/>
      <c r="BCD45" s="193"/>
      <c r="BCE45" s="193"/>
      <c r="BCF45" s="193"/>
      <c r="BCG45" s="193"/>
      <c r="BCH45" s="193"/>
      <c r="BCI45" s="193"/>
      <c r="BCJ45" s="193"/>
      <c r="BCK45" s="193"/>
      <c r="BCL45" s="193"/>
      <c r="BCM45" s="193"/>
      <c r="BCN45" s="193"/>
      <c r="BCO45" s="193"/>
      <c r="BCP45" s="193"/>
      <c r="BCQ45" s="193"/>
      <c r="BCR45" s="193"/>
      <c r="BCS45" s="193"/>
      <c r="BCT45" s="193"/>
      <c r="BCU45" s="193"/>
      <c r="BCV45" s="193"/>
      <c r="BCW45" s="193"/>
      <c r="BCX45" s="193"/>
      <c r="BCY45" s="193"/>
      <c r="BCZ45" s="193"/>
      <c r="BDA45" s="193"/>
      <c r="BDB45" s="193"/>
      <c r="BDC45" s="193"/>
      <c r="BDD45" s="193"/>
      <c r="BDE45" s="193"/>
      <c r="BDF45" s="193"/>
      <c r="BDG45" s="193"/>
      <c r="BDH45" s="193"/>
      <c r="BDI45" s="193"/>
      <c r="BDJ45" s="193"/>
      <c r="BDK45" s="193"/>
      <c r="BDL45" s="193"/>
      <c r="BDM45" s="193"/>
      <c r="BDN45" s="193"/>
      <c r="BDO45" s="193"/>
      <c r="BDP45" s="193"/>
      <c r="BDQ45" s="193"/>
      <c r="BDR45" s="193"/>
      <c r="BDS45" s="193"/>
      <c r="BDT45" s="193"/>
      <c r="BDU45" s="193"/>
      <c r="BDV45" s="193"/>
      <c r="BDW45" s="193"/>
      <c r="BDX45" s="193"/>
      <c r="BDY45" s="193"/>
      <c r="BDZ45" s="193"/>
      <c r="BEA45" s="193"/>
      <c r="BEB45" s="193"/>
      <c r="BEC45" s="193"/>
      <c r="BED45" s="193"/>
      <c r="BEE45" s="193"/>
      <c r="BEF45" s="193"/>
      <c r="BEG45" s="193"/>
      <c r="BEH45" s="193"/>
      <c r="BEI45" s="193"/>
      <c r="BEJ45" s="193"/>
      <c r="BEK45" s="193"/>
      <c r="BEL45" s="193"/>
      <c r="BEM45" s="193"/>
      <c r="BEN45" s="193"/>
      <c r="BEO45" s="193"/>
      <c r="BEP45" s="193"/>
      <c r="BEQ45" s="193"/>
      <c r="BER45" s="193"/>
      <c r="BES45" s="193"/>
      <c r="BET45" s="193"/>
      <c r="BEU45" s="193"/>
      <c r="BEV45" s="193"/>
      <c r="BEW45" s="193"/>
      <c r="BEX45" s="193"/>
      <c r="BEY45" s="193"/>
      <c r="BEZ45" s="193"/>
      <c r="BFA45" s="193"/>
      <c r="BFB45" s="193"/>
      <c r="BFC45" s="193"/>
      <c r="BFD45" s="193"/>
      <c r="BFE45" s="193"/>
      <c r="BFF45" s="193"/>
      <c r="BFG45" s="193"/>
      <c r="BFH45" s="193"/>
      <c r="BFI45" s="193"/>
      <c r="BFJ45" s="193"/>
      <c r="BFK45" s="193"/>
      <c r="BFL45" s="193"/>
      <c r="BFM45" s="193"/>
      <c r="BFN45" s="193"/>
      <c r="BFO45" s="193"/>
      <c r="BFP45" s="193"/>
      <c r="BFQ45" s="193"/>
      <c r="BFR45" s="193"/>
      <c r="BFS45" s="193"/>
      <c r="BFT45" s="193"/>
      <c r="BFU45" s="193"/>
      <c r="BFV45" s="193"/>
      <c r="BFW45" s="193"/>
      <c r="BFX45" s="193"/>
      <c r="BFY45" s="193"/>
      <c r="BFZ45" s="193"/>
      <c r="BGA45" s="193"/>
      <c r="BGB45" s="193"/>
      <c r="BGC45" s="193"/>
      <c r="BGD45" s="193"/>
      <c r="BGE45" s="193"/>
      <c r="BGF45" s="193"/>
      <c r="BGG45" s="193"/>
      <c r="BGH45" s="193"/>
      <c r="BGI45" s="193"/>
      <c r="BGJ45" s="193"/>
      <c r="BGK45" s="193"/>
      <c r="BGL45" s="193"/>
      <c r="BGM45" s="193"/>
      <c r="BGN45" s="193"/>
      <c r="BGO45" s="193"/>
      <c r="BGP45" s="193"/>
      <c r="BGQ45" s="193"/>
      <c r="BGR45" s="193"/>
      <c r="BGS45" s="193"/>
      <c r="BGT45" s="193"/>
      <c r="BGU45" s="193"/>
      <c r="BGV45" s="193"/>
      <c r="BGW45" s="193"/>
      <c r="BGX45" s="193"/>
      <c r="BGY45" s="193"/>
      <c r="BGZ45" s="193"/>
      <c r="BHA45" s="193"/>
      <c r="BHB45" s="193"/>
      <c r="BHC45" s="193"/>
      <c r="BHD45" s="193"/>
      <c r="BHE45" s="193"/>
      <c r="BHF45" s="193"/>
      <c r="BHG45" s="193"/>
      <c r="BHH45" s="193"/>
      <c r="BHI45" s="193"/>
      <c r="BHJ45" s="193"/>
      <c r="BHK45" s="193"/>
      <c r="BHL45" s="193"/>
      <c r="BHM45" s="193"/>
      <c r="BHN45" s="193"/>
      <c r="BHO45" s="193"/>
      <c r="BHP45" s="193"/>
      <c r="BHQ45" s="193"/>
      <c r="BHR45" s="193"/>
      <c r="BHS45" s="193"/>
      <c r="BHT45" s="193"/>
      <c r="BHU45" s="193"/>
      <c r="BHV45" s="193"/>
      <c r="BHW45" s="193"/>
      <c r="BHX45" s="193"/>
      <c r="BHY45" s="193"/>
      <c r="BHZ45" s="193"/>
      <c r="BIA45" s="193"/>
      <c r="BIB45" s="193"/>
      <c r="BIC45" s="193"/>
      <c r="BID45" s="193"/>
      <c r="BIE45" s="193"/>
      <c r="BIF45" s="193"/>
      <c r="BIG45" s="193"/>
      <c r="BIH45" s="193"/>
      <c r="BII45" s="193"/>
      <c r="BIJ45" s="193"/>
      <c r="BIK45" s="193"/>
      <c r="BIL45" s="193"/>
      <c r="BIM45" s="193"/>
      <c r="BIN45" s="193"/>
      <c r="BIO45" s="193"/>
      <c r="BIP45" s="193"/>
      <c r="BIQ45" s="193"/>
      <c r="BIR45" s="193"/>
      <c r="BIS45" s="193"/>
      <c r="BIT45" s="193"/>
      <c r="BIU45" s="193"/>
      <c r="BIV45" s="193"/>
      <c r="BIW45" s="193"/>
      <c r="BIX45" s="193"/>
      <c r="BIY45" s="193"/>
      <c r="BIZ45" s="193"/>
      <c r="BJA45" s="193"/>
      <c r="BJB45" s="193"/>
      <c r="BJC45" s="193"/>
      <c r="BJD45" s="193"/>
      <c r="BJE45" s="193"/>
      <c r="BJF45" s="193"/>
      <c r="BJG45" s="193"/>
      <c r="BJH45" s="193"/>
      <c r="BJI45" s="193"/>
      <c r="BJJ45" s="193"/>
      <c r="BJK45" s="193"/>
      <c r="BJL45" s="193"/>
      <c r="BJM45" s="193"/>
      <c r="BJN45" s="193"/>
      <c r="BJO45" s="193"/>
      <c r="BJP45" s="193"/>
      <c r="BJQ45" s="193"/>
      <c r="BJR45" s="193"/>
      <c r="BJS45" s="193"/>
      <c r="BJT45" s="193"/>
      <c r="BJU45" s="193"/>
      <c r="BJV45" s="193"/>
      <c r="BJW45" s="193"/>
      <c r="BJX45" s="193"/>
      <c r="BJY45" s="193"/>
      <c r="BJZ45" s="193"/>
      <c r="BKA45" s="193"/>
      <c r="BKB45" s="193"/>
      <c r="BKC45" s="193"/>
      <c r="BKD45" s="193"/>
      <c r="BKE45" s="193"/>
      <c r="BKF45" s="193"/>
      <c r="BKG45" s="193"/>
      <c r="BKH45" s="193"/>
      <c r="BKI45" s="193"/>
      <c r="BKJ45" s="193"/>
      <c r="BKK45" s="193"/>
      <c r="BKL45" s="193"/>
      <c r="BKM45" s="193"/>
      <c r="BKN45" s="193"/>
      <c r="BKO45" s="193"/>
      <c r="BKP45" s="193"/>
      <c r="BKQ45" s="193"/>
      <c r="BKR45" s="193"/>
      <c r="BKS45" s="193"/>
      <c r="BKT45" s="193"/>
      <c r="BKU45" s="193"/>
      <c r="BKV45" s="193"/>
      <c r="BKW45" s="193"/>
      <c r="BKX45" s="193"/>
      <c r="BKY45" s="193"/>
      <c r="BKZ45" s="193"/>
      <c r="BLA45" s="193"/>
      <c r="BLB45" s="193"/>
      <c r="BLC45" s="193"/>
      <c r="BLD45" s="193"/>
      <c r="BLE45" s="193"/>
      <c r="BLF45" s="193"/>
      <c r="BLG45" s="193"/>
      <c r="BLH45" s="193"/>
      <c r="BLI45" s="193"/>
      <c r="BLJ45" s="193"/>
      <c r="BLK45" s="193"/>
      <c r="BLL45" s="193"/>
      <c r="BLM45" s="193"/>
      <c r="BLN45" s="193"/>
      <c r="BLO45" s="193"/>
      <c r="BLP45" s="193"/>
      <c r="BLQ45" s="193"/>
      <c r="BLR45" s="193"/>
      <c r="BLS45" s="193"/>
      <c r="BLT45" s="193"/>
      <c r="BLU45" s="193"/>
      <c r="BLV45" s="193"/>
      <c r="BLW45" s="193"/>
      <c r="BLX45" s="193"/>
      <c r="BLY45" s="193"/>
      <c r="BLZ45" s="193"/>
      <c r="BMA45" s="193"/>
      <c r="BMB45" s="193"/>
      <c r="BMC45" s="193"/>
      <c r="BMD45" s="193"/>
      <c r="BME45" s="193"/>
      <c r="BMF45" s="193"/>
      <c r="BMG45" s="193"/>
      <c r="BMH45" s="193"/>
      <c r="BMI45" s="193"/>
      <c r="BMJ45" s="193"/>
      <c r="BMK45" s="193"/>
      <c r="BML45" s="193"/>
      <c r="BMM45" s="193"/>
      <c r="BMN45" s="193"/>
      <c r="BMO45" s="193"/>
      <c r="BMP45" s="193"/>
      <c r="BMQ45" s="193"/>
      <c r="BMR45" s="193"/>
      <c r="BMS45" s="193"/>
      <c r="BMT45" s="193"/>
      <c r="BMU45" s="193"/>
      <c r="BMV45" s="193"/>
      <c r="BMW45" s="193"/>
      <c r="BMX45" s="193"/>
      <c r="BMY45" s="193"/>
      <c r="BMZ45" s="193"/>
      <c r="BNA45" s="193"/>
      <c r="BNB45" s="193"/>
      <c r="BNC45" s="193"/>
      <c r="BND45" s="193"/>
      <c r="BNE45" s="193"/>
      <c r="BNF45" s="193"/>
      <c r="BNG45" s="193"/>
      <c r="BNH45" s="193"/>
      <c r="BNI45" s="193"/>
      <c r="BNJ45" s="193"/>
      <c r="BNK45" s="193"/>
      <c r="BNL45" s="193"/>
      <c r="BNM45" s="193"/>
      <c r="BNN45" s="193"/>
      <c r="BNO45" s="193"/>
      <c r="BNP45" s="193"/>
      <c r="BNQ45" s="193"/>
      <c r="BNR45" s="193"/>
      <c r="BNS45" s="193"/>
      <c r="BNT45" s="193"/>
      <c r="BNU45" s="193"/>
      <c r="BNV45" s="193"/>
      <c r="BNW45" s="193"/>
      <c r="BNX45" s="193"/>
      <c r="BNY45" s="193"/>
      <c r="BNZ45" s="193"/>
      <c r="BOA45" s="193"/>
      <c r="BOB45" s="193"/>
      <c r="BOC45" s="193"/>
      <c r="BOD45" s="193"/>
      <c r="BOE45" s="193"/>
      <c r="BOF45" s="193"/>
      <c r="BOG45" s="193"/>
      <c r="BOH45" s="193"/>
      <c r="BOI45" s="193"/>
      <c r="BOJ45" s="193"/>
      <c r="BOK45" s="193"/>
      <c r="BOL45" s="193"/>
      <c r="BOM45" s="193"/>
      <c r="BON45" s="193"/>
      <c r="BOO45" s="193"/>
      <c r="BOP45" s="193"/>
      <c r="BOQ45" s="193"/>
      <c r="BOR45" s="193"/>
      <c r="BOS45" s="193"/>
      <c r="BOT45" s="193"/>
      <c r="BOU45" s="193"/>
      <c r="BOV45" s="193"/>
      <c r="BOW45" s="193"/>
      <c r="BOX45" s="193"/>
      <c r="BOY45" s="193"/>
      <c r="BOZ45" s="193"/>
      <c r="BPA45" s="193"/>
      <c r="BPB45" s="193"/>
      <c r="BPC45" s="193"/>
      <c r="BPD45" s="193"/>
      <c r="BPE45" s="193"/>
      <c r="BPF45" s="193"/>
      <c r="BPG45" s="193"/>
      <c r="BPH45" s="193"/>
      <c r="BPI45" s="193"/>
      <c r="BPJ45" s="193"/>
      <c r="BPK45" s="193"/>
      <c r="BPL45" s="193"/>
      <c r="BPM45" s="193"/>
      <c r="BPN45" s="193"/>
      <c r="BPO45" s="193"/>
      <c r="BPP45" s="193"/>
      <c r="BPQ45" s="193"/>
      <c r="BPR45" s="193"/>
      <c r="BPS45" s="193"/>
      <c r="BPT45" s="193"/>
      <c r="BPU45" s="193"/>
      <c r="BPV45" s="193"/>
      <c r="BPW45" s="193"/>
      <c r="BPX45" s="193"/>
      <c r="BPY45" s="193"/>
      <c r="BPZ45" s="193"/>
      <c r="BQA45" s="193"/>
      <c r="BQB45" s="193"/>
      <c r="BQC45" s="193"/>
      <c r="BQD45" s="193"/>
      <c r="BQE45" s="193"/>
      <c r="BQF45" s="193"/>
      <c r="BQG45" s="193"/>
      <c r="BQH45" s="193"/>
      <c r="BQI45" s="193"/>
      <c r="BQJ45" s="193"/>
      <c r="BQK45" s="193"/>
      <c r="BQL45" s="193"/>
      <c r="BQM45" s="193"/>
      <c r="BQN45" s="193"/>
      <c r="BQO45" s="193"/>
      <c r="BQP45" s="193"/>
      <c r="BQQ45" s="193"/>
      <c r="BQR45" s="193"/>
      <c r="BQS45" s="193"/>
      <c r="BQT45" s="193"/>
      <c r="BQU45" s="193"/>
      <c r="BQV45" s="193"/>
      <c r="BQW45" s="193"/>
      <c r="BQX45" s="193"/>
      <c r="BQY45" s="193"/>
      <c r="BQZ45" s="193"/>
      <c r="BRA45" s="193"/>
      <c r="BRB45" s="193"/>
      <c r="BRC45" s="193"/>
      <c r="BRD45" s="193"/>
      <c r="BRE45" s="193"/>
      <c r="BRF45" s="193"/>
      <c r="BRG45" s="193"/>
      <c r="BRH45" s="193"/>
      <c r="BRI45" s="193"/>
      <c r="BRJ45" s="193"/>
      <c r="BRK45" s="193"/>
      <c r="BRL45" s="193"/>
      <c r="BRM45" s="193"/>
      <c r="BRN45" s="193"/>
      <c r="BRO45" s="193"/>
      <c r="BRP45" s="193"/>
      <c r="BRQ45" s="193"/>
      <c r="BRR45" s="193"/>
      <c r="BRS45" s="193"/>
      <c r="BRT45" s="193"/>
      <c r="BRU45" s="193"/>
      <c r="BRV45" s="193"/>
      <c r="BRW45" s="193"/>
      <c r="BRX45" s="193"/>
      <c r="BRY45" s="193"/>
      <c r="BRZ45" s="193"/>
      <c r="BSA45" s="193"/>
      <c r="BSB45" s="193"/>
      <c r="BSC45" s="193"/>
      <c r="BSD45" s="193"/>
      <c r="BSE45" s="193"/>
      <c r="BSF45" s="193"/>
      <c r="BSG45" s="193"/>
      <c r="BSH45" s="193"/>
      <c r="BSI45" s="193"/>
      <c r="BSJ45" s="193"/>
      <c r="BSK45" s="193"/>
      <c r="BSL45" s="193"/>
      <c r="BSM45" s="193"/>
      <c r="BSN45" s="193"/>
      <c r="BSO45" s="193"/>
      <c r="BSP45" s="193"/>
      <c r="BSQ45" s="193"/>
      <c r="BSR45" s="193"/>
      <c r="BSS45" s="193"/>
      <c r="BST45" s="193"/>
      <c r="BSU45" s="193"/>
      <c r="BSV45" s="193"/>
      <c r="BSW45" s="193"/>
      <c r="BSX45" s="193"/>
      <c r="BSY45" s="193"/>
      <c r="BSZ45" s="193"/>
      <c r="BTA45" s="193"/>
      <c r="BTB45" s="193"/>
      <c r="BTC45" s="193"/>
      <c r="BTD45" s="193"/>
      <c r="BTE45" s="193"/>
      <c r="BTF45" s="193"/>
      <c r="BTG45" s="193"/>
      <c r="BTH45" s="193"/>
      <c r="BTI45" s="193"/>
      <c r="BTJ45" s="193"/>
      <c r="BTK45" s="193"/>
      <c r="BTL45" s="193"/>
      <c r="BTM45" s="193"/>
      <c r="BTN45" s="193"/>
      <c r="BTO45" s="193"/>
      <c r="BTP45" s="193"/>
      <c r="BTQ45" s="193"/>
      <c r="BTR45" s="193"/>
      <c r="BTS45" s="193"/>
      <c r="BTT45" s="193"/>
      <c r="BTU45" s="193"/>
      <c r="BTV45" s="193"/>
      <c r="BTW45" s="193"/>
      <c r="BTX45" s="193"/>
      <c r="BTY45" s="193"/>
      <c r="BTZ45" s="193"/>
      <c r="BUA45" s="193"/>
      <c r="BUB45" s="193"/>
      <c r="BUC45" s="193"/>
      <c r="BUD45" s="193"/>
      <c r="BUE45" s="193"/>
      <c r="BUF45" s="193"/>
      <c r="BUG45" s="193"/>
      <c r="BUH45" s="193"/>
      <c r="BUI45" s="193"/>
      <c r="BUJ45" s="193"/>
      <c r="BUK45" s="193"/>
      <c r="BUL45" s="193"/>
      <c r="BUM45" s="193"/>
      <c r="BUN45" s="193"/>
      <c r="BUO45" s="193"/>
      <c r="BUP45" s="193"/>
      <c r="BUQ45" s="193"/>
      <c r="BUR45" s="193"/>
      <c r="BUS45" s="193"/>
      <c r="BUT45" s="193"/>
      <c r="BUU45" s="193"/>
      <c r="BUV45" s="193"/>
      <c r="BUW45" s="193"/>
      <c r="BUX45" s="193"/>
      <c r="BUY45" s="193"/>
      <c r="BUZ45" s="193"/>
      <c r="BVA45" s="193"/>
      <c r="BVB45" s="193"/>
      <c r="BVC45" s="193"/>
      <c r="BVD45" s="193"/>
      <c r="BVE45" s="193"/>
      <c r="BVF45" s="193"/>
      <c r="BVG45" s="193"/>
      <c r="BVH45" s="193"/>
      <c r="BVI45" s="193"/>
      <c r="BVJ45" s="193"/>
      <c r="BVK45" s="193"/>
      <c r="BVL45" s="193"/>
      <c r="BVM45" s="193"/>
      <c r="BVN45" s="193"/>
      <c r="BVO45" s="193"/>
      <c r="BVP45" s="193"/>
      <c r="BVQ45" s="193"/>
      <c r="BVR45" s="193"/>
      <c r="BVS45" s="193"/>
      <c r="BVT45" s="193"/>
      <c r="BVU45" s="193"/>
      <c r="BVV45" s="193"/>
      <c r="BVW45" s="193"/>
      <c r="BVX45" s="193"/>
      <c r="BVY45" s="193"/>
      <c r="BVZ45" s="193"/>
      <c r="BWA45" s="193"/>
      <c r="BWB45" s="193"/>
      <c r="BWC45" s="193"/>
      <c r="BWD45" s="193"/>
      <c r="BWE45" s="193"/>
      <c r="BWF45" s="193"/>
      <c r="BWG45" s="193"/>
      <c r="BWH45" s="193"/>
      <c r="BWI45" s="193"/>
      <c r="BWJ45" s="193"/>
      <c r="BWK45" s="193"/>
      <c r="BWL45" s="193"/>
      <c r="BWM45" s="193"/>
      <c r="BWN45" s="193"/>
      <c r="BWO45" s="193"/>
      <c r="BWP45" s="193"/>
      <c r="BWQ45" s="193"/>
      <c r="BWR45" s="193"/>
      <c r="BWS45" s="193"/>
      <c r="BWT45" s="193"/>
      <c r="BWU45" s="193"/>
      <c r="BWV45" s="193"/>
      <c r="BWW45" s="193"/>
      <c r="BWX45" s="193"/>
      <c r="BWY45" s="193"/>
      <c r="BWZ45" s="193"/>
      <c r="BXA45" s="193"/>
      <c r="BXB45" s="193"/>
      <c r="BXC45" s="193"/>
      <c r="BXD45" s="193"/>
      <c r="BXE45" s="193"/>
      <c r="BXF45" s="193"/>
      <c r="BXG45" s="193"/>
      <c r="BXH45" s="193"/>
      <c r="BXI45" s="193"/>
      <c r="BXJ45" s="193"/>
      <c r="BXK45" s="193"/>
      <c r="BXL45" s="193"/>
      <c r="BXM45" s="193"/>
      <c r="BXN45" s="193"/>
      <c r="BXO45" s="193"/>
      <c r="BXP45" s="193"/>
      <c r="BXQ45" s="193"/>
      <c r="BXR45" s="193"/>
      <c r="BXS45" s="193"/>
      <c r="BXT45" s="193"/>
      <c r="BXU45" s="193"/>
      <c r="BXV45" s="193"/>
      <c r="BXW45" s="193"/>
      <c r="BXX45" s="193"/>
      <c r="BXY45" s="193"/>
      <c r="BXZ45" s="193"/>
      <c r="BYA45" s="193"/>
      <c r="BYB45" s="193"/>
      <c r="BYC45" s="193"/>
      <c r="BYD45" s="193"/>
      <c r="BYE45" s="193"/>
      <c r="BYF45" s="193"/>
      <c r="BYG45" s="193"/>
      <c r="BYH45" s="193"/>
      <c r="BYI45" s="193"/>
      <c r="BYJ45" s="193"/>
      <c r="BYK45" s="193"/>
      <c r="BYL45" s="193"/>
      <c r="BYM45" s="193"/>
      <c r="BYN45" s="193"/>
      <c r="BYO45" s="193"/>
      <c r="BYP45" s="193"/>
      <c r="BYQ45" s="193"/>
      <c r="BYR45" s="193"/>
      <c r="BYS45" s="193"/>
      <c r="BYT45" s="193"/>
      <c r="BYU45" s="193"/>
      <c r="BYV45" s="193"/>
      <c r="BYW45" s="193"/>
      <c r="BYX45" s="193"/>
      <c r="BYY45" s="193"/>
      <c r="BYZ45" s="193"/>
      <c r="BZA45" s="193"/>
      <c r="BZB45" s="193"/>
      <c r="BZC45" s="193"/>
      <c r="BZD45" s="193"/>
      <c r="BZE45" s="193"/>
      <c r="BZF45" s="193"/>
      <c r="BZG45" s="193"/>
      <c r="BZH45" s="193"/>
      <c r="BZI45" s="193"/>
      <c r="BZJ45" s="193"/>
      <c r="BZK45" s="193"/>
      <c r="BZL45" s="193"/>
      <c r="BZM45" s="193"/>
      <c r="BZN45" s="193"/>
      <c r="BZO45" s="193"/>
      <c r="BZP45" s="193"/>
      <c r="BZQ45" s="193"/>
      <c r="BZR45" s="193"/>
      <c r="BZS45" s="193"/>
      <c r="BZT45" s="193"/>
      <c r="BZU45" s="193"/>
      <c r="BZV45" s="193"/>
      <c r="BZW45" s="193"/>
      <c r="BZX45" s="193"/>
      <c r="BZY45" s="193"/>
      <c r="BZZ45" s="193"/>
      <c r="CAA45" s="193"/>
      <c r="CAB45" s="193"/>
      <c r="CAC45" s="193"/>
      <c r="CAD45" s="193"/>
      <c r="CAE45" s="193"/>
      <c r="CAF45" s="193"/>
      <c r="CAG45" s="193"/>
      <c r="CAH45" s="193"/>
      <c r="CAI45" s="193"/>
      <c r="CAJ45" s="193"/>
      <c r="CAK45" s="193"/>
      <c r="CAL45" s="193"/>
      <c r="CAM45" s="193"/>
      <c r="CAN45" s="193"/>
      <c r="CAO45" s="193"/>
      <c r="CAP45" s="193"/>
      <c r="CAQ45" s="193"/>
      <c r="CAR45" s="193"/>
      <c r="CAS45" s="193"/>
      <c r="CAT45" s="193"/>
      <c r="CAU45" s="193"/>
      <c r="CAV45" s="193"/>
      <c r="CAW45" s="193"/>
      <c r="CAX45" s="193"/>
      <c r="CAY45" s="193"/>
      <c r="CAZ45" s="193"/>
      <c r="CBA45" s="193"/>
      <c r="CBB45" s="193"/>
      <c r="CBC45" s="193"/>
      <c r="CBD45" s="193"/>
      <c r="CBE45" s="193"/>
      <c r="CBF45" s="193"/>
      <c r="CBG45" s="193"/>
      <c r="CBH45" s="193"/>
      <c r="CBI45" s="193"/>
      <c r="CBJ45" s="193"/>
      <c r="CBK45" s="193"/>
      <c r="CBL45" s="193"/>
      <c r="CBM45" s="193"/>
      <c r="CBN45" s="193"/>
      <c r="CBO45" s="193"/>
      <c r="CBP45" s="193"/>
      <c r="CBQ45" s="193"/>
      <c r="CBR45" s="193"/>
      <c r="CBS45" s="193"/>
      <c r="CBT45" s="193"/>
      <c r="CBU45" s="193"/>
      <c r="CBV45" s="193"/>
      <c r="CBW45" s="193"/>
      <c r="CBX45" s="193"/>
      <c r="CBY45" s="193"/>
      <c r="CBZ45" s="193"/>
      <c r="CCA45" s="193"/>
      <c r="CCB45" s="193"/>
      <c r="CCC45" s="193"/>
      <c r="CCD45" s="193"/>
      <c r="CCE45" s="193"/>
      <c r="CCF45" s="193"/>
      <c r="CCG45" s="193"/>
      <c r="CCH45" s="193"/>
      <c r="CCI45" s="193"/>
      <c r="CCJ45" s="193"/>
      <c r="CCK45" s="193"/>
      <c r="CCL45" s="193"/>
      <c r="CCM45" s="193"/>
      <c r="CCN45" s="193"/>
      <c r="CCO45" s="193"/>
      <c r="CCP45" s="193"/>
      <c r="CCQ45" s="193"/>
      <c r="CCR45" s="193"/>
      <c r="CCS45" s="193"/>
      <c r="CCT45" s="193"/>
      <c r="CCU45" s="193"/>
      <c r="CCV45" s="193"/>
      <c r="CCW45" s="193"/>
      <c r="CCX45" s="193"/>
      <c r="CCY45" s="193"/>
      <c r="CCZ45" s="193"/>
      <c r="CDA45" s="193"/>
      <c r="CDB45" s="193"/>
      <c r="CDC45" s="193"/>
      <c r="CDD45" s="193"/>
      <c r="CDE45" s="193"/>
      <c r="CDF45" s="193"/>
      <c r="CDG45" s="193"/>
      <c r="CDH45" s="193"/>
      <c r="CDI45" s="193"/>
      <c r="CDJ45" s="193"/>
      <c r="CDK45" s="193"/>
      <c r="CDL45" s="193"/>
      <c r="CDM45" s="193"/>
      <c r="CDN45" s="193"/>
      <c r="CDO45" s="193"/>
      <c r="CDP45" s="193"/>
      <c r="CDQ45" s="193"/>
      <c r="CDR45" s="193"/>
      <c r="CDS45" s="193"/>
      <c r="CDT45" s="193"/>
      <c r="CDU45" s="193"/>
      <c r="CDV45" s="193"/>
      <c r="CDW45" s="193"/>
      <c r="CDX45" s="193"/>
      <c r="CDY45" s="193"/>
      <c r="CDZ45" s="193"/>
      <c r="CEA45" s="193"/>
      <c r="CEB45" s="193"/>
      <c r="CEC45" s="193"/>
      <c r="CED45" s="193"/>
      <c r="CEE45" s="193"/>
      <c r="CEF45" s="193"/>
      <c r="CEG45" s="193"/>
      <c r="CEH45" s="193"/>
      <c r="CEI45" s="193"/>
      <c r="CEJ45" s="193"/>
      <c r="CEK45" s="193"/>
      <c r="CEL45" s="193"/>
      <c r="CEM45" s="193"/>
      <c r="CEN45" s="193"/>
      <c r="CEO45" s="193"/>
      <c r="CEP45" s="193"/>
      <c r="CEQ45" s="193"/>
      <c r="CER45" s="193"/>
      <c r="CES45" s="193"/>
      <c r="CET45" s="193"/>
      <c r="CEU45" s="193"/>
      <c r="CEV45" s="193"/>
      <c r="CEW45" s="193"/>
      <c r="CEX45" s="193"/>
      <c r="CEY45" s="193"/>
      <c r="CEZ45" s="193"/>
      <c r="CFA45" s="193"/>
      <c r="CFB45" s="193"/>
      <c r="CFC45" s="193"/>
      <c r="CFD45" s="193"/>
      <c r="CFE45" s="193"/>
      <c r="CFF45" s="193"/>
      <c r="CFG45" s="193"/>
      <c r="CFH45" s="193"/>
      <c r="CFI45" s="193"/>
      <c r="CFJ45" s="193"/>
      <c r="CFK45" s="193"/>
      <c r="CFL45" s="193"/>
      <c r="CFM45" s="193"/>
      <c r="CFN45" s="193"/>
      <c r="CFO45" s="193"/>
      <c r="CFP45" s="193"/>
      <c r="CFQ45" s="193"/>
      <c r="CFR45" s="193"/>
      <c r="CFS45" s="193"/>
      <c r="CFT45" s="193"/>
      <c r="CFU45" s="193"/>
      <c r="CFV45" s="193"/>
      <c r="CFW45" s="193"/>
      <c r="CFX45" s="193"/>
      <c r="CFY45" s="193"/>
      <c r="CFZ45" s="193"/>
      <c r="CGA45" s="193"/>
      <c r="CGB45" s="193"/>
      <c r="CGC45" s="193"/>
      <c r="CGD45" s="193"/>
      <c r="CGE45" s="193"/>
      <c r="CGF45" s="193"/>
      <c r="CGG45" s="193"/>
      <c r="CGH45" s="193"/>
      <c r="CGI45" s="193"/>
      <c r="CGJ45" s="193"/>
      <c r="CGK45" s="193"/>
      <c r="CGL45" s="193"/>
      <c r="CGM45" s="193"/>
      <c r="CGN45" s="193"/>
      <c r="CGO45" s="193"/>
      <c r="CGP45" s="193"/>
      <c r="CGQ45" s="193"/>
      <c r="CGR45" s="193"/>
      <c r="CGS45" s="193"/>
      <c r="CGT45" s="193"/>
      <c r="CGU45" s="193"/>
      <c r="CGV45" s="193"/>
      <c r="CGW45" s="193"/>
      <c r="CGX45" s="193"/>
      <c r="CGY45" s="193"/>
      <c r="CGZ45" s="193"/>
      <c r="CHA45" s="193"/>
      <c r="CHB45" s="193"/>
      <c r="CHC45" s="193"/>
      <c r="CHD45" s="193"/>
      <c r="CHE45" s="193"/>
      <c r="CHF45" s="193"/>
      <c r="CHG45" s="193"/>
      <c r="CHH45" s="193"/>
      <c r="CHI45" s="193"/>
      <c r="CHJ45" s="193"/>
      <c r="CHK45" s="193"/>
      <c r="CHL45" s="193"/>
      <c r="CHM45" s="193"/>
      <c r="CHN45" s="193"/>
      <c r="CHO45" s="193"/>
      <c r="CHP45" s="193"/>
      <c r="CHQ45" s="193"/>
      <c r="CHR45" s="193"/>
      <c r="CHS45" s="193"/>
      <c r="CHT45" s="193"/>
      <c r="CHU45" s="193"/>
      <c r="CHV45" s="193"/>
      <c r="CHW45" s="193"/>
      <c r="CHX45" s="193"/>
      <c r="CHY45" s="193"/>
      <c r="CHZ45" s="193"/>
      <c r="CIA45" s="193"/>
      <c r="CIB45" s="193"/>
      <c r="CIC45" s="193"/>
      <c r="CID45" s="193"/>
      <c r="CIE45" s="193"/>
      <c r="CIF45" s="193"/>
      <c r="CIG45" s="193"/>
      <c r="CIH45" s="193"/>
      <c r="CII45" s="193"/>
      <c r="CIJ45" s="193"/>
      <c r="CIK45" s="193"/>
      <c r="CIL45" s="193"/>
      <c r="CIM45" s="193"/>
      <c r="CIN45" s="193"/>
      <c r="CIO45" s="193"/>
      <c r="CIP45" s="193"/>
      <c r="CIQ45" s="193"/>
      <c r="CIR45" s="193"/>
      <c r="CIS45" s="193"/>
      <c r="CIT45" s="193"/>
      <c r="CIU45" s="193"/>
      <c r="CIV45" s="193"/>
      <c r="CIW45" s="193"/>
      <c r="CIX45" s="193"/>
      <c r="CIY45" s="193"/>
      <c r="CIZ45" s="193"/>
      <c r="CJA45" s="193"/>
      <c r="CJB45" s="193"/>
      <c r="CJC45" s="193"/>
      <c r="CJD45" s="193"/>
      <c r="CJE45" s="193"/>
      <c r="CJF45" s="193"/>
      <c r="CJG45" s="193"/>
      <c r="CJH45" s="193"/>
      <c r="CJI45" s="193"/>
      <c r="CJJ45" s="193"/>
      <c r="CJK45" s="193"/>
      <c r="CJL45" s="193"/>
      <c r="CJM45" s="193"/>
      <c r="CJN45" s="193"/>
      <c r="CJO45" s="193"/>
      <c r="CJP45" s="193"/>
      <c r="CJQ45" s="193"/>
      <c r="CJR45" s="193"/>
      <c r="CJS45" s="193"/>
      <c r="CJT45" s="193"/>
      <c r="CJU45" s="193"/>
      <c r="CJV45" s="193"/>
      <c r="CJW45" s="193"/>
      <c r="CJX45" s="193"/>
      <c r="CJY45" s="193"/>
      <c r="CJZ45" s="193"/>
      <c r="CKA45" s="193"/>
      <c r="CKB45" s="193"/>
      <c r="CKC45" s="193"/>
      <c r="CKD45" s="193"/>
      <c r="CKE45" s="193"/>
      <c r="CKF45" s="193"/>
      <c r="CKG45" s="193"/>
      <c r="CKH45" s="193"/>
      <c r="CKI45" s="193"/>
      <c r="CKJ45" s="193"/>
      <c r="CKK45" s="193"/>
      <c r="CKL45" s="193"/>
      <c r="CKM45" s="193"/>
      <c r="CKN45" s="193"/>
      <c r="CKO45" s="193"/>
      <c r="CKP45" s="193"/>
      <c r="CKQ45" s="193"/>
      <c r="CKR45" s="193"/>
      <c r="CKS45" s="193"/>
      <c r="CKT45" s="193"/>
      <c r="CKU45" s="193"/>
      <c r="CKV45" s="193"/>
      <c r="CKW45" s="193"/>
      <c r="CKX45" s="193"/>
      <c r="CKY45" s="193"/>
      <c r="CKZ45" s="193"/>
      <c r="CLA45" s="193"/>
      <c r="CLB45" s="193"/>
      <c r="CLC45" s="193"/>
      <c r="CLD45" s="193"/>
      <c r="CLE45" s="193"/>
      <c r="CLF45" s="193"/>
      <c r="CLG45" s="193"/>
      <c r="CLH45" s="193"/>
      <c r="CLI45" s="193"/>
      <c r="CLJ45" s="193"/>
      <c r="CLK45" s="193"/>
      <c r="CLL45" s="193"/>
      <c r="CLM45" s="193"/>
      <c r="CLN45" s="193"/>
      <c r="CLO45" s="193"/>
      <c r="CLP45" s="193"/>
      <c r="CLQ45" s="193"/>
      <c r="CLR45" s="193"/>
      <c r="CLS45" s="193"/>
      <c r="CLT45" s="193"/>
      <c r="CLU45" s="193"/>
      <c r="CLV45" s="193"/>
      <c r="CLW45" s="193"/>
      <c r="CLX45" s="193"/>
      <c r="CLY45" s="193"/>
      <c r="CLZ45" s="193"/>
      <c r="CMA45" s="193"/>
      <c r="CMB45" s="193"/>
      <c r="CMC45" s="193"/>
      <c r="CMD45" s="193"/>
      <c r="CME45" s="193"/>
      <c r="CMF45" s="193"/>
      <c r="CMG45" s="193"/>
      <c r="CMH45" s="193"/>
      <c r="CMI45" s="193"/>
      <c r="CMJ45" s="193"/>
      <c r="CMK45" s="193"/>
      <c r="CML45" s="193"/>
      <c r="CMM45" s="193"/>
      <c r="CMN45" s="193"/>
      <c r="CMO45" s="193"/>
      <c r="CMP45" s="193"/>
      <c r="CMQ45" s="193"/>
      <c r="CMR45" s="193"/>
      <c r="CMS45" s="193"/>
      <c r="CMT45" s="193"/>
      <c r="CMU45" s="193"/>
      <c r="CMV45" s="193"/>
      <c r="CMW45" s="193"/>
      <c r="CMX45" s="193"/>
      <c r="CMY45" s="193"/>
      <c r="CMZ45" s="193"/>
      <c r="CNA45" s="193"/>
      <c r="CNB45" s="193"/>
      <c r="CNC45" s="193"/>
      <c r="CND45" s="193"/>
      <c r="CNE45" s="193"/>
      <c r="CNF45" s="193"/>
      <c r="CNG45" s="193"/>
      <c r="CNH45" s="193"/>
      <c r="CNI45" s="193"/>
      <c r="CNJ45" s="193"/>
      <c r="CNK45" s="193"/>
      <c r="CNL45" s="193"/>
      <c r="CNM45" s="193"/>
      <c r="CNN45" s="193"/>
      <c r="CNO45" s="193"/>
      <c r="CNP45" s="193"/>
      <c r="CNQ45" s="193"/>
      <c r="CNR45" s="193"/>
      <c r="CNS45" s="193"/>
      <c r="CNT45" s="193"/>
      <c r="CNU45" s="193"/>
      <c r="CNV45" s="193"/>
      <c r="CNW45" s="193"/>
      <c r="CNX45" s="193"/>
      <c r="CNY45" s="193"/>
      <c r="CNZ45" s="193"/>
      <c r="COA45" s="193"/>
      <c r="COB45" s="193"/>
      <c r="COC45" s="193"/>
      <c r="COD45" s="193"/>
      <c r="COE45" s="193"/>
      <c r="COF45" s="193"/>
      <c r="COG45" s="193"/>
      <c r="COH45" s="193"/>
      <c r="COI45" s="193"/>
      <c r="COJ45" s="193"/>
      <c r="COK45" s="193"/>
      <c r="COL45" s="193"/>
      <c r="COM45" s="193"/>
      <c r="CON45" s="193"/>
      <c r="COO45" s="193"/>
      <c r="COP45" s="193"/>
      <c r="COQ45" s="193"/>
      <c r="COR45" s="193"/>
      <c r="COS45" s="193"/>
      <c r="COT45" s="193"/>
      <c r="COU45" s="193"/>
      <c r="COV45" s="193"/>
      <c r="COW45" s="193"/>
      <c r="COX45" s="193"/>
      <c r="COY45" s="193"/>
      <c r="COZ45" s="193"/>
      <c r="CPA45" s="193"/>
      <c r="CPB45" s="193"/>
      <c r="CPC45" s="193"/>
      <c r="CPD45" s="193"/>
      <c r="CPE45" s="193"/>
      <c r="CPF45" s="193"/>
      <c r="CPG45" s="193"/>
      <c r="CPH45" s="193"/>
      <c r="CPI45" s="193"/>
      <c r="CPJ45" s="193"/>
      <c r="CPK45" s="193"/>
      <c r="CPL45" s="193"/>
      <c r="CPM45" s="193"/>
      <c r="CPN45" s="193"/>
      <c r="CPO45" s="193"/>
      <c r="CPP45" s="193"/>
      <c r="CPQ45" s="193"/>
      <c r="CPR45" s="193"/>
      <c r="CPS45" s="193"/>
      <c r="CPT45" s="193"/>
      <c r="CPU45" s="193"/>
      <c r="CPV45" s="193"/>
      <c r="CPW45" s="193"/>
      <c r="CPX45" s="193"/>
      <c r="CPY45" s="193"/>
      <c r="CPZ45" s="193"/>
      <c r="CQA45" s="193"/>
      <c r="CQB45" s="193"/>
      <c r="CQC45" s="193"/>
      <c r="CQD45" s="193"/>
      <c r="CQE45" s="193"/>
      <c r="CQF45" s="193"/>
      <c r="CQG45" s="193"/>
      <c r="CQH45" s="193"/>
      <c r="CQI45" s="193"/>
      <c r="CQJ45" s="193"/>
      <c r="CQK45" s="193"/>
      <c r="CQL45" s="193"/>
      <c r="CQM45" s="193"/>
      <c r="CQN45" s="193"/>
      <c r="CQO45" s="193"/>
      <c r="CQP45" s="193"/>
      <c r="CQQ45" s="193"/>
      <c r="CQR45" s="193"/>
      <c r="CQS45" s="193"/>
      <c r="CQT45" s="193"/>
      <c r="CQU45" s="193"/>
      <c r="CQV45" s="193"/>
      <c r="CQW45" s="193"/>
      <c r="CQX45" s="193"/>
      <c r="CQY45" s="193"/>
      <c r="CQZ45" s="193"/>
      <c r="CRA45" s="193"/>
      <c r="CRB45" s="193"/>
      <c r="CRC45" s="193"/>
      <c r="CRD45" s="193"/>
      <c r="CRE45" s="193"/>
      <c r="CRF45" s="193"/>
      <c r="CRG45" s="193"/>
      <c r="CRH45" s="193"/>
      <c r="CRI45" s="193"/>
      <c r="CRJ45" s="193"/>
      <c r="CRK45" s="193"/>
      <c r="CRL45" s="193"/>
      <c r="CRM45" s="193"/>
      <c r="CRN45" s="193"/>
      <c r="CRO45" s="193"/>
      <c r="CRP45" s="193"/>
      <c r="CRQ45" s="193"/>
      <c r="CRR45" s="193"/>
      <c r="CRS45" s="193"/>
      <c r="CRT45" s="193"/>
      <c r="CRU45" s="193"/>
      <c r="CRV45" s="193"/>
      <c r="CRW45" s="193"/>
      <c r="CRX45" s="193"/>
      <c r="CRY45" s="193"/>
      <c r="CRZ45" s="193"/>
      <c r="CSA45" s="193"/>
      <c r="CSB45" s="193"/>
      <c r="CSC45" s="193"/>
      <c r="CSD45" s="193"/>
      <c r="CSE45" s="193"/>
      <c r="CSF45" s="193"/>
      <c r="CSG45" s="193"/>
      <c r="CSH45" s="193"/>
      <c r="CSI45" s="193"/>
      <c r="CSJ45" s="193"/>
      <c r="CSK45" s="193"/>
      <c r="CSL45" s="193"/>
      <c r="CSM45" s="193"/>
      <c r="CSN45" s="193"/>
      <c r="CSO45" s="193"/>
      <c r="CSP45" s="193"/>
      <c r="CSQ45" s="193"/>
      <c r="CSR45" s="193"/>
      <c r="CSS45" s="193"/>
      <c r="CST45" s="193"/>
      <c r="CSU45" s="193"/>
      <c r="CSV45" s="193"/>
      <c r="CSW45" s="193"/>
      <c r="CSX45" s="193"/>
      <c r="CSY45" s="193"/>
      <c r="CSZ45" s="193"/>
      <c r="CTA45" s="193"/>
      <c r="CTB45" s="193"/>
      <c r="CTC45" s="193"/>
      <c r="CTD45" s="193"/>
      <c r="CTE45" s="193"/>
      <c r="CTF45" s="193"/>
      <c r="CTG45" s="193"/>
      <c r="CTH45" s="193"/>
      <c r="CTI45" s="193"/>
      <c r="CTJ45" s="193"/>
      <c r="CTK45" s="193"/>
      <c r="CTL45" s="193"/>
      <c r="CTM45" s="193"/>
      <c r="CTN45" s="193"/>
      <c r="CTO45" s="193"/>
      <c r="CTP45" s="193"/>
      <c r="CTQ45" s="193"/>
      <c r="CTR45" s="193"/>
      <c r="CTS45" s="193"/>
      <c r="CTT45" s="193"/>
      <c r="CTU45" s="193"/>
      <c r="CTV45" s="193"/>
      <c r="CTW45" s="193"/>
      <c r="CTX45" s="193"/>
      <c r="CTY45" s="193"/>
      <c r="CTZ45" s="193"/>
      <c r="CUA45" s="193"/>
    </row>
    <row r="46" s="191" customFormat="1" spans="1:1024 1025:2575">
      <c r="A46" s="227" t="s">
        <v>42</v>
      </c>
      <c r="B46" s="228">
        <f t="shared" si="31"/>
        <v>7</v>
      </c>
      <c r="C46" s="229">
        <f t="shared" si="26"/>
        <v>45573</v>
      </c>
      <c r="D46" s="230">
        <f t="shared" si="22"/>
        <v>45579</v>
      </c>
      <c r="E46" s="231">
        <v>1359</v>
      </c>
      <c r="F46" s="232">
        <f t="shared" si="27"/>
        <v>45593</v>
      </c>
      <c r="G46" s="231">
        <v>1160</v>
      </c>
      <c r="H46" s="233">
        <f t="shared" si="10"/>
        <v>0.853568800588668</v>
      </c>
      <c r="I46" s="230">
        <f t="shared" si="28"/>
        <v>45610</v>
      </c>
      <c r="J46" s="231">
        <v>1150</v>
      </c>
      <c r="K46" s="233">
        <f t="shared" si="0"/>
        <v>0.846210448859456</v>
      </c>
      <c r="L46" s="230">
        <f t="shared" si="29"/>
        <v>45613</v>
      </c>
      <c r="M46" s="231">
        <v>1140</v>
      </c>
      <c r="N46" s="231">
        <v>11176</v>
      </c>
      <c r="O46" s="233">
        <f t="shared" si="1"/>
        <v>0.838852097130243</v>
      </c>
      <c r="P46" s="233">
        <f t="shared" si="7"/>
        <v>0.0147167034584254</v>
      </c>
      <c r="Q46" s="234">
        <f t="shared" si="2"/>
        <v>9.80350877192982</v>
      </c>
      <c r="R46" s="230">
        <f t="shared" ref="R46:R57" si="33">I46+35</f>
        <v>45645</v>
      </c>
      <c r="S46" s="235">
        <v>10864</v>
      </c>
      <c r="T46" s="228">
        <v>883</v>
      </c>
      <c r="U46" s="233">
        <f t="shared" si="3"/>
        <v>0.972083035075161</v>
      </c>
      <c r="V46" s="230">
        <f t="shared" si="19"/>
        <v>45680</v>
      </c>
      <c r="W46" s="235">
        <v>10339</v>
      </c>
      <c r="X46" s="233">
        <f t="shared" si="4"/>
        <v>0.951675257731959</v>
      </c>
      <c r="Y46" s="228">
        <v>24155</v>
      </c>
      <c r="Z46" s="236">
        <v>13.4</v>
      </c>
      <c r="AA46" s="236">
        <f t="shared" si="32"/>
        <v>2.33629944868943</v>
      </c>
      <c r="AB46" s="236">
        <f t="shared" si="5"/>
        <v>7.60779985283297</v>
      </c>
      <c r="AC46" s="236">
        <v>3.07</v>
      </c>
      <c r="AD46" s="235">
        <v>2.98</v>
      </c>
      <c r="AE46" s="236">
        <v>58.4</v>
      </c>
      <c r="AF46" s="235"/>
      <c r="AG46" s="237"/>
      <c r="AH46" s="237"/>
      <c r="AI46" s="237"/>
      <c r="AJ46" s="237"/>
      <c r="AK46" s="237"/>
      <c r="AL46" s="237"/>
      <c r="AM46" s="237"/>
      <c r="AN46" s="237"/>
      <c r="AO46" s="237"/>
      <c r="AP46" s="237"/>
      <c r="AQ46" s="237"/>
      <c r="AR46" s="237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  <c r="BM46" s="193"/>
      <c r="BN46" s="193"/>
      <c r="BO46" s="193"/>
      <c r="BP46" s="193"/>
      <c r="BQ46" s="193"/>
      <c r="BR46" s="193"/>
      <c r="BS46" s="193"/>
      <c r="BT46" s="193"/>
      <c r="BU46" s="193"/>
      <c r="BV46" s="193"/>
      <c r="BW46" s="193"/>
      <c r="BX46" s="193"/>
      <c r="BY46" s="193"/>
      <c r="BZ46" s="193"/>
      <c r="CA46" s="193"/>
      <c r="CB46" s="193"/>
      <c r="CC46" s="193"/>
      <c r="CD46" s="193"/>
      <c r="CE46" s="193"/>
      <c r="CF46" s="193"/>
      <c r="CG46" s="193"/>
      <c r="CH46" s="193"/>
      <c r="CI46" s="193"/>
      <c r="CJ46" s="193"/>
      <c r="CK46" s="193"/>
      <c r="CL46" s="193"/>
      <c r="CM46" s="193"/>
      <c r="CN46" s="193"/>
      <c r="CO46" s="193"/>
      <c r="CP46" s="193"/>
      <c r="CQ46" s="193"/>
      <c r="CR46" s="193"/>
      <c r="CS46" s="193"/>
      <c r="CT46" s="193"/>
      <c r="CU46" s="193"/>
      <c r="CV46" s="193"/>
      <c r="CW46" s="193"/>
      <c r="CX46" s="193"/>
      <c r="CY46" s="193"/>
      <c r="CZ46" s="193"/>
      <c r="DA46" s="193"/>
      <c r="DB46" s="193"/>
      <c r="DC46" s="193"/>
      <c r="DD46" s="193"/>
      <c r="DE46" s="193"/>
      <c r="DF46" s="193"/>
      <c r="DG46" s="193"/>
      <c r="DH46" s="193"/>
      <c r="DI46" s="193"/>
      <c r="DJ46" s="193"/>
      <c r="DK46" s="193"/>
      <c r="DL46" s="193"/>
      <c r="DM46" s="193"/>
      <c r="DN46" s="193"/>
      <c r="DO46" s="193"/>
      <c r="DP46" s="193"/>
      <c r="DQ46" s="193"/>
      <c r="DR46" s="193"/>
      <c r="DS46" s="193"/>
      <c r="DT46" s="193"/>
      <c r="DU46" s="193"/>
      <c r="DV46" s="193"/>
      <c r="DW46" s="193"/>
      <c r="DX46" s="193"/>
      <c r="DY46" s="193"/>
      <c r="DZ46" s="193"/>
      <c r="EA46" s="193"/>
      <c r="EB46" s="193"/>
      <c r="EC46" s="193"/>
      <c r="ED46" s="193"/>
      <c r="EE46" s="193"/>
      <c r="EF46" s="193"/>
      <c r="EG46" s="193"/>
      <c r="EH46" s="193"/>
      <c r="EI46" s="193"/>
      <c r="EJ46" s="193"/>
      <c r="EK46" s="193"/>
      <c r="EL46" s="193"/>
      <c r="EM46" s="193"/>
      <c r="EN46" s="193"/>
      <c r="EO46" s="193"/>
      <c r="EP46" s="193"/>
      <c r="EQ46" s="193"/>
      <c r="ER46" s="193"/>
      <c r="ES46" s="193"/>
      <c r="ET46" s="193"/>
      <c r="EU46" s="193"/>
      <c r="EV46" s="193"/>
      <c r="EW46" s="193"/>
      <c r="EX46" s="193"/>
      <c r="EY46" s="193"/>
      <c r="EZ46" s="193"/>
      <c r="FA46" s="193"/>
      <c r="FB46" s="193"/>
      <c r="FC46" s="193"/>
      <c r="FD46" s="193"/>
      <c r="FE46" s="193"/>
      <c r="FF46" s="193"/>
      <c r="FG46" s="193"/>
      <c r="FH46" s="193"/>
      <c r="FI46" s="193"/>
      <c r="FJ46" s="193"/>
      <c r="FK46" s="193"/>
      <c r="FL46" s="193"/>
      <c r="FM46" s="193"/>
      <c r="FN46" s="193"/>
      <c r="FO46" s="193"/>
      <c r="FP46" s="193"/>
      <c r="FQ46" s="193"/>
      <c r="FR46" s="193"/>
      <c r="FS46" s="193"/>
      <c r="FT46" s="193"/>
      <c r="FU46" s="193"/>
      <c r="FV46" s="193"/>
      <c r="FW46" s="193"/>
      <c r="FX46" s="193"/>
      <c r="FY46" s="193"/>
      <c r="FZ46" s="193"/>
      <c r="GA46" s="193"/>
      <c r="GB46" s="193"/>
      <c r="GC46" s="193"/>
      <c r="GD46" s="193"/>
      <c r="GE46" s="193"/>
      <c r="GF46" s="193"/>
      <c r="GG46" s="193"/>
      <c r="GH46" s="193"/>
      <c r="GI46" s="193"/>
      <c r="GJ46" s="193"/>
      <c r="GK46" s="193"/>
      <c r="GL46" s="193"/>
      <c r="GM46" s="193"/>
      <c r="GN46" s="193"/>
      <c r="GO46" s="193"/>
      <c r="GP46" s="193"/>
      <c r="GQ46" s="193"/>
      <c r="GR46" s="193"/>
      <c r="GS46" s="193"/>
      <c r="GT46" s="193"/>
      <c r="GU46" s="193"/>
      <c r="GV46" s="193"/>
      <c r="GW46" s="193"/>
      <c r="GX46" s="193"/>
      <c r="GY46" s="193"/>
      <c r="GZ46" s="193"/>
      <c r="HA46" s="193"/>
      <c r="HB46" s="193"/>
      <c r="HC46" s="193"/>
      <c r="HD46" s="193"/>
      <c r="HE46" s="193"/>
      <c r="HF46" s="193"/>
      <c r="HG46" s="193"/>
      <c r="HH46" s="193"/>
      <c r="HI46" s="193"/>
      <c r="HJ46" s="193"/>
      <c r="HK46" s="193"/>
      <c r="HL46" s="193"/>
      <c r="HM46" s="193"/>
      <c r="HN46" s="193"/>
      <c r="HO46" s="193"/>
      <c r="HP46" s="193"/>
      <c r="HQ46" s="193"/>
      <c r="HR46" s="193"/>
      <c r="HS46" s="193"/>
      <c r="HT46" s="193"/>
      <c r="HU46" s="193"/>
      <c r="HV46" s="193"/>
      <c r="HW46" s="193"/>
      <c r="HX46" s="193"/>
      <c r="HY46" s="193"/>
      <c r="HZ46" s="193"/>
      <c r="IA46" s="193"/>
      <c r="IB46" s="193"/>
      <c r="IC46" s="193"/>
      <c r="ID46" s="193"/>
      <c r="IE46" s="193"/>
      <c r="IF46" s="193"/>
      <c r="IG46" s="193"/>
      <c r="IH46" s="193"/>
      <c r="II46" s="193"/>
      <c r="IJ46" s="193"/>
      <c r="IK46" s="193"/>
      <c r="IL46" s="193"/>
      <c r="IM46" s="193"/>
      <c r="IN46" s="193"/>
      <c r="IO46" s="193"/>
      <c r="IP46" s="193"/>
      <c r="IQ46" s="193"/>
      <c r="IR46" s="193"/>
      <c r="IS46" s="193"/>
      <c r="IT46" s="193"/>
      <c r="IU46" s="193"/>
      <c r="IV46" s="193"/>
      <c r="IW46" s="193"/>
      <c r="IX46" s="193"/>
      <c r="IY46" s="193"/>
      <c r="IZ46" s="193"/>
      <c r="JA46" s="193"/>
      <c r="JB46" s="193"/>
      <c r="JC46" s="193"/>
      <c r="JD46" s="193"/>
      <c r="JE46" s="193"/>
      <c r="JF46" s="193"/>
      <c r="JG46" s="193"/>
      <c r="JH46" s="193"/>
      <c r="JI46" s="193"/>
      <c r="JJ46" s="193"/>
      <c r="JK46" s="193"/>
      <c r="JL46" s="193"/>
      <c r="JM46" s="193"/>
      <c r="JN46" s="193"/>
      <c r="JO46" s="193"/>
      <c r="JP46" s="193"/>
      <c r="JQ46" s="193"/>
      <c r="JR46" s="193"/>
      <c r="JS46" s="193"/>
      <c r="JT46" s="193"/>
      <c r="JU46" s="193"/>
      <c r="JV46" s="193"/>
      <c r="JW46" s="193"/>
      <c r="JX46" s="193"/>
      <c r="JY46" s="193"/>
      <c r="JZ46" s="193"/>
      <c r="KA46" s="193"/>
      <c r="KB46" s="193"/>
      <c r="KC46" s="193"/>
      <c r="KD46" s="193"/>
      <c r="KE46" s="193"/>
      <c r="KF46" s="193"/>
      <c r="KG46" s="193"/>
      <c r="KH46" s="193"/>
      <c r="KI46" s="193"/>
      <c r="KJ46" s="193"/>
      <c r="KK46" s="193"/>
      <c r="KL46" s="193"/>
      <c r="KM46" s="193"/>
      <c r="KN46" s="193"/>
      <c r="KO46" s="193"/>
      <c r="KP46" s="193"/>
      <c r="KQ46" s="193"/>
      <c r="KR46" s="193"/>
      <c r="KS46" s="193"/>
      <c r="KT46" s="193"/>
      <c r="KU46" s="193"/>
      <c r="KV46" s="193"/>
      <c r="KW46" s="193"/>
      <c r="KX46" s="193"/>
      <c r="KY46" s="193"/>
      <c r="KZ46" s="193"/>
      <c r="LA46" s="193"/>
      <c r="LB46" s="193"/>
      <c r="LC46" s="193"/>
      <c r="LD46" s="193"/>
      <c r="LE46" s="193"/>
      <c r="LF46" s="193"/>
      <c r="LG46" s="193"/>
      <c r="LH46" s="193"/>
      <c r="LI46" s="193"/>
      <c r="LJ46" s="193"/>
      <c r="LK46" s="193"/>
      <c r="LL46" s="193"/>
      <c r="LM46" s="193"/>
      <c r="LN46" s="193"/>
      <c r="LO46" s="193"/>
      <c r="LP46" s="193"/>
      <c r="LQ46" s="193"/>
      <c r="LR46" s="193"/>
      <c r="LS46" s="193"/>
      <c r="LT46" s="193"/>
      <c r="LU46" s="193"/>
      <c r="LV46" s="193"/>
      <c r="LW46" s="193"/>
      <c r="LX46" s="193"/>
      <c r="LY46" s="193"/>
      <c r="LZ46" s="193"/>
      <c r="MA46" s="193"/>
      <c r="MB46" s="193"/>
      <c r="MC46" s="193"/>
      <c r="MD46" s="193"/>
      <c r="ME46" s="193"/>
      <c r="MF46" s="193"/>
      <c r="MG46" s="193"/>
      <c r="MH46" s="193"/>
      <c r="MI46" s="193"/>
      <c r="MJ46" s="193"/>
      <c r="MK46" s="193"/>
      <c r="ML46" s="193"/>
      <c r="MM46" s="193"/>
      <c r="MN46" s="193"/>
      <c r="MO46" s="193"/>
      <c r="MP46" s="193"/>
      <c r="MQ46" s="193"/>
      <c r="MR46" s="193"/>
      <c r="MS46" s="193"/>
      <c r="MT46" s="193"/>
      <c r="MU46" s="193"/>
      <c r="MV46" s="193"/>
      <c r="MW46" s="193"/>
      <c r="MX46" s="193"/>
      <c r="MY46" s="193"/>
      <c r="MZ46" s="193"/>
      <c r="NA46" s="193"/>
      <c r="NB46" s="193"/>
      <c r="NC46" s="193"/>
      <c r="ND46" s="193"/>
      <c r="NE46" s="193"/>
      <c r="NF46" s="193"/>
      <c r="NG46" s="193"/>
      <c r="NH46" s="193"/>
      <c r="NI46" s="193"/>
      <c r="NJ46" s="193"/>
      <c r="NK46" s="193"/>
      <c r="NL46" s="193"/>
      <c r="NM46" s="193"/>
      <c r="NN46" s="193"/>
      <c r="NO46" s="193"/>
      <c r="NP46" s="193"/>
      <c r="NQ46" s="193"/>
      <c r="NR46" s="193"/>
      <c r="NS46" s="193"/>
      <c r="NT46" s="193"/>
      <c r="NU46" s="193"/>
      <c r="NV46" s="193"/>
      <c r="NW46" s="193"/>
      <c r="NX46" s="193"/>
      <c r="NY46" s="193"/>
      <c r="NZ46" s="193"/>
      <c r="OA46" s="193"/>
      <c r="OB46" s="193"/>
      <c r="OC46" s="193"/>
      <c r="OD46" s="193"/>
      <c r="OE46" s="193"/>
      <c r="OF46" s="193"/>
      <c r="OG46" s="193"/>
      <c r="OH46" s="193"/>
      <c r="OI46" s="193"/>
      <c r="OJ46" s="193"/>
      <c r="OK46" s="193"/>
      <c r="OL46" s="193"/>
      <c r="OM46" s="193"/>
      <c r="ON46" s="193"/>
      <c r="OO46" s="193"/>
      <c r="OP46" s="193"/>
      <c r="OQ46" s="193"/>
      <c r="OR46" s="193"/>
      <c r="OS46" s="193"/>
      <c r="OT46" s="193"/>
      <c r="OU46" s="193"/>
      <c r="OV46" s="193"/>
      <c r="OW46" s="193"/>
      <c r="OX46" s="193"/>
      <c r="OY46" s="193"/>
      <c r="OZ46" s="193"/>
      <c r="PA46" s="193"/>
      <c r="PB46" s="193"/>
      <c r="PC46" s="193"/>
      <c r="PD46" s="193"/>
      <c r="PE46" s="193"/>
      <c r="PF46" s="193"/>
      <c r="PG46" s="193"/>
      <c r="PH46" s="193"/>
      <c r="PI46" s="193"/>
      <c r="PJ46" s="193"/>
      <c r="PK46" s="193"/>
      <c r="PL46" s="193"/>
      <c r="PM46" s="193"/>
      <c r="PN46" s="193"/>
      <c r="PO46" s="193"/>
      <c r="PP46" s="193"/>
      <c r="PQ46" s="193"/>
      <c r="PR46" s="193"/>
      <c r="PS46" s="193"/>
      <c r="PT46" s="193"/>
      <c r="PU46" s="193"/>
      <c r="PV46" s="193"/>
      <c r="PW46" s="193"/>
      <c r="PX46" s="193"/>
      <c r="PY46" s="193"/>
      <c r="PZ46" s="193"/>
      <c r="QA46" s="193"/>
      <c r="QB46" s="193"/>
      <c r="QC46" s="193"/>
      <c r="QD46" s="193"/>
      <c r="QE46" s="193"/>
      <c r="QF46" s="193"/>
      <c r="QG46" s="193"/>
      <c r="QH46" s="193"/>
      <c r="QI46" s="193"/>
      <c r="QJ46" s="193"/>
      <c r="QK46" s="193"/>
      <c r="QL46" s="193"/>
      <c r="QM46" s="193"/>
      <c r="QN46" s="193"/>
      <c r="QO46" s="193"/>
      <c r="QP46" s="193"/>
      <c r="QQ46" s="193"/>
      <c r="QR46" s="193"/>
      <c r="QS46" s="193"/>
      <c r="QT46" s="193"/>
      <c r="QU46" s="193"/>
      <c r="QV46" s="193"/>
      <c r="QW46" s="193"/>
      <c r="QX46" s="193"/>
      <c r="QY46" s="193"/>
      <c r="QZ46" s="193"/>
      <c r="RA46" s="193"/>
      <c r="RB46" s="193"/>
      <c r="RC46" s="193"/>
      <c r="RD46" s="193"/>
      <c r="RE46" s="193"/>
      <c r="RF46" s="193"/>
      <c r="RG46" s="193"/>
      <c r="RH46" s="193"/>
      <c r="RI46" s="193"/>
      <c r="RJ46" s="193"/>
      <c r="RK46" s="193"/>
      <c r="RL46" s="193"/>
      <c r="RM46" s="193"/>
      <c r="RN46" s="193"/>
      <c r="RO46" s="193"/>
      <c r="RP46" s="193"/>
      <c r="RQ46" s="193"/>
      <c r="RR46" s="193"/>
      <c r="RS46" s="193"/>
      <c r="RT46" s="193"/>
      <c r="RU46" s="193"/>
      <c r="RV46" s="193"/>
      <c r="RW46" s="193"/>
      <c r="RX46" s="193"/>
      <c r="RY46" s="193"/>
      <c r="RZ46" s="193"/>
      <c r="SA46" s="193"/>
      <c r="SB46" s="193"/>
      <c r="SC46" s="193"/>
      <c r="SD46" s="193"/>
      <c r="SE46" s="193"/>
      <c r="SF46" s="193"/>
      <c r="SG46" s="193"/>
      <c r="SH46" s="193"/>
      <c r="SI46" s="193"/>
      <c r="SJ46" s="193"/>
      <c r="SK46" s="193"/>
      <c r="SL46" s="193"/>
      <c r="SM46" s="193"/>
      <c r="SN46" s="193"/>
      <c r="SO46" s="193"/>
      <c r="SP46" s="193"/>
      <c r="SQ46" s="193"/>
      <c r="SR46" s="193"/>
      <c r="SS46" s="193"/>
      <c r="ST46" s="193"/>
      <c r="SU46" s="193"/>
      <c r="SV46" s="193"/>
      <c r="SW46" s="193"/>
      <c r="SX46" s="193"/>
      <c r="SY46" s="193"/>
      <c r="SZ46" s="193"/>
      <c r="TA46" s="193"/>
      <c r="TB46" s="193"/>
      <c r="TC46" s="193"/>
      <c r="TD46" s="193"/>
      <c r="TE46" s="193"/>
      <c r="TF46" s="193"/>
      <c r="TG46" s="193"/>
      <c r="TH46" s="193"/>
      <c r="TI46" s="193"/>
      <c r="TJ46" s="193"/>
      <c r="TK46" s="193"/>
      <c r="TL46" s="193"/>
      <c r="TM46" s="193"/>
      <c r="TN46" s="193"/>
      <c r="TO46" s="193"/>
      <c r="TP46" s="193"/>
      <c r="TQ46" s="193"/>
      <c r="TR46" s="193"/>
      <c r="TS46" s="193"/>
      <c r="TT46" s="193"/>
      <c r="TU46" s="193"/>
      <c r="TV46" s="193"/>
      <c r="TW46" s="193"/>
      <c r="TX46" s="193"/>
      <c r="TY46" s="193"/>
      <c r="TZ46" s="193"/>
      <c r="UA46" s="193"/>
      <c r="UB46" s="193"/>
      <c r="UC46" s="193"/>
      <c r="UD46" s="193"/>
      <c r="UE46" s="193"/>
      <c r="UF46" s="193"/>
      <c r="UG46" s="193"/>
      <c r="UH46" s="193"/>
      <c r="UI46" s="193"/>
      <c r="UJ46" s="193"/>
      <c r="UK46" s="193"/>
      <c r="UL46" s="193"/>
      <c r="UM46" s="193"/>
      <c r="UN46" s="193"/>
      <c r="UO46" s="193"/>
      <c r="UP46" s="193"/>
      <c r="UQ46" s="193"/>
      <c r="UR46" s="193"/>
      <c r="US46" s="193"/>
      <c r="UT46" s="193"/>
      <c r="UU46" s="193"/>
      <c r="UV46" s="193"/>
      <c r="UW46" s="193"/>
      <c r="UX46" s="193"/>
      <c r="UY46" s="193"/>
      <c r="UZ46" s="193"/>
      <c r="VA46" s="193"/>
      <c r="VB46" s="193"/>
      <c r="VC46" s="193"/>
      <c r="VD46" s="193"/>
      <c r="VE46" s="193"/>
      <c r="VF46" s="193"/>
      <c r="VG46" s="193"/>
      <c r="VH46" s="193"/>
      <c r="VI46" s="193"/>
      <c r="VJ46" s="193"/>
      <c r="VK46" s="193"/>
      <c r="VL46" s="193"/>
      <c r="VM46" s="193"/>
      <c r="VN46" s="193"/>
      <c r="VO46" s="193"/>
      <c r="VP46" s="193"/>
      <c r="VQ46" s="193"/>
      <c r="VR46" s="193"/>
      <c r="VS46" s="193"/>
      <c r="VT46" s="193"/>
      <c r="VU46" s="193"/>
      <c r="VV46" s="193"/>
      <c r="VW46" s="193"/>
      <c r="VX46" s="193"/>
      <c r="VY46" s="193"/>
      <c r="VZ46" s="193"/>
      <c r="WA46" s="193"/>
      <c r="WB46" s="193"/>
      <c r="WC46" s="193"/>
      <c r="WD46" s="193"/>
      <c r="WE46" s="193"/>
      <c r="WF46" s="193"/>
      <c r="WG46" s="193"/>
      <c r="WH46" s="193"/>
      <c r="WI46" s="193"/>
      <c r="WJ46" s="193"/>
      <c r="WK46" s="193"/>
      <c r="WL46" s="193"/>
      <c r="WM46" s="193"/>
      <c r="WN46" s="193"/>
      <c r="WO46" s="193"/>
      <c r="WP46" s="193"/>
      <c r="WQ46" s="193"/>
      <c r="WR46" s="193"/>
      <c r="WS46" s="193"/>
      <c r="WT46" s="193"/>
      <c r="WU46" s="193"/>
      <c r="WV46" s="193"/>
      <c r="WW46" s="193"/>
      <c r="WX46" s="193"/>
      <c r="WY46" s="193"/>
      <c r="WZ46" s="193"/>
      <c r="XA46" s="193"/>
      <c r="XB46" s="193"/>
      <c r="XC46" s="193"/>
      <c r="XD46" s="193"/>
      <c r="XE46" s="193"/>
      <c r="XF46" s="193"/>
      <c r="XG46" s="193"/>
      <c r="XH46" s="193"/>
      <c r="XI46" s="193"/>
      <c r="XJ46" s="193"/>
      <c r="XK46" s="193"/>
      <c r="XL46" s="193"/>
      <c r="XM46" s="193"/>
      <c r="XN46" s="193"/>
      <c r="XO46" s="193"/>
      <c r="XP46" s="193"/>
      <c r="XQ46" s="193"/>
      <c r="XR46" s="193"/>
      <c r="XS46" s="193"/>
      <c r="XT46" s="193"/>
      <c r="XU46" s="193"/>
      <c r="XV46" s="193"/>
      <c r="XW46" s="193"/>
      <c r="XX46" s="193"/>
      <c r="XY46" s="193"/>
      <c r="XZ46" s="193"/>
      <c r="YA46" s="193"/>
      <c r="YB46" s="193"/>
      <c r="YC46" s="193"/>
      <c r="YD46" s="193"/>
      <c r="YE46" s="193"/>
      <c r="YF46" s="193"/>
      <c r="YG46" s="193"/>
      <c r="YH46" s="193"/>
      <c r="YI46" s="193"/>
      <c r="YJ46" s="193"/>
      <c r="YK46" s="193"/>
      <c r="YL46" s="193"/>
      <c r="YM46" s="193"/>
      <c r="YN46" s="193"/>
      <c r="YO46" s="193"/>
      <c r="YP46" s="193"/>
      <c r="YQ46" s="193"/>
      <c r="YR46" s="193"/>
      <c r="YS46" s="193"/>
      <c r="YT46" s="193"/>
      <c r="YU46" s="193"/>
      <c r="YV46" s="193"/>
      <c r="YW46" s="193"/>
      <c r="YX46" s="193"/>
      <c r="YY46" s="193"/>
      <c r="YZ46" s="193"/>
      <c r="ZA46" s="193"/>
      <c r="ZB46" s="193"/>
      <c r="ZC46" s="193"/>
      <c r="ZD46" s="193"/>
      <c r="ZE46" s="193"/>
      <c r="ZF46" s="193"/>
      <c r="ZG46" s="193"/>
      <c r="ZH46" s="193"/>
      <c r="ZI46" s="193"/>
      <c r="ZJ46" s="193"/>
      <c r="ZK46" s="193"/>
      <c r="ZL46" s="193"/>
      <c r="ZM46" s="193"/>
      <c r="ZN46" s="193"/>
      <c r="ZO46" s="193"/>
      <c r="ZP46" s="193"/>
      <c r="ZQ46" s="193"/>
      <c r="ZR46" s="193"/>
      <c r="ZS46" s="193"/>
      <c r="ZT46" s="193"/>
      <c r="ZU46" s="193"/>
      <c r="ZV46" s="193"/>
      <c r="ZW46" s="193"/>
      <c r="ZX46" s="193"/>
      <c r="ZY46" s="193"/>
      <c r="ZZ46" s="193"/>
      <c r="AAA46" s="193"/>
      <c r="AAB46" s="193"/>
      <c r="AAC46" s="193"/>
      <c r="AAD46" s="193"/>
      <c r="AAE46" s="193"/>
      <c r="AAF46" s="193"/>
      <c r="AAG46" s="193"/>
      <c r="AAH46" s="193"/>
      <c r="AAI46" s="193"/>
      <c r="AAJ46" s="193"/>
      <c r="AAK46" s="193"/>
      <c r="AAL46" s="193"/>
      <c r="AAM46" s="193"/>
      <c r="AAN46" s="193"/>
      <c r="AAO46" s="193"/>
      <c r="AAP46" s="193"/>
      <c r="AAQ46" s="193"/>
      <c r="AAR46" s="193"/>
      <c r="AAS46" s="193"/>
      <c r="AAT46" s="193"/>
      <c r="AAU46" s="193"/>
      <c r="AAV46" s="193"/>
      <c r="AAW46" s="193"/>
      <c r="AAX46" s="193"/>
      <c r="AAY46" s="193"/>
      <c r="AAZ46" s="193"/>
      <c r="ABA46" s="193"/>
      <c r="ABB46" s="193"/>
      <c r="ABC46" s="193"/>
      <c r="ABD46" s="193"/>
      <c r="ABE46" s="193"/>
      <c r="ABF46" s="193"/>
      <c r="ABG46" s="193"/>
      <c r="ABH46" s="193"/>
      <c r="ABI46" s="193"/>
      <c r="ABJ46" s="193"/>
      <c r="ABK46" s="193"/>
      <c r="ABL46" s="193"/>
      <c r="ABM46" s="193"/>
      <c r="ABN46" s="193"/>
      <c r="ABO46" s="193"/>
      <c r="ABP46" s="193"/>
      <c r="ABQ46" s="193"/>
      <c r="ABR46" s="193"/>
      <c r="ABS46" s="193"/>
      <c r="ABT46" s="193"/>
      <c r="ABU46" s="193"/>
      <c r="ABV46" s="193"/>
      <c r="ABW46" s="193"/>
      <c r="ABX46" s="193"/>
      <c r="ABY46" s="193"/>
      <c r="ABZ46" s="193"/>
      <c r="ACA46" s="193"/>
      <c r="ACB46" s="193"/>
      <c r="ACC46" s="193"/>
      <c r="ACD46" s="193"/>
      <c r="ACE46" s="193"/>
      <c r="ACF46" s="193"/>
      <c r="ACG46" s="193"/>
      <c r="ACH46" s="193"/>
      <c r="ACI46" s="193"/>
      <c r="ACJ46" s="193"/>
      <c r="ACK46" s="193"/>
      <c r="ACL46" s="193"/>
      <c r="ACM46" s="193"/>
      <c r="ACN46" s="193"/>
      <c r="ACO46" s="193"/>
      <c r="ACP46" s="193"/>
      <c r="ACQ46" s="193"/>
      <c r="ACR46" s="193"/>
      <c r="ACS46" s="193"/>
      <c r="ACT46" s="193"/>
      <c r="ACU46" s="193"/>
      <c r="ACV46" s="193"/>
      <c r="ACW46" s="193"/>
      <c r="ACX46" s="193"/>
      <c r="ACY46" s="193"/>
      <c r="ACZ46" s="193"/>
      <c r="ADA46" s="193"/>
      <c r="ADB46" s="193"/>
      <c r="ADC46" s="193"/>
      <c r="ADD46" s="193"/>
      <c r="ADE46" s="193"/>
      <c r="ADF46" s="193"/>
      <c r="ADG46" s="193"/>
      <c r="ADH46" s="193"/>
      <c r="ADI46" s="193"/>
      <c r="ADJ46" s="193"/>
      <c r="ADK46" s="193"/>
      <c r="ADL46" s="193"/>
      <c r="ADM46" s="193"/>
      <c r="ADN46" s="193"/>
      <c r="ADO46" s="193"/>
      <c r="ADP46" s="193"/>
      <c r="ADQ46" s="193"/>
      <c r="ADR46" s="193"/>
      <c r="ADS46" s="193"/>
      <c r="ADT46" s="193"/>
      <c r="ADU46" s="193"/>
      <c r="ADV46" s="193"/>
      <c r="ADW46" s="193"/>
      <c r="ADX46" s="193"/>
      <c r="ADY46" s="193"/>
      <c r="ADZ46" s="193"/>
      <c r="AEA46" s="193"/>
      <c r="AEB46" s="193"/>
      <c r="AEC46" s="193"/>
      <c r="AED46" s="193"/>
      <c r="AEE46" s="193"/>
      <c r="AEF46" s="193"/>
      <c r="AEG46" s="193"/>
      <c r="AEH46" s="193"/>
      <c r="AEI46" s="193"/>
      <c r="AEJ46" s="193"/>
      <c r="AEK46" s="193"/>
      <c r="AEL46" s="193"/>
      <c r="AEM46" s="193"/>
      <c r="AEN46" s="193"/>
      <c r="AEO46" s="193"/>
      <c r="AEP46" s="193"/>
      <c r="AEQ46" s="193"/>
      <c r="AER46" s="193"/>
      <c r="AES46" s="193"/>
      <c r="AET46" s="193"/>
      <c r="AEU46" s="193"/>
      <c r="AEV46" s="193"/>
      <c r="AEW46" s="193"/>
      <c r="AEX46" s="193"/>
      <c r="AEY46" s="193"/>
      <c r="AEZ46" s="193"/>
      <c r="AFA46" s="193"/>
      <c r="AFB46" s="193"/>
      <c r="AFC46" s="193"/>
      <c r="AFD46" s="193"/>
      <c r="AFE46" s="193"/>
      <c r="AFF46" s="193"/>
      <c r="AFG46" s="193"/>
      <c r="AFH46" s="193"/>
      <c r="AFI46" s="193"/>
      <c r="AFJ46" s="193"/>
      <c r="AFK46" s="193"/>
      <c r="AFL46" s="193"/>
      <c r="AFM46" s="193"/>
      <c r="AFN46" s="193"/>
      <c r="AFO46" s="193"/>
      <c r="AFP46" s="193"/>
      <c r="AFQ46" s="193"/>
      <c r="AFR46" s="193"/>
      <c r="AFS46" s="193"/>
      <c r="AFT46" s="193"/>
      <c r="AFU46" s="193"/>
      <c r="AFV46" s="193"/>
      <c r="AFW46" s="193"/>
      <c r="AFX46" s="193"/>
      <c r="AFY46" s="193"/>
      <c r="AFZ46" s="193"/>
      <c r="AGA46" s="193"/>
      <c r="AGB46" s="193"/>
      <c r="AGC46" s="193"/>
      <c r="AGD46" s="193"/>
      <c r="AGE46" s="193"/>
      <c r="AGF46" s="193"/>
      <c r="AGG46" s="193"/>
      <c r="AGH46" s="193"/>
      <c r="AGI46" s="193"/>
      <c r="AGJ46" s="193"/>
      <c r="AGK46" s="193"/>
      <c r="AGL46" s="193"/>
      <c r="AGM46" s="193"/>
      <c r="AGN46" s="193"/>
      <c r="AGO46" s="193"/>
      <c r="AGP46" s="193"/>
      <c r="AGQ46" s="193"/>
      <c r="AGR46" s="193"/>
      <c r="AGS46" s="193"/>
      <c r="AGT46" s="193"/>
      <c r="AGU46" s="193"/>
      <c r="AGV46" s="193"/>
      <c r="AGW46" s="193"/>
      <c r="AGX46" s="193"/>
      <c r="AGY46" s="193"/>
      <c r="AGZ46" s="193"/>
      <c r="AHA46" s="193"/>
      <c r="AHB46" s="193"/>
      <c r="AHC46" s="193"/>
      <c r="AHD46" s="193"/>
      <c r="AHE46" s="193"/>
      <c r="AHF46" s="193"/>
      <c r="AHG46" s="193"/>
      <c r="AHH46" s="193"/>
      <c r="AHI46" s="193"/>
      <c r="AHJ46" s="193"/>
      <c r="AHK46" s="193"/>
      <c r="AHL46" s="193"/>
      <c r="AHM46" s="193"/>
      <c r="AHN46" s="193"/>
      <c r="AHO46" s="193"/>
      <c r="AHP46" s="193"/>
      <c r="AHQ46" s="193"/>
      <c r="AHR46" s="193"/>
      <c r="AHS46" s="193"/>
      <c r="AHT46" s="193"/>
      <c r="AHU46" s="193"/>
      <c r="AHV46" s="193"/>
      <c r="AHW46" s="193"/>
      <c r="AHX46" s="193"/>
      <c r="AHY46" s="193"/>
      <c r="AHZ46" s="193"/>
      <c r="AIA46" s="193"/>
      <c r="AIB46" s="193"/>
      <c r="AIC46" s="193"/>
      <c r="AID46" s="193"/>
      <c r="AIE46" s="193"/>
      <c r="AIF46" s="193"/>
      <c r="AIG46" s="193"/>
      <c r="AIH46" s="193"/>
      <c r="AII46" s="193"/>
      <c r="AIJ46" s="193"/>
      <c r="AIK46" s="193"/>
      <c r="AIL46" s="193"/>
      <c r="AIM46" s="193"/>
      <c r="AIN46" s="193"/>
      <c r="AIO46" s="193"/>
      <c r="AIP46" s="193"/>
      <c r="AIQ46" s="193"/>
      <c r="AIR46" s="193"/>
      <c r="AIS46" s="193"/>
      <c r="AIT46" s="193"/>
      <c r="AIU46" s="193"/>
      <c r="AIV46" s="193"/>
      <c r="AIW46" s="193"/>
      <c r="AIX46" s="193"/>
      <c r="AIY46" s="193"/>
      <c r="AIZ46" s="193"/>
      <c r="AJA46" s="193"/>
      <c r="AJB46" s="193"/>
      <c r="AJC46" s="193"/>
      <c r="AJD46" s="193"/>
      <c r="AJE46" s="193"/>
      <c r="AJF46" s="193"/>
      <c r="AJG46" s="193"/>
      <c r="AJH46" s="193"/>
      <c r="AJI46" s="193"/>
      <c r="AJJ46" s="193"/>
      <c r="AJK46" s="193"/>
      <c r="AJL46" s="193"/>
      <c r="AJM46" s="193"/>
      <c r="AJN46" s="193"/>
      <c r="AJO46" s="193"/>
      <c r="AJP46" s="193"/>
      <c r="AJQ46" s="193"/>
      <c r="AJR46" s="193"/>
      <c r="AJS46" s="193"/>
      <c r="AJT46" s="193"/>
      <c r="AJU46" s="193"/>
      <c r="AJV46" s="193"/>
      <c r="AJW46" s="193"/>
      <c r="AJX46" s="193"/>
      <c r="AJY46" s="193"/>
      <c r="AJZ46" s="193"/>
      <c r="AKA46" s="193"/>
      <c r="AKB46" s="193"/>
      <c r="AKC46" s="193"/>
      <c r="AKD46" s="193"/>
      <c r="AKE46" s="193"/>
      <c r="AKF46" s="193"/>
      <c r="AKG46" s="193"/>
      <c r="AKH46" s="193"/>
      <c r="AKI46" s="193"/>
      <c r="AKJ46" s="193"/>
      <c r="AKK46" s="193"/>
      <c r="AKL46" s="193"/>
      <c r="AKM46" s="193"/>
      <c r="AKN46" s="193"/>
      <c r="AKO46" s="193"/>
      <c r="AKP46" s="193"/>
      <c r="AKQ46" s="193"/>
      <c r="AKR46" s="193"/>
      <c r="AKS46" s="193"/>
      <c r="AKT46" s="193"/>
      <c r="AKU46" s="193"/>
      <c r="AKV46" s="193"/>
      <c r="AKW46" s="193"/>
      <c r="AKX46" s="193"/>
      <c r="AKY46" s="193"/>
      <c r="AKZ46" s="193"/>
      <c r="ALA46" s="193"/>
      <c r="ALB46" s="193"/>
      <c r="ALC46" s="193"/>
      <c r="ALD46" s="193"/>
      <c r="ALE46" s="193"/>
      <c r="ALF46" s="193"/>
      <c r="ALG46" s="193"/>
      <c r="ALH46" s="193"/>
      <c r="ALI46" s="193"/>
      <c r="ALJ46" s="193"/>
      <c r="ALK46" s="193"/>
      <c r="ALL46" s="193"/>
      <c r="ALM46" s="193"/>
      <c r="ALN46" s="193"/>
      <c r="ALO46" s="193"/>
      <c r="ALP46" s="193"/>
      <c r="ALQ46" s="193"/>
      <c r="ALR46" s="193"/>
      <c r="ALS46" s="193"/>
      <c r="ALT46" s="193"/>
      <c r="ALU46" s="193"/>
      <c r="ALV46" s="193"/>
      <c r="ALW46" s="193"/>
      <c r="ALX46" s="193"/>
      <c r="ALY46" s="193"/>
      <c r="ALZ46" s="193"/>
      <c r="AMA46" s="193"/>
      <c r="AMB46" s="193"/>
      <c r="AMC46" s="193"/>
      <c r="AMD46" s="193"/>
      <c r="AME46" s="193"/>
      <c r="AMF46" s="193"/>
      <c r="AMG46" s="193"/>
      <c r="AMH46" s="193"/>
      <c r="AMI46" s="193"/>
      <c r="AMJ46" s="193"/>
      <c r="AMK46" s="193"/>
      <c r="AML46" s="193"/>
      <c r="AMM46" s="193"/>
      <c r="AMN46" s="193"/>
      <c r="AMO46" s="193"/>
      <c r="AMP46" s="193"/>
      <c r="AMQ46" s="193"/>
      <c r="AMR46" s="193"/>
      <c r="AMS46" s="193"/>
      <c r="AMT46" s="193"/>
      <c r="AMU46" s="193"/>
      <c r="AMV46" s="193"/>
      <c r="AMW46" s="193"/>
      <c r="AMX46" s="193"/>
      <c r="AMY46" s="193"/>
      <c r="AMZ46" s="193"/>
      <c r="ANA46" s="193"/>
      <c r="ANB46" s="193"/>
      <c r="ANC46" s="193"/>
      <c r="AND46" s="193"/>
      <c r="ANE46" s="193"/>
      <c r="ANF46" s="193"/>
      <c r="ANG46" s="193"/>
      <c r="ANH46" s="193"/>
      <c r="ANI46" s="193"/>
      <c r="ANJ46" s="193"/>
      <c r="ANK46" s="193"/>
      <c r="ANL46" s="193"/>
      <c r="ANM46" s="193"/>
      <c r="ANN46" s="193"/>
      <c r="ANO46" s="193"/>
      <c r="ANP46" s="193"/>
      <c r="ANQ46" s="193"/>
      <c r="ANR46" s="193"/>
      <c r="ANS46" s="193"/>
      <c r="ANT46" s="193"/>
      <c r="ANU46" s="193"/>
      <c r="ANV46" s="193"/>
      <c r="ANW46" s="193"/>
      <c r="ANX46" s="193"/>
      <c r="ANY46" s="193"/>
      <c r="ANZ46" s="193"/>
      <c r="AOA46" s="193"/>
      <c r="AOB46" s="193"/>
      <c r="AOC46" s="193"/>
      <c r="AOD46" s="193"/>
      <c r="AOE46" s="193"/>
      <c r="AOF46" s="193"/>
      <c r="AOG46" s="193"/>
      <c r="AOH46" s="193"/>
      <c r="AOI46" s="193"/>
      <c r="AOJ46" s="193"/>
      <c r="AOK46" s="193"/>
      <c r="AOL46" s="193"/>
      <c r="AOM46" s="193"/>
      <c r="AON46" s="193"/>
      <c r="AOO46" s="193"/>
      <c r="AOP46" s="193"/>
      <c r="AOQ46" s="193"/>
      <c r="AOR46" s="193"/>
      <c r="AOS46" s="193"/>
      <c r="AOT46" s="193"/>
      <c r="AOU46" s="193"/>
      <c r="AOV46" s="193"/>
      <c r="AOW46" s="193"/>
      <c r="AOX46" s="193"/>
      <c r="AOY46" s="193"/>
      <c r="AOZ46" s="193"/>
      <c r="APA46" s="193"/>
      <c r="APB46" s="193"/>
      <c r="APC46" s="193"/>
      <c r="APD46" s="193"/>
      <c r="APE46" s="193"/>
      <c r="APF46" s="193"/>
      <c r="APG46" s="193"/>
      <c r="APH46" s="193"/>
      <c r="API46" s="193"/>
      <c r="APJ46" s="193"/>
      <c r="APK46" s="193"/>
      <c r="APL46" s="193"/>
      <c r="APM46" s="193"/>
      <c r="APN46" s="193"/>
      <c r="APO46" s="193"/>
      <c r="APP46" s="193"/>
      <c r="APQ46" s="193"/>
      <c r="APR46" s="193"/>
      <c r="APS46" s="193"/>
      <c r="APT46" s="193"/>
      <c r="APU46" s="193"/>
      <c r="APV46" s="193"/>
      <c r="APW46" s="193"/>
      <c r="APX46" s="193"/>
      <c r="APY46" s="193"/>
      <c r="APZ46" s="193"/>
      <c r="AQA46" s="193"/>
      <c r="AQB46" s="193"/>
      <c r="AQC46" s="193"/>
      <c r="AQD46" s="193"/>
      <c r="AQE46" s="193"/>
      <c r="AQF46" s="193"/>
      <c r="AQG46" s="193"/>
      <c r="AQH46" s="193"/>
      <c r="AQI46" s="193"/>
      <c r="AQJ46" s="193"/>
      <c r="AQK46" s="193"/>
      <c r="AQL46" s="193"/>
      <c r="AQM46" s="193"/>
      <c r="AQN46" s="193"/>
      <c r="AQO46" s="193"/>
      <c r="AQP46" s="193"/>
      <c r="AQQ46" s="193"/>
      <c r="AQR46" s="193"/>
      <c r="AQS46" s="193"/>
      <c r="AQT46" s="193"/>
      <c r="AQU46" s="193"/>
      <c r="AQV46" s="193"/>
      <c r="AQW46" s="193"/>
      <c r="AQX46" s="193"/>
      <c r="AQY46" s="193"/>
      <c r="AQZ46" s="193"/>
      <c r="ARA46" s="193"/>
      <c r="ARB46" s="193"/>
      <c r="ARC46" s="193"/>
      <c r="ARD46" s="193"/>
      <c r="ARE46" s="193"/>
      <c r="ARF46" s="193"/>
      <c r="ARG46" s="193"/>
      <c r="ARH46" s="193"/>
      <c r="ARI46" s="193"/>
      <c r="ARJ46" s="193"/>
      <c r="ARK46" s="193"/>
      <c r="ARL46" s="193"/>
      <c r="ARM46" s="193"/>
      <c r="ARN46" s="193"/>
      <c r="ARO46" s="193"/>
      <c r="ARP46" s="193"/>
      <c r="ARQ46" s="193"/>
      <c r="ARR46" s="193"/>
      <c r="ARS46" s="193"/>
      <c r="ART46" s="193"/>
      <c r="ARU46" s="193"/>
      <c r="ARV46" s="193"/>
      <c r="ARW46" s="193"/>
      <c r="ARX46" s="193"/>
      <c r="ARY46" s="193"/>
      <c r="ARZ46" s="193"/>
      <c r="ASA46" s="193"/>
      <c r="ASB46" s="193"/>
      <c r="ASC46" s="193"/>
      <c r="ASD46" s="193"/>
      <c r="ASE46" s="193"/>
      <c r="ASF46" s="193"/>
      <c r="ASG46" s="193"/>
      <c r="ASH46" s="193"/>
      <c r="ASI46" s="193"/>
      <c r="ASJ46" s="193"/>
      <c r="ASK46" s="193"/>
      <c r="ASL46" s="193"/>
      <c r="ASM46" s="193"/>
      <c r="ASN46" s="193"/>
      <c r="ASO46" s="193"/>
      <c r="ASP46" s="193"/>
      <c r="ASQ46" s="193"/>
      <c r="ASR46" s="193"/>
      <c r="ASS46" s="193"/>
      <c r="AST46" s="193"/>
      <c r="ASU46" s="193"/>
      <c r="ASV46" s="193"/>
      <c r="ASW46" s="193"/>
      <c r="ASX46" s="193"/>
      <c r="ASY46" s="193"/>
      <c r="ASZ46" s="193"/>
      <c r="ATA46" s="193"/>
      <c r="ATB46" s="193"/>
      <c r="ATC46" s="193"/>
      <c r="ATD46" s="193"/>
      <c r="ATE46" s="193"/>
      <c r="ATF46" s="193"/>
      <c r="ATG46" s="193"/>
      <c r="ATH46" s="193"/>
      <c r="ATI46" s="193"/>
      <c r="ATJ46" s="193"/>
      <c r="ATK46" s="193"/>
      <c r="ATL46" s="193"/>
      <c r="ATM46" s="193"/>
      <c r="ATN46" s="193"/>
      <c r="ATO46" s="193"/>
      <c r="ATP46" s="193"/>
      <c r="ATQ46" s="193"/>
      <c r="ATR46" s="193"/>
      <c r="ATS46" s="193"/>
      <c r="ATT46" s="193"/>
      <c r="ATU46" s="193"/>
      <c r="ATV46" s="193"/>
      <c r="ATW46" s="193"/>
      <c r="ATX46" s="193"/>
      <c r="ATY46" s="193"/>
      <c r="ATZ46" s="193"/>
      <c r="AUA46" s="193"/>
      <c r="AUB46" s="193"/>
      <c r="AUC46" s="193"/>
      <c r="AUD46" s="193"/>
      <c r="AUE46" s="193"/>
      <c r="AUF46" s="193"/>
      <c r="AUG46" s="193"/>
      <c r="AUH46" s="193"/>
      <c r="AUI46" s="193"/>
      <c r="AUJ46" s="193"/>
      <c r="AUK46" s="193"/>
      <c r="AUL46" s="193"/>
      <c r="AUM46" s="193"/>
      <c r="AUN46" s="193"/>
      <c r="AUO46" s="193"/>
      <c r="AUP46" s="193"/>
      <c r="AUQ46" s="193"/>
      <c r="AUR46" s="193"/>
      <c r="AUS46" s="193"/>
      <c r="AUT46" s="193"/>
      <c r="AUU46" s="193"/>
      <c r="AUV46" s="193"/>
      <c r="AUW46" s="193"/>
      <c r="AUX46" s="193"/>
      <c r="AUY46" s="193"/>
      <c r="AUZ46" s="193"/>
      <c r="AVA46" s="193"/>
      <c r="AVB46" s="193"/>
      <c r="AVC46" s="193"/>
      <c r="AVD46" s="193"/>
      <c r="AVE46" s="193"/>
      <c r="AVF46" s="193"/>
      <c r="AVG46" s="193"/>
      <c r="AVH46" s="193"/>
      <c r="AVI46" s="193"/>
      <c r="AVJ46" s="193"/>
      <c r="AVK46" s="193"/>
      <c r="AVL46" s="193"/>
      <c r="AVM46" s="193"/>
      <c r="AVN46" s="193"/>
      <c r="AVO46" s="193"/>
      <c r="AVP46" s="193"/>
      <c r="AVQ46" s="193"/>
      <c r="AVR46" s="193"/>
      <c r="AVS46" s="193"/>
      <c r="AVT46" s="193"/>
      <c r="AVU46" s="193"/>
      <c r="AVV46" s="193"/>
      <c r="AVW46" s="193"/>
      <c r="AVX46" s="193"/>
      <c r="AVY46" s="193"/>
      <c r="AVZ46" s="193"/>
      <c r="AWA46" s="193"/>
      <c r="AWB46" s="193"/>
      <c r="AWC46" s="193"/>
      <c r="AWD46" s="193"/>
      <c r="AWE46" s="193"/>
      <c r="AWF46" s="193"/>
      <c r="AWG46" s="193"/>
      <c r="AWH46" s="193"/>
      <c r="AWI46" s="193"/>
      <c r="AWJ46" s="193"/>
      <c r="AWK46" s="193"/>
      <c r="AWL46" s="193"/>
      <c r="AWM46" s="193"/>
      <c r="AWN46" s="193"/>
      <c r="AWO46" s="193"/>
      <c r="AWP46" s="193"/>
      <c r="AWQ46" s="193"/>
      <c r="AWR46" s="193"/>
      <c r="AWS46" s="193"/>
      <c r="AWT46" s="193"/>
      <c r="AWU46" s="193"/>
      <c r="AWV46" s="193"/>
      <c r="AWW46" s="193"/>
      <c r="AWX46" s="193"/>
      <c r="AWY46" s="193"/>
      <c r="AWZ46" s="193"/>
      <c r="AXA46" s="193"/>
      <c r="AXB46" s="193"/>
      <c r="AXC46" s="193"/>
      <c r="AXD46" s="193"/>
      <c r="AXE46" s="193"/>
      <c r="AXF46" s="193"/>
      <c r="AXG46" s="193"/>
      <c r="AXH46" s="193"/>
      <c r="AXI46" s="193"/>
      <c r="AXJ46" s="193"/>
      <c r="AXK46" s="193"/>
      <c r="AXL46" s="193"/>
      <c r="AXM46" s="193"/>
      <c r="AXN46" s="193"/>
      <c r="AXO46" s="193"/>
      <c r="AXP46" s="193"/>
      <c r="AXQ46" s="193"/>
      <c r="AXR46" s="193"/>
      <c r="AXS46" s="193"/>
      <c r="AXT46" s="193"/>
      <c r="AXU46" s="193"/>
      <c r="AXV46" s="193"/>
      <c r="AXW46" s="193"/>
      <c r="AXX46" s="193"/>
      <c r="AXY46" s="193"/>
      <c r="AXZ46" s="193"/>
      <c r="AYA46" s="193"/>
      <c r="AYB46" s="193"/>
      <c r="AYC46" s="193"/>
      <c r="AYD46" s="193"/>
      <c r="AYE46" s="193"/>
      <c r="AYF46" s="193"/>
      <c r="AYG46" s="193"/>
      <c r="AYH46" s="193"/>
      <c r="AYI46" s="193"/>
      <c r="AYJ46" s="193"/>
      <c r="AYK46" s="193"/>
      <c r="AYL46" s="193"/>
      <c r="AYM46" s="193"/>
      <c r="AYN46" s="193"/>
      <c r="AYO46" s="193"/>
      <c r="AYP46" s="193"/>
      <c r="AYQ46" s="193"/>
      <c r="AYR46" s="193"/>
      <c r="AYS46" s="193"/>
      <c r="AYT46" s="193"/>
      <c r="AYU46" s="193"/>
      <c r="AYV46" s="193"/>
      <c r="AYW46" s="193"/>
      <c r="AYX46" s="193"/>
      <c r="AYY46" s="193"/>
      <c r="AYZ46" s="193"/>
      <c r="AZA46" s="193"/>
      <c r="AZB46" s="193"/>
      <c r="AZC46" s="193"/>
      <c r="AZD46" s="193"/>
      <c r="AZE46" s="193"/>
      <c r="AZF46" s="193"/>
      <c r="AZG46" s="193"/>
      <c r="AZH46" s="193"/>
      <c r="AZI46" s="193"/>
      <c r="AZJ46" s="193"/>
      <c r="AZK46" s="193"/>
      <c r="AZL46" s="193"/>
      <c r="AZM46" s="193"/>
      <c r="AZN46" s="193"/>
      <c r="AZO46" s="193"/>
      <c r="AZP46" s="193"/>
      <c r="AZQ46" s="193"/>
      <c r="AZR46" s="193"/>
      <c r="AZS46" s="193"/>
      <c r="AZT46" s="193"/>
      <c r="AZU46" s="193"/>
      <c r="AZV46" s="193"/>
      <c r="AZW46" s="193"/>
      <c r="AZX46" s="193"/>
      <c r="AZY46" s="193"/>
      <c r="AZZ46" s="193"/>
      <c r="BAA46" s="193"/>
      <c r="BAB46" s="193"/>
      <c r="BAC46" s="193"/>
      <c r="BAD46" s="193"/>
      <c r="BAE46" s="193"/>
      <c r="BAF46" s="193"/>
      <c r="BAG46" s="193"/>
      <c r="BAH46" s="193"/>
      <c r="BAI46" s="193"/>
      <c r="BAJ46" s="193"/>
      <c r="BAK46" s="193"/>
      <c r="BAL46" s="193"/>
      <c r="BAM46" s="193"/>
      <c r="BAN46" s="193"/>
      <c r="BAO46" s="193"/>
      <c r="BAP46" s="193"/>
      <c r="BAQ46" s="193"/>
      <c r="BAR46" s="193"/>
      <c r="BAS46" s="193"/>
      <c r="BAT46" s="193"/>
      <c r="BAU46" s="193"/>
      <c r="BAV46" s="193"/>
      <c r="BAW46" s="193"/>
      <c r="BAX46" s="193"/>
      <c r="BAY46" s="193"/>
      <c r="BAZ46" s="193"/>
      <c r="BBA46" s="193"/>
      <c r="BBB46" s="193"/>
      <c r="BBC46" s="193"/>
      <c r="BBD46" s="193"/>
      <c r="BBE46" s="193"/>
      <c r="BBF46" s="193"/>
      <c r="BBG46" s="193"/>
      <c r="BBH46" s="193"/>
      <c r="BBI46" s="193"/>
      <c r="BBJ46" s="193"/>
      <c r="BBK46" s="193"/>
      <c r="BBL46" s="193"/>
      <c r="BBM46" s="193"/>
      <c r="BBN46" s="193"/>
      <c r="BBO46" s="193"/>
      <c r="BBP46" s="193"/>
      <c r="BBQ46" s="193"/>
      <c r="BBR46" s="193"/>
      <c r="BBS46" s="193"/>
      <c r="BBT46" s="193"/>
      <c r="BBU46" s="193"/>
      <c r="BBV46" s="193"/>
      <c r="BBW46" s="193"/>
      <c r="BBX46" s="193"/>
      <c r="BBY46" s="193"/>
      <c r="BBZ46" s="193"/>
      <c r="BCA46" s="193"/>
      <c r="BCB46" s="193"/>
      <c r="BCC46" s="193"/>
      <c r="BCD46" s="193"/>
      <c r="BCE46" s="193"/>
      <c r="BCF46" s="193"/>
      <c r="BCG46" s="193"/>
      <c r="BCH46" s="193"/>
      <c r="BCI46" s="193"/>
      <c r="BCJ46" s="193"/>
      <c r="BCK46" s="193"/>
      <c r="BCL46" s="193"/>
      <c r="BCM46" s="193"/>
      <c r="BCN46" s="193"/>
      <c r="BCO46" s="193"/>
      <c r="BCP46" s="193"/>
      <c r="BCQ46" s="193"/>
      <c r="BCR46" s="193"/>
      <c r="BCS46" s="193"/>
      <c r="BCT46" s="193"/>
      <c r="BCU46" s="193"/>
      <c r="BCV46" s="193"/>
      <c r="BCW46" s="193"/>
      <c r="BCX46" s="193"/>
      <c r="BCY46" s="193"/>
      <c r="BCZ46" s="193"/>
      <c r="BDA46" s="193"/>
      <c r="BDB46" s="193"/>
      <c r="BDC46" s="193"/>
      <c r="BDD46" s="193"/>
      <c r="BDE46" s="193"/>
      <c r="BDF46" s="193"/>
      <c r="BDG46" s="193"/>
      <c r="BDH46" s="193"/>
      <c r="BDI46" s="193"/>
      <c r="BDJ46" s="193"/>
      <c r="BDK46" s="193"/>
      <c r="BDL46" s="193"/>
      <c r="BDM46" s="193"/>
      <c r="BDN46" s="193"/>
      <c r="BDO46" s="193"/>
      <c r="BDP46" s="193"/>
      <c r="BDQ46" s="193"/>
      <c r="BDR46" s="193"/>
      <c r="BDS46" s="193"/>
      <c r="BDT46" s="193"/>
      <c r="BDU46" s="193"/>
      <c r="BDV46" s="193"/>
      <c r="BDW46" s="193"/>
      <c r="BDX46" s="193"/>
      <c r="BDY46" s="193"/>
      <c r="BDZ46" s="193"/>
      <c r="BEA46" s="193"/>
      <c r="BEB46" s="193"/>
      <c r="BEC46" s="193"/>
      <c r="BED46" s="193"/>
      <c r="BEE46" s="193"/>
      <c r="BEF46" s="193"/>
      <c r="BEG46" s="193"/>
      <c r="BEH46" s="193"/>
      <c r="BEI46" s="193"/>
      <c r="BEJ46" s="193"/>
      <c r="BEK46" s="193"/>
      <c r="BEL46" s="193"/>
      <c r="BEM46" s="193"/>
      <c r="BEN46" s="193"/>
      <c r="BEO46" s="193"/>
      <c r="BEP46" s="193"/>
      <c r="BEQ46" s="193"/>
      <c r="BER46" s="193"/>
      <c r="BES46" s="193"/>
      <c r="BET46" s="193"/>
      <c r="BEU46" s="193"/>
      <c r="BEV46" s="193"/>
      <c r="BEW46" s="193"/>
      <c r="BEX46" s="193"/>
      <c r="BEY46" s="193"/>
      <c r="BEZ46" s="193"/>
      <c r="BFA46" s="193"/>
      <c r="BFB46" s="193"/>
      <c r="BFC46" s="193"/>
      <c r="BFD46" s="193"/>
      <c r="BFE46" s="193"/>
      <c r="BFF46" s="193"/>
      <c r="BFG46" s="193"/>
      <c r="BFH46" s="193"/>
      <c r="BFI46" s="193"/>
      <c r="BFJ46" s="193"/>
      <c r="BFK46" s="193"/>
      <c r="BFL46" s="193"/>
      <c r="BFM46" s="193"/>
      <c r="BFN46" s="193"/>
      <c r="BFO46" s="193"/>
      <c r="BFP46" s="193"/>
      <c r="BFQ46" s="193"/>
      <c r="BFR46" s="193"/>
      <c r="BFS46" s="193"/>
      <c r="BFT46" s="193"/>
      <c r="BFU46" s="193"/>
      <c r="BFV46" s="193"/>
      <c r="BFW46" s="193"/>
      <c r="BFX46" s="193"/>
      <c r="BFY46" s="193"/>
      <c r="BFZ46" s="193"/>
      <c r="BGA46" s="193"/>
      <c r="BGB46" s="193"/>
      <c r="BGC46" s="193"/>
      <c r="BGD46" s="193"/>
      <c r="BGE46" s="193"/>
      <c r="BGF46" s="193"/>
      <c r="BGG46" s="193"/>
      <c r="BGH46" s="193"/>
      <c r="BGI46" s="193"/>
      <c r="BGJ46" s="193"/>
      <c r="BGK46" s="193"/>
      <c r="BGL46" s="193"/>
      <c r="BGM46" s="193"/>
      <c r="BGN46" s="193"/>
      <c r="BGO46" s="193"/>
      <c r="BGP46" s="193"/>
      <c r="BGQ46" s="193"/>
      <c r="BGR46" s="193"/>
      <c r="BGS46" s="193"/>
      <c r="BGT46" s="193"/>
      <c r="BGU46" s="193"/>
      <c r="BGV46" s="193"/>
      <c r="BGW46" s="193"/>
      <c r="BGX46" s="193"/>
      <c r="BGY46" s="193"/>
      <c r="BGZ46" s="193"/>
      <c r="BHA46" s="193"/>
      <c r="BHB46" s="193"/>
      <c r="BHC46" s="193"/>
      <c r="BHD46" s="193"/>
      <c r="BHE46" s="193"/>
      <c r="BHF46" s="193"/>
      <c r="BHG46" s="193"/>
      <c r="BHH46" s="193"/>
      <c r="BHI46" s="193"/>
      <c r="BHJ46" s="193"/>
      <c r="BHK46" s="193"/>
      <c r="BHL46" s="193"/>
      <c r="BHM46" s="193"/>
      <c r="BHN46" s="193"/>
      <c r="BHO46" s="193"/>
      <c r="BHP46" s="193"/>
      <c r="BHQ46" s="193"/>
      <c r="BHR46" s="193"/>
      <c r="BHS46" s="193"/>
      <c r="BHT46" s="193"/>
      <c r="BHU46" s="193"/>
      <c r="BHV46" s="193"/>
      <c r="BHW46" s="193"/>
      <c r="BHX46" s="193"/>
      <c r="BHY46" s="193"/>
      <c r="BHZ46" s="193"/>
      <c r="BIA46" s="193"/>
      <c r="BIB46" s="193"/>
      <c r="BIC46" s="193"/>
      <c r="BID46" s="193"/>
      <c r="BIE46" s="193"/>
      <c r="BIF46" s="193"/>
      <c r="BIG46" s="193"/>
      <c r="BIH46" s="193"/>
      <c r="BII46" s="193"/>
      <c r="BIJ46" s="193"/>
      <c r="BIK46" s="193"/>
      <c r="BIL46" s="193"/>
      <c r="BIM46" s="193"/>
      <c r="BIN46" s="193"/>
      <c r="BIO46" s="193"/>
      <c r="BIP46" s="193"/>
      <c r="BIQ46" s="193"/>
      <c r="BIR46" s="193"/>
      <c r="BIS46" s="193"/>
      <c r="BIT46" s="193"/>
      <c r="BIU46" s="193"/>
      <c r="BIV46" s="193"/>
      <c r="BIW46" s="193"/>
      <c r="BIX46" s="193"/>
      <c r="BIY46" s="193"/>
      <c r="BIZ46" s="193"/>
      <c r="BJA46" s="193"/>
      <c r="BJB46" s="193"/>
      <c r="BJC46" s="193"/>
      <c r="BJD46" s="193"/>
      <c r="BJE46" s="193"/>
      <c r="BJF46" s="193"/>
      <c r="BJG46" s="193"/>
      <c r="BJH46" s="193"/>
      <c r="BJI46" s="193"/>
      <c r="BJJ46" s="193"/>
      <c r="BJK46" s="193"/>
      <c r="BJL46" s="193"/>
      <c r="BJM46" s="193"/>
      <c r="BJN46" s="193"/>
      <c r="BJO46" s="193"/>
      <c r="BJP46" s="193"/>
      <c r="BJQ46" s="193"/>
      <c r="BJR46" s="193"/>
      <c r="BJS46" s="193"/>
      <c r="BJT46" s="193"/>
      <c r="BJU46" s="193"/>
      <c r="BJV46" s="193"/>
      <c r="BJW46" s="193"/>
      <c r="BJX46" s="193"/>
      <c r="BJY46" s="193"/>
      <c r="BJZ46" s="193"/>
      <c r="BKA46" s="193"/>
      <c r="BKB46" s="193"/>
      <c r="BKC46" s="193"/>
      <c r="BKD46" s="193"/>
      <c r="BKE46" s="193"/>
      <c r="BKF46" s="193"/>
      <c r="BKG46" s="193"/>
      <c r="BKH46" s="193"/>
      <c r="BKI46" s="193"/>
      <c r="BKJ46" s="193"/>
      <c r="BKK46" s="193"/>
      <c r="BKL46" s="193"/>
      <c r="BKM46" s="193"/>
      <c r="BKN46" s="193"/>
      <c r="BKO46" s="193"/>
      <c r="BKP46" s="193"/>
      <c r="BKQ46" s="193"/>
      <c r="BKR46" s="193"/>
      <c r="BKS46" s="193"/>
      <c r="BKT46" s="193"/>
      <c r="BKU46" s="193"/>
      <c r="BKV46" s="193"/>
      <c r="BKW46" s="193"/>
      <c r="BKX46" s="193"/>
      <c r="BKY46" s="193"/>
      <c r="BKZ46" s="193"/>
      <c r="BLA46" s="193"/>
      <c r="BLB46" s="193"/>
      <c r="BLC46" s="193"/>
      <c r="BLD46" s="193"/>
      <c r="BLE46" s="193"/>
      <c r="BLF46" s="193"/>
      <c r="BLG46" s="193"/>
      <c r="BLH46" s="193"/>
      <c r="BLI46" s="193"/>
      <c r="BLJ46" s="193"/>
      <c r="BLK46" s="193"/>
      <c r="BLL46" s="193"/>
      <c r="BLM46" s="193"/>
      <c r="BLN46" s="193"/>
      <c r="BLO46" s="193"/>
      <c r="BLP46" s="193"/>
      <c r="BLQ46" s="193"/>
      <c r="BLR46" s="193"/>
      <c r="BLS46" s="193"/>
      <c r="BLT46" s="193"/>
      <c r="BLU46" s="193"/>
      <c r="BLV46" s="193"/>
      <c r="BLW46" s="193"/>
      <c r="BLX46" s="193"/>
      <c r="BLY46" s="193"/>
      <c r="BLZ46" s="193"/>
      <c r="BMA46" s="193"/>
      <c r="BMB46" s="193"/>
      <c r="BMC46" s="193"/>
      <c r="BMD46" s="193"/>
      <c r="BME46" s="193"/>
      <c r="BMF46" s="193"/>
      <c r="BMG46" s="193"/>
      <c r="BMH46" s="193"/>
      <c r="BMI46" s="193"/>
      <c r="BMJ46" s="193"/>
      <c r="BMK46" s="193"/>
      <c r="BML46" s="193"/>
      <c r="BMM46" s="193"/>
      <c r="BMN46" s="193"/>
      <c r="BMO46" s="193"/>
      <c r="BMP46" s="193"/>
      <c r="BMQ46" s="193"/>
      <c r="BMR46" s="193"/>
      <c r="BMS46" s="193"/>
      <c r="BMT46" s="193"/>
      <c r="BMU46" s="193"/>
      <c r="BMV46" s="193"/>
      <c r="BMW46" s="193"/>
      <c r="BMX46" s="193"/>
      <c r="BMY46" s="193"/>
      <c r="BMZ46" s="193"/>
      <c r="BNA46" s="193"/>
      <c r="BNB46" s="193"/>
      <c r="BNC46" s="193"/>
      <c r="BND46" s="193"/>
      <c r="BNE46" s="193"/>
      <c r="BNF46" s="193"/>
      <c r="BNG46" s="193"/>
      <c r="BNH46" s="193"/>
      <c r="BNI46" s="193"/>
      <c r="BNJ46" s="193"/>
      <c r="BNK46" s="193"/>
      <c r="BNL46" s="193"/>
      <c r="BNM46" s="193"/>
      <c r="BNN46" s="193"/>
      <c r="BNO46" s="193"/>
      <c r="BNP46" s="193"/>
      <c r="BNQ46" s="193"/>
      <c r="BNR46" s="193"/>
      <c r="BNS46" s="193"/>
      <c r="BNT46" s="193"/>
      <c r="BNU46" s="193"/>
      <c r="BNV46" s="193"/>
      <c r="BNW46" s="193"/>
      <c r="BNX46" s="193"/>
      <c r="BNY46" s="193"/>
      <c r="BNZ46" s="193"/>
      <c r="BOA46" s="193"/>
      <c r="BOB46" s="193"/>
      <c r="BOC46" s="193"/>
      <c r="BOD46" s="193"/>
      <c r="BOE46" s="193"/>
      <c r="BOF46" s="193"/>
      <c r="BOG46" s="193"/>
      <c r="BOH46" s="193"/>
      <c r="BOI46" s="193"/>
      <c r="BOJ46" s="193"/>
      <c r="BOK46" s="193"/>
      <c r="BOL46" s="193"/>
      <c r="BOM46" s="193"/>
      <c r="BON46" s="193"/>
      <c r="BOO46" s="193"/>
      <c r="BOP46" s="193"/>
      <c r="BOQ46" s="193"/>
      <c r="BOR46" s="193"/>
      <c r="BOS46" s="193"/>
      <c r="BOT46" s="193"/>
      <c r="BOU46" s="193"/>
      <c r="BOV46" s="193"/>
      <c r="BOW46" s="193"/>
      <c r="BOX46" s="193"/>
      <c r="BOY46" s="193"/>
      <c r="BOZ46" s="193"/>
      <c r="BPA46" s="193"/>
      <c r="BPB46" s="193"/>
      <c r="BPC46" s="193"/>
      <c r="BPD46" s="193"/>
      <c r="BPE46" s="193"/>
      <c r="BPF46" s="193"/>
      <c r="BPG46" s="193"/>
      <c r="BPH46" s="193"/>
      <c r="BPI46" s="193"/>
      <c r="BPJ46" s="193"/>
      <c r="BPK46" s="193"/>
      <c r="BPL46" s="193"/>
      <c r="BPM46" s="193"/>
      <c r="BPN46" s="193"/>
      <c r="BPO46" s="193"/>
      <c r="BPP46" s="193"/>
      <c r="BPQ46" s="193"/>
      <c r="BPR46" s="193"/>
      <c r="BPS46" s="193"/>
      <c r="BPT46" s="193"/>
      <c r="BPU46" s="193"/>
      <c r="BPV46" s="193"/>
      <c r="BPW46" s="193"/>
      <c r="BPX46" s="193"/>
      <c r="BPY46" s="193"/>
      <c r="BPZ46" s="193"/>
      <c r="BQA46" s="193"/>
      <c r="BQB46" s="193"/>
      <c r="BQC46" s="193"/>
      <c r="BQD46" s="193"/>
      <c r="BQE46" s="193"/>
      <c r="BQF46" s="193"/>
      <c r="BQG46" s="193"/>
      <c r="BQH46" s="193"/>
      <c r="BQI46" s="193"/>
      <c r="BQJ46" s="193"/>
      <c r="BQK46" s="193"/>
      <c r="BQL46" s="193"/>
      <c r="BQM46" s="193"/>
      <c r="BQN46" s="193"/>
      <c r="BQO46" s="193"/>
      <c r="BQP46" s="193"/>
      <c r="BQQ46" s="193"/>
      <c r="BQR46" s="193"/>
      <c r="BQS46" s="193"/>
      <c r="BQT46" s="193"/>
      <c r="BQU46" s="193"/>
      <c r="BQV46" s="193"/>
      <c r="BQW46" s="193"/>
      <c r="BQX46" s="193"/>
      <c r="BQY46" s="193"/>
      <c r="BQZ46" s="193"/>
      <c r="BRA46" s="193"/>
      <c r="BRB46" s="193"/>
      <c r="BRC46" s="193"/>
      <c r="BRD46" s="193"/>
      <c r="BRE46" s="193"/>
      <c r="BRF46" s="193"/>
      <c r="BRG46" s="193"/>
      <c r="BRH46" s="193"/>
      <c r="BRI46" s="193"/>
      <c r="BRJ46" s="193"/>
      <c r="BRK46" s="193"/>
      <c r="BRL46" s="193"/>
      <c r="BRM46" s="193"/>
      <c r="BRN46" s="193"/>
      <c r="BRO46" s="193"/>
      <c r="BRP46" s="193"/>
      <c r="BRQ46" s="193"/>
      <c r="BRR46" s="193"/>
      <c r="BRS46" s="193"/>
      <c r="BRT46" s="193"/>
      <c r="BRU46" s="193"/>
      <c r="BRV46" s="193"/>
      <c r="BRW46" s="193"/>
      <c r="BRX46" s="193"/>
      <c r="BRY46" s="193"/>
      <c r="BRZ46" s="193"/>
      <c r="BSA46" s="193"/>
      <c r="BSB46" s="193"/>
      <c r="BSC46" s="193"/>
      <c r="BSD46" s="193"/>
      <c r="BSE46" s="193"/>
      <c r="BSF46" s="193"/>
      <c r="BSG46" s="193"/>
      <c r="BSH46" s="193"/>
      <c r="BSI46" s="193"/>
      <c r="BSJ46" s="193"/>
      <c r="BSK46" s="193"/>
      <c r="BSL46" s="193"/>
      <c r="BSM46" s="193"/>
      <c r="BSN46" s="193"/>
      <c r="BSO46" s="193"/>
      <c r="BSP46" s="193"/>
      <c r="BSQ46" s="193"/>
      <c r="BSR46" s="193"/>
      <c r="BSS46" s="193"/>
      <c r="BST46" s="193"/>
      <c r="BSU46" s="193"/>
      <c r="BSV46" s="193"/>
      <c r="BSW46" s="193"/>
      <c r="BSX46" s="193"/>
      <c r="BSY46" s="193"/>
      <c r="BSZ46" s="193"/>
      <c r="BTA46" s="193"/>
      <c r="BTB46" s="193"/>
      <c r="BTC46" s="193"/>
      <c r="BTD46" s="193"/>
      <c r="BTE46" s="193"/>
      <c r="BTF46" s="193"/>
      <c r="BTG46" s="193"/>
      <c r="BTH46" s="193"/>
      <c r="BTI46" s="193"/>
      <c r="BTJ46" s="193"/>
      <c r="BTK46" s="193"/>
      <c r="BTL46" s="193"/>
      <c r="BTM46" s="193"/>
      <c r="BTN46" s="193"/>
      <c r="BTO46" s="193"/>
      <c r="BTP46" s="193"/>
      <c r="BTQ46" s="193"/>
      <c r="BTR46" s="193"/>
      <c r="BTS46" s="193"/>
      <c r="BTT46" s="193"/>
      <c r="BTU46" s="193"/>
      <c r="BTV46" s="193"/>
      <c r="BTW46" s="193"/>
      <c r="BTX46" s="193"/>
      <c r="BTY46" s="193"/>
      <c r="BTZ46" s="193"/>
      <c r="BUA46" s="193"/>
      <c r="BUB46" s="193"/>
      <c r="BUC46" s="193"/>
      <c r="BUD46" s="193"/>
      <c r="BUE46" s="193"/>
      <c r="BUF46" s="193"/>
      <c r="BUG46" s="193"/>
      <c r="BUH46" s="193"/>
      <c r="BUI46" s="193"/>
      <c r="BUJ46" s="193"/>
      <c r="BUK46" s="193"/>
      <c r="BUL46" s="193"/>
      <c r="BUM46" s="193"/>
      <c r="BUN46" s="193"/>
      <c r="BUO46" s="193"/>
      <c r="BUP46" s="193"/>
      <c r="BUQ46" s="193"/>
      <c r="BUR46" s="193"/>
      <c r="BUS46" s="193"/>
      <c r="BUT46" s="193"/>
      <c r="BUU46" s="193"/>
      <c r="BUV46" s="193"/>
      <c r="BUW46" s="193"/>
      <c r="BUX46" s="193"/>
      <c r="BUY46" s="193"/>
      <c r="BUZ46" s="193"/>
      <c r="BVA46" s="193"/>
      <c r="BVB46" s="193"/>
      <c r="BVC46" s="193"/>
      <c r="BVD46" s="193"/>
      <c r="BVE46" s="193"/>
      <c r="BVF46" s="193"/>
      <c r="BVG46" s="193"/>
      <c r="BVH46" s="193"/>
      <c r="BVI46" s="193"/>
      <c r="BVJ46" s="193"/>
      <c r="BVK46" s="193"/>
      <c r="BVL46" s="193"/>
      <c r="BVM46" s="193"/>
      <c r="BVN46" s="193"/>
      <c r="BVO46" s="193"/>
      <c r="BVP46" s="193"/>
      <c r="BVQ46" s="193"/>
      <c r="BVR46" s="193"/>
      <c r="BVS46" s="193"/>
      <c r="BVT46" s="193"/>
      <c r="BVU46" s="193"/>
      <c r="BVV46" s="193"/>
      <c r="BVW46" s="193"/>
      <c r="BVX46" s="193"/>
      <c r="BVY46" s="193"/>
      <c r="BVZ46" s="193"/>
      <c r="BWA46" s="193"/>
      <c r="BWB46" s="193"/>
      <c r="BWC46" s="193"/>
      <c r="BWD46" s="193"/>
      <c r="BWE46" s="193"/>
      <c r="BWF46" s="193"/>
      <c r="BWG46" s="193"/>
      <c r="BWH46" s="193"/>
      <c r="BWI46" s="193"/>
      <c r="BWJ46" s="193"/>
      <c r="BWK46" s="193"/>
      <c r="BWL46" s="193"/>
      <c r="BWM46" s="193"/>
      <c r="BWN46" s="193"/>
      <c r="BWO46" s="193"/>
      <c r="BWP46" s="193"/>
      <c r="BWQ46" s="193"/>
      <c r="BWR46" s="193"/>
      <c r="BWS46" s="193"/>
      <c r="BWT46" s="193"/>
      <c r="BWU46" s="193"/>
      <c r="BWV46" s="193"/>
      <c r="BWW46" s="193"/>
      <c r="BWX46" s="193"/>
      <c r="BWY46" s="193"/>
      <c r="BWZ46" s="193"/>
      <c r="BXA46" s="193"/>
      <c r="BXB46" s="193"/>
      <c r="BXC46" s="193"/>
      <c r="BXD46" s="193"/>
      <c r="BXE46" s="193"/>
      <c r="BXF46" s="193"/>
      <c r="BXG46" s="193"/>
      <c r="BXH46" s="193"/>
      <c r="BXI46" s="193"/>
      <c r="BXJ46" s="193"/>
      <c r="BXK46" s="193"/>
      <c r="BXL46" s="193"/>
      <c r="BXM46" s="193"/>
      <c r="BXN46" s="193"/>
      <c r="BXO46" s="193"/>
      <c r="BXP46" s="193"/>
      <c r="BXQ46" s="193"/>
      <c r="BXR46" s="193"/>
      <c r="BXS46" s="193"/>
      <c r="BXT46" s="193"/>
      <c r="BXU46" s="193"/>
      <c r="BXV46" s="193"/>
      <c r="BXW46" s="193"/>
      <c r="BXX46" s="193"/>
      <c r="BXY46" s="193"/>
      <c r="BXZ46" s="193"/>
      <c r="BYA46" s="193"/>
      <c r="BYB46" s="193"/>
      <c r="BYC46" s="193"/>
      <c r="BYD46" s="193"/>
      <c r="BYE46" s="193"/>
      <c r="BYF46" s="193"/>
      <c r="BYG46" s="193"/>
      <c r="BYH46" s="193"/>
      <c r="BYI46" s="193"/>
      <c r="BYJ46" s="193"/>
      <c r="BYK46" s="193"/>
      <c r="BYL46" s="193"/>
      <c r="BYM46" s="193"/>
      <c r="BYN46" s="193"/>
      <c r="BYO46" s="193"/>
      <c r="BYP46" s="193"/>
      <c r="BYQ46" s="193"/>
      <c r="BYR46" s="193"/>
      <c r="BYS46" s="193"/>
      <c r="BYT46" s="193"/>
      <c r="BYU46" s="193"/>
      <c r="BYV46" s="193"/>
      <c r="BYW46" s="193"/>
      <c r="BYX46" s="193"/>
      <c r="BYY46" s="193"/>
      <c r="BYZ46" s="193"/>
      <c r="BZA46" s="193"/>
      <c r="BZB46" s="193"/>
      <c r="BZC46" s="193"/>
      <c r="BZD46" s="193"/>
      <c r="BZE46" s="193"/>
      <c r="BZF46" s="193"/>
      <c r="BZG46" s="193"/>
      <c r="BZH46" s="193"/>
      <c r="BZI46" s="193"/>
      <c r="BZJ46" s="193"/>
      <c r="BZK46" s="193"/>
      <c r="BZL46" s="193"/>
      <c r="BZM46" s="193"/>
      <c r="BZN46" s="193"/>
      <c r="BZO46" s="193"/>
      <c r="BZP46" s="193"/>
      <c r="BZQ46" s="193"/>
      <c r="BZR46" s="193"/>
      <c r="BZS46" s="193"/>
      <c r="BZT46" s="193"/>
      <c r="BZU46" s="193"/>
      <c r="BZV46" s="193"/>
      <c r="BZW46" s="193"/>
      <c r="BZX46" s="193"/>
      <c r="BZY46" s="193"/>
      <c r="BZZ46" s="193"/>
      <c r="CAA46" s="193"/>
      <c r="CAB46" s="193"/>
      <c r="CAC46" s="193"/>
      <c r="CAD46" s="193"/>
      <c r="CAE46" s="193"/>
      <c r="CAF46" s="193"/>
      <c r="CAG46" s="193"/>
      <c r="CAH46" s="193"/>
      <c r="CAI46" s="193"/>
      <c r="CAJ46" s="193"/>
      <c r="CAK46" s="193"/>
      <c r="CAL46" s="193"/>
      <c r="CAM46" s="193"/>
      <c r="CAN46" s="193"/>
      <c r="CAO46" s="193"/>
      <c r="CAP46" s="193"/>
      <c r="CAQ46" s="193"/>
      <c r="CAR46" s="193"/>
      <c r="CAS46" s="193"/>
      <c r="CAT46" s="193"/>
      <c r="CAU46" s="193"/>
      <c r="CAV46" s="193"/>
      <c r="CAW46" s="193"/>
      <c r="CAX46" s="193"/>
      <c r="CAY46" s="193"/>
      <c r="CAZ46" s="193"/>
      <c r="CBA46" s="193"/>
      <c r="CBB46" s="193"/>
      <c r="CBC46" s="193"/>
      <c r="CBD46" s="193"/>
      <c r="CBE46" s="193"/>
      <c r="CBF46" s="193"/>
      <c r="CBG46" s="193"/>
      <c r="CBH46" s="193"/>
      <c r="CBI46" s="193"/>
      <c r="CBJ46" s="193"/>
      <c r="CBK46" s="193"/>
      <c r="CBL46" s="193"/>
      <c r="CBM46" s="193"/>
      <c r="CBN46" s="193"/>
      <c r="CBO46" s="193"/>
      <c r="CBP46" s="193"/>
      <c r="CBQ46" s="193"/>
      <c r="CBR46" s="193"/>
      <c r="CBS46" s="193"/>
      <c r="CBT46" s="193"/>
      <c r="CBU46" s="193"/>
      <c r="CBV46" s="193"/>
      <c r="CBW46" s="193"/>
      <c r="CBX46" s="193"/>
      <c r="CBY46" s="193"/>
      <c r="CBZ46" s="193"/>
      <c r="CCA46" s="193"/>
      <c r="CCB46" s="193"/>
      <c r="CCC46" s="193"/>
      <c r="CCD46" s="193"/>
      <c r="CCE46" s="193"/>
      <c r="CCF46" s="193"/>
      <c r="CCG46" s="193"/>
      <c r="CCH46" s="193"/>
      <c r="CCI46" s="193"/>
      <c r="CCJ46" s="193"/>
      <c r="CCK46" s="193"/>
      <c r="CCL46" s="193"/>
      <c r="CCM46" s="193"/>
      <c r="CCN46" s="193"/>
      <c r="CCO46" s="193"/>
      <c r="CCP46" s="193"/>
      <c r="CCQ46" s="193"/>
      <c r="CCR46" s="193"/>
      <c r="CCS46" s="193"/>
      <c r="CCT46" s="193"/>
      <c r="CCU46" s="193"/>
      <c r="CCV46" s="193"/>
      <c r="CCW46" s="193"/>
      <c r="CCX46" s="193"/>
      <c r="CCY46" s="193"/>
      <c r="CCZ46" s="193"/>
      <c r="CDA46" s="193"/>
      <c r="CDB46" s="193"/>
      <c r="CDC46" s="193"/>
      <c r="CDD46" s="193"/>
      <c r="CDE46" s="193"/>
      <c r="CDF46" s="193"/>
      <c r="CDG46" s="193"/>
      <c r="CDH46" s="193"/>
      <c r="CDI46" s="193"/>
      <c r="CDJ46" s="193"/>
      <c r="CDK46" s="193"/>
      <c r="CDL46" s="193"/>
      <c r="CDM46" s="193"/>
      <c r="CDN46" s="193"/>
      <c r="CDO46" s="193"/>
      <c r="CDP46" s="193"/>
      <c r="CDQ46" s="193"/>
      <c r="CDR46" s="193"/>
      <c r="CDS46" s="193"/>
      <c r="CDT46" s="193"/>
      <c r="CDU46" s="193"/>
      <c r="CDV46" s="193"/>
      <c r="CDW46" s="193"/>
      <c r="CDX46" s="193"/>
      <c r="CDY46" s="193"/>
      <c r="CDZ46" s="193"/>
      <c r="CEA46" s="193"/>
      <c r="CEB46" s="193"/>
      <c r="CEC46" s="193"/>
      <c r="CED46" s="193"/>
      <c r="CEE46" s="193"/>
      <c r="CEF46" s="193"/>
      <c r="CEG46" s="193"/>
      <c r="CEH46" s="193"/>
      <c r="CEI46" s="193"/>
      <c r="CEJ46" s="193"/>
      <c r="CEK46" s="193"/>
      <c r="CEL46" s="193"/>
      <c r="CEM46" s="193"/>
      <c r="CEN46" s="193"/>
      <c r="CEO46" s="193"/>
      <c r="CEP46" s="193"/>
      <c r="CEQ46" s="193"/>
      <c r="CER46" s="193"/>
      <c r="CES46" s="193"/>
      <c r="CET46" s="193"/>
      <c r="CEU46" s="193"/>
      <c r="CEV46" s="193"/>
      <c r="CEW46" s="193"/>
      <c r="CEX46" s="193"/>
      <c r="CEY46" s="193"/>
      <c r="CEZ46" s="193"/>
      <c r="CFA46" s="193"/>
      <c r="CFB46" s="193"/>
      <c r="CFC46" s="193"/>
      <c r="CFD46" s="193"/>
      <c r="CFE46" s="193"/>
      <c r="CFF46" s="193"/>
      <c r="CFG46" s="193"/>
      <c r="CFH46" s="193"/>
      <c r="CFI46" s="193"/>
      <c r="CFJ46" s="193"/>
      <c r="CFK46" s="193"/>
      <c r="CFL46" s="193"/>
      <c r="CFM46" s="193"/>
      <c r="CFN46" s="193"/>
      <c r="CFO46" s="193"/>
      <c r="CFP46" s="193"/>
      <c r="CFQ46" s="193"/>
      <c r="CFR46" s="193"/>
      <c r="CFS46" s="193"/>
      <c r="CFT46" s="193"/>
      <c r="CFU46" s="193"/>
      <c r="CFV46" s="193"/>
      <c r="CFW46" s="193"/>
      <c r="CFX46" s="193"/>
      <c r="CFY46" s="193"/>
      <c r="CFZ46" s="193"/>
      <c r="CGA46" s="193"/>
      <c r="CGB46" s="193"/>
      <c r="CGC46" s="193"/>
      <c r="CGD46" s="193"/>
      <c r="CGE46" s="193"/>
      <c r="CGF46" s="193"/>
      <c r="CGG46" s="193"/>
      <c r="CGH46" s="193"/>
      <c r="CGI46" s="193"/>
      <c r="CGJ46" s="193"/>
      <c r="CGK46" s="193"/>
      <c r="CGL46" s="193"/>
      <c r="CGM46" s="193"/>
      <c r="CGN46" s="193"/>
      <c r="CGO46" s="193"/>
      <c r="CGP46" s="193"/>
      <c r="CGQ46" s="193"/>
      <c r="CGR46" s="193"/>
      <c r="CGS46" s="193"/>
      <c r="CGT46" s="193"/>
      <c r="CGU46" s="193"/>
      <c r="CGV46" s="193"/>
      <c r="CGW46" s="193"/>
      <c r="CGX46" s="193"/>
      <c r="CGY46" s="193"/>
      <c r="CGZ46" s="193"/>
      <c r="CHA46" s="193"/>
      <c r="CHB46" s="193"/>
      <c r="CHC46" s="193"/>
      <c r="CHD46" s="193"/>
      <c r="CHE46" s="193"/>
      <c r="CHF46" s="193"/>
      <c r="CHG46" s="193"/>
      <c r="CHH46" s="193"/>
      <c r="CHI46" s="193"/>
      <c r="CHJ46" s="193"/>
      <c r="CHK46" s="193"/>
      <c r="CHL46" s="193"/>
      <c r="CHM46" s="193"/>
      <c r="CHN46" s="193"/>
      <c r="CHO46" s="193"/>
      <c r="CHP46" s="193"/>
      <c r="CHQ46" s="193"/>
      <c r="CHR46" s="193"/>
      <c r="CHS46" s="193"/>
      <c r="CHT46" s="193"/>
      <c r="CHU46" s="193"/>
      <c r="CHV46" s="193"/>
      <c r="CHW46" s="193"/>
      <c r="CHX46" s="193"/>
      <c r="CHY46" s="193"/>
      <c r="CHZ46" s="193"/>
      <c r="CIA46" s="193"/>
      <c r="CIB46" s="193"/>
      <c r="CIC46" s="193"/>
      <c r="CID46" s="193"/>
      <c r="CIE46" s="193"/>
      <c r="CIF46" s="193"/>
      <c r="CIG46" s="193"/>
      <c r="CIH46" s="193"/>
      <c r="CII46" s="193"/>
      <c r="CIJ46" s="193"/>
      <c r="CIK46" s="193"/>
      <c r="CIL46" s="193"/>
      <c r="CIM46" s="193"/>
      <c r="CIN46" s="193"/>
      <c r="CIO46" s="193"/>
      <c r="CIP46" s="193"/>
      <c r="CIQ46" s="193"/>
      <c r="CIR46" s="193"/>
      <c r="CIS46" s="193"/>
      <c r="CIT46" s="193"/>
      <c r="CIU46" s="193"/>
      <c r="CIV46" s="193"/>
      <c r="CIW46" s="193"/>
      <c r="CIX46" s="193"/>
      <c r="CIY46" s="193"/>
      <c r="CIZ46" s="193"/>
      <c r="CJA46" s="193"/>
      <c r="CJB46" s="193"/>
      <c r="CJC46" s="193"/>
      <c r="CJD46" s="193"/>
      <c r="CJE46" s="193"/>
      <c r="CJF46" s="193"/>
      <c r="CJG46" s="193"/>
      <c r="CJH46" s="193"/>
      <c r="CJI46" s="193"/>
      <c r="CJJ46" s="193"/>
      <c r="CJK46" s="193"/>
      <c r="CJL46" s="193"/>
      <c r="CJM46" s="193"/>
      <c r="CJN46" s="193"/>
      <c r="CJO46" s="193"/>
      <c r="CJP46" s="193"/>
      <c r="CJQ46" s="193"/>
      <c r="CJR46" s="193"/>
      <c r="CJS46" s="193"/>
      <c r="CJT46" s="193"/>
      <c r="CJU46" s="193"/>
      <c r="CJV46" s="193"/>
      <c r="CJW46" s="193"/>
      <c r="CJX46" s="193"/>
      <c r="CJY46" s="193"/>
      <c r="CJZ46" s="193"/>
      <c r="CKA46" s="193"/>
      <c r="CKB46" s="193"/>
      <c r="CKC46" s="193"/>
      <c r="CKD46" s="193"/>
      <c r="CKE46" s="193"/>
      <c r="CKF46" s="193"/>
      <c r="CKG46" s="193"/>
      <c r="CKH46" s="193"/>
      <c r="CKI46" s="193"/>
      <c r="CKJ46" s="193"/>
      <c r="CKK46" s="193"/>
      <c r="CKL46" s="193"/>
      <c r="CKM46" s="193"/>
      <c r="CKN46" s="193"/>
      <c r="CKO46" s="193"/>
      <c r="CKP46" s="193"/>
      <c r="CKQ46" s="193"/>
      <c r="CKR46" s="193"/>
      <c r="CKS46" s="193"/>
      <c r="CKT46" s="193"/>
      <c r="CKU46" s="193"/>
      <c r="CKV46" s="193"/>
      <c r="CKW46" s="193"/>
      <c r="CKX46" s="193"/>
      <c r="CKY46" s="193"/>
      <c r="CKZ46" s="193"/>
      <c r="CLA46" s="193"/>
      <c r="CLB46" s="193"/>
      <c r="CLC46" s="193"/>
      <c r="CLD46" s="193"/>
      <c r="CLE46" s="193"/>
      <c r="CLF46" s="193"/>
      <c r="CLG46" s="193"/>
      <c r="CLH46" s="193"/>
      <c r="CLI46" s="193"/>
      <c r="CLJ46" s="193"/>
      <c r="CLK46" s="193"/>
      <c r="CLL46" s="193"/>
      <c r="CLM46" s="193"/>
      <c r="CLN46" s="193"/>
      <c r="CLO46" s="193"/>
      <c r="CLP46" s="193"/>
      <c r="CLQ46" s="193"/>
      <c r="CLR46" s="193"/>
      <c r="CLS46" s="193"/>
      <c r="CLT46" s="193"/>
      <c r="CLU46" s="193"/>
      <c r="CLV46" s="193"/>
      <c r="CLW46" s="193"/>
      <c r="CLX46" s="193"/>
      <c r="CLY46" s="193"/>
      <c r="CLZ46" s="193"/>
      <c r="CMA46" s="193"/>
      <c r="CMB46" s="193"/>
      <c r="CMC46" s="193"/>
      <c r="CMD46" s="193"/>
      <c r="CME46" s="193"/>
      <c r="CMF46" s="193"/>
      <c r="CMG46" s="193"/>
      <c r="CMH46" s="193"/>
      <c r="CMI46" s="193"/>
      <c r="CMJ46" s="193"/>
      <c r="CMK46" s="193"/>
      <c r="CML46" s="193"/>
      <c r="CMM46" s="193"/>
      <c r="CMN46" s="193"/>
      <c r="CMO46" s="193"/>
      <c r="CMP46" s="193"/>
      <c r="CMQ46" s="193"/>
      <c r="CMR46" s="193"/>
      <c r="CMS46" s="193"/>
      <c r="CMT46" s="193"/>
      <c r="CMU46" s="193"/>
      <c r="CMV46" s="193"/>
      <c r="CMW46" s="193"/>
      <c r="CMX46" s="193"/>
      <c r="CMY46" s="193"/>
      <c r="CMZ46" s="193"/>
      <c r="CNA46" s="193"/>
      <c r="CNB46" s="193"/>
      <c r="CNC46" s="193"/>
      <c r="CND46" s="193"/>
      <c r="CNE46" s="193"/>
      <c r="CNF46" s="193"/>
      <c r="CNG46" s="193"/>
      <c r="CNH46" s="193"/>
      <c r="CNI46" s="193"/>
      <c r="CNJ46" s="193"/>
      <c r="CNK46" s="193"/>
      <c r="CNL46" s="193"/>
      <c r="CNM46" s="193"/>
      <c r="CNN46" s="193"/>
      <c r="CNO46" s="193"/>
      <c r="CNP46" s="193"/>
      <c r="CNQ46" s="193"/>
      <c r="CNR46" s="193"/>
      <c r="CNS46" s="193"/>
      <c r="CNT46" s="193"/>
      <c r="CNU46" s="193"/>
      <c r="CNV46" s="193"/>
      <c r="CNW46" s="193"/>
      <c r="CNX46" s="193"/>
      <c r="CNY46" s="193"/>
      <c r="CNZ46" s="193"/>
      <c r="COA46" s="193"/>
      <c r="COB46" s="193"/>
      <c r="COC46" s="193"/>
      <c r="COD46" s="193"/>
      <c r="COE46" s="193"/>
      <c r="COF46" s="193"/>
      <c r="COG46" s="193"/>
      <c r="COH46" s="193"/>
      <c r="COI46" s="193"/>
      <c r="COJ46" s="193"/>
      <c r="COK46" s="193"/>
      <c r="COL46" s="193"/>
      <c r="COM46" s="193"/>
      <c r="CON46" s="193"/>
      <c r="COO46" s="193"/>
      <c r="COP46" s="193"/>
      <c r="COQ46" s="193"/>
      <c r="COR46" s="193"/>
      <c r="COS46" s="193"/>
      <c r="COT46" s="193"/>
      <c r="COU46" s="193"/>
      <c r="COV46" s="193"/>
      <c r="COW46" s="193"/>
      <c r="COX46" s="193"/>
      <c r="COY46" s="193"/>
      <c r="COZ46" s="193"/>
      <c r="CPA46" s="193"/>
      <c r="CPB46" s="193"/>
      <c r="CPC46" s="193"/>
      <c r="CPD46" s="193"/>
      <c r="CPE46" s="193"/>
      <c r="CPF46" s="193"/>
      <c r="CPG46" s="193"/>
      <c r="CPH46" s="193"/>
      <c r="CPI46" s="193"/>
      <c r="CPJ46" s="193"/>
      <c r="CPK46" s="193"/>
      <c r="CPL46" s="193"/>
      <c r="CPM46" s="193"/>
      <c r="CPN46" s="193"/>
      <c r="CPO46" s="193"/>
      <c r="CPP46" s="193"/>
      <c r="CPQ46" s="193"/>
      <c r="CPR46" s="193"/>
      <c r="CPS46" s="193"/>
      <c r="CPT46" s="193"/>
      <c r="CPU46" s="193"/>
      <c r="CPV46" s="193"/>
      <c r="CPW46" s="193"/>
      <c r="CPX46" s="193"/>
      <c r="CPY46" s="193"/>
      <c r="CPZ46" s="193"/>
      <c r="CQA46" s="193"/>
      <c r="CQB46" s="193"/>
      <c r="CQC46" s="193"/>
      <c r="CQD46" s="193"/>
      <c r="CQE46" s="193"/>
      <c r="CQF46" s="193"/>
      <c r="CQG46" s="193"/>
      <c r="CQH46" s="193"/>
      <c r="CQI46" s="193"/>
      <c r="CQJ46" s="193"/>
      <c r="CQK46" s="193"/>
      <c r="CQL46" s="193"/>
      <c r="CQM46" s="193"/>
      <c r="CQN46" s="193"/>
      <c r="CQO46" s="193"/>
      <c r="CQP46" s="193"/>
      <c r="CQQ46" s="193"/>
      <c r="CQR46" s="193"/>
      <c r="CQS46" s="193"/>
      <c r="CQT46" s="193"/>
      <c r="CQU46" s="193"/>
      <c r="CQV46" s="193"/>
      <c r="CQW46" s="193"/>
      <c r="CQX46" s="193"/>
      <c r="CQY46" s="193"/>
      <c r="CQZ46" s="193"/>
      <c r="CRA46" s="193"/>
      <c r="CRB46" s="193"/>
      <c r="CRC46" s="193"/>
      <c r="CRD46" s="193"/>
      <c r="CRE46" s="193"/>
      <c r="CRF46" s="193"/>
      <c r="CRG46" s="193"/>
      <c r="CRH46" s="193"/>
      <c r="CRI46" s="193"/>
      <c r="CRJ46" s="193"/>
      <c r="CRK46" s="193"/>
      <c r="CRL46" s="193"/>
      <c r="CRM46" s="193"/>
      <c r="CRN46" s="193"/>
      <c r="CRO46" s="193"/>
      <c r="CRP46" s="193"/>
      <c r="CRQ46" s="193"/>
      <c r="CRR46" s="193"/>
      <c r="CRS46" s="193"/>
      <c r="CRT46" s="193"/>
      <c r="CRU46" s="193"/>
      <c r="CRV46" s="193"/>
      <c r="CRW46" s="193"/>
      <c r="CRX46" s="193"/>
      <c r="CRY46" s="193"/>
      <c r="CRZ46" s="193"/>
      <c r="CSA46" s="193"/>
      <c r="CSB46" s="193"/>
      <c r="CSC46" s="193"/>
      <c r="CSD46" s="193"/>
      <c r="CSE46" s="193"/>
      <c r="CSF46" s="193"/>
      <c r="CSG46" s="193"/>
      <c r="CSH46" s="193"/>
      <c r="CSI46" s="193"/>
      <c r="CSJ46" s="193"/>
      <c r="CSK46" s="193"/>
      <c r="CSL46" s="193"/>
      <c r="CSM46" s="193"/>
      <c r="CSN46" s="193"/>
      <c r="CSO46" s="193"/>
      <c r="CSP46" s="193"/>
      <c r="CSQ46" s="193"/>
      <c r="CSR46" s="193"/>
      <c r="CSS46" s="193"/>
      <c r="CST46" s="193"/>
      <c r="CSU46" s="193"/>
      <c r="CSV46" s="193"/>
      <c r="CSW46" s="193"/>
      <c r="CSX46" s="193"/>
      <c r="CSY46" s="193"/>
      <c r="CSZ46" s="193"/>
      <c r="CTA46" s="193"/>
      <c r="CTB46" s="193"/>
      <c r="CTC46" s="193"/>
      <c r="CTD46" s="193"/>
      <c r="CTE46" s="193"/>
      <c r="CTF46" s="193"/>
      <c r="CTG46" s="193"/>
      <c r="CTH46" s="193"/>
      <c r="CTI46" s="193"/>
      <c r="CTJ46" s="193"/>
      <c r="CTK46" s="193"/>
      <c r="CTL46" s="193"/>
      <c r="CTM46" s="193"/>
      <c r="CTN46" s="193"/>
      <c r="CTO46" s="193"/>
      <c r="CTP46" s="193"/>
      <c r="CTQ46" s="193"/>
      <c r="CTR46" s="193"/>
      <c r="CTS46" s="193"/>
      <c r="CTT46" s="193"/>
      <c r="CTU46" s="193"/>
      <c r="CTV46" s="193"/>
      <c r="CTW46" s="193"/>
      <c r="CTX46" s="193"/>
      <c r="CTY46" s="193"/>
      <c r="CTZ46" s="193"/>
      <c r="CUA46" s="193"/>
    </row>
    <row r="47" s="191" customFormat="1" spans="1:1024 1025:2575">
      <c r="A47" s="227" t="s">
        <v>37</v>
      </c>
      <c r="B47" s="228">
        <f t="shared" si="31"/>
        <v>10</v>
      </c>
      <c r="C47" s="229">
        <f t="shared" si="26"/>
        <v>45580</v>
      </c>
      <c r="D47" s="230">
        <f t="shared" si="22"/>
        <v>45586</v>
      </c>
      <c r="E47" s="231">
        <v>1335</v>
      </c>
      <c r="F47" s="232">
        <f t="shared" si="27"/>
        <v>45600</v>
      </c>
      <c r="G47" s="231">
        <v>1158</v>
      </c>
      <c r="H47" s="233">
        <f t="shared" si="10"/>
        <v>0.867415730337079</v>
      </c>
      <c r="I47" s="230">
        <f t="shared" si="28"/>
        <v>45617</v>
      </c>
      <c r="J47" s="231">
        <v>1124</v>
      </c>
      <c r="K47" s="233">
        <f t="shared" si="0"/>
        <v>0.841947565543071</v>
      </c>
      <c r="L47" s="230">
        <f t="shared" si="29"/>
        <v>45620</v>
      </c>
      <c r="M47" s="231">
        <v>1117</v>
      </c>
      <c r="N47" s="231">
        <v>10940</v>
      </c>
      <c r="O47" s="233">
        <f t="shared" si="1"/>
        <v>0.836704119850187</v>
      </c>
      <c r="P47" s="233">
        <f t="shared" si="7"/>
        <v>0.0307116104868914</v>
      </c>
      <c r="Q47" s="234">
        <f t="shared" si="2"/>
        <v>9.79409131602507</v>
      </c>
      <c r="R47" s="230">
        <f t="shared" si="33"/>
        <v>45652</v>
      </c>
      <c r="S47" s="235">
        <v>10714</v>
      </c>
      <c r="T47" s="228">
        <v>982</v>
      </c>
      <c r="U47" s="233">
        <f t="shared" si="3"/>
        <v>0.979341864716636</v>
      </c>
      <c r="V47" s="230">
        <f t="shared" si="19"/>
        <v>45687</v>
      </c>
      <c r="W47" s="235">
        <v>10552</v>
      </c>
      <c r="X47" s="233">
        <f t="shared" si="4"/>
        <v>0.984879596789248</v>
      </c>
      <c r="Y47" s="228">
        <v>26112.3</v>
      </c>
      <c r="Z47" s="236">
        <v>14.2</v>
      </c>
      <c r="AA47" s="236">
        <f t="shared" si="32"/>
        <v>2.47463040181956</v>
      </c>
      <c r="AB47" s="236">
        <f t="shared" si="5"/>
        <v>7.90411985018727</v>
      </c>
      <c r="AC47" s="236">
        <v>3.32</v>
      </c>
      <c r="AD47" s="235">
        <v>3.55</v>
      </c>
      <c r="AE47" s="236">
        <v>59.5</v>
      </c>
      <c r="AF47" s="235"/>
      <c r="AG47" s="237"/>
      <c r="AH47" s="237"/>
      <c r="AI47" s="237"/>
      <c r="AJ47" s="237"/>
      <c r="AK47" s="237"/>
      <c r="AL47" s="237"/>
      <c r="AM47" s="237"/>
      <c r="AN47" s="237"/>
      <c r="AO47" s="237"/>
      <c r="AP47" s="237"/>
      <c r="AQ47" s="237"/>
      <c r="AR47" s="237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  <c r="BI47" s="193"/>
      <c r="BJ47" s="193"/>
      <c r="BK47" s="193"/>
      <c r="BL47" s="193"/>
      <c r="BM47" s="193"/>
      <c r="BN47" s="193"/>
      <c r="BO47" s="193"/>
      <c r="BP47" s="193"/>
      <c r="BQ47" s="193"/>
      <c r="BR47" s="193"/>
      <c r="BS47" s="193"/>
      <c r="BT47" s="193"/>
      <c r="BU47" s="193"/>
      <c r="BV47" s="193"/>
      <c r="BW47" s="193"/>
      <c r="BX47" s="193"/>
      <c r="BY47" s="193"/>
      <c r="BZ47" s="193"/>
      <c r="CA47" s="193"/>
      <c r="CB47" s="193"/>
      <c r="CC47" s="193"/>
      <c r="CD47" s="193"/>
      <c r="CE47" s="193"/>
      <c r="CF47" s="193"/>
      <c r="CG47" s="193"/>
      <c r="CH47" s="193"/>
      <c r="CI47" s="193"/>
      <c r="CJ47" s="193"/>
      <c r="CK47" s="193"/>
      <c r="CL47" s="193"/>
      <c r="CM47" s="193"/>
      <c r="CN47" s="193"/>
      <c r="CO47" s="193"/>
      <c r="CP47" s="193"/>
      <c r="CQ47" s="193"/>
      <c r="CR47" s="193"/>
      <c r="CS47" s="193"/>
      <c r="CT47" s="193"/>
      <c r="CU47" s="193"/>
      <c r="CV47" s="193"/>
      <c r="CW47" s="193"/>
      <c r="CX47" s="193"/>
      <c r="CY47" s="193"/>
      <c r="CZ47" s="193"/>
      <c r="DA47" s="193"/>
      <c r="DB47" s="193"/>
      <c r="DC47" s="193"/>
      <c r="DD47" s="193"/>
      <c r="DE47" s="193"/>
      <c r="DF47" s="193"/>
      <c r="DG47" s="193"/>
      <c r="DH47" s="193"/>
      <c r="DI47" s="193"/>
      <c r="DJ47" s="193"/>
      <c r="DK47" s="193"/>
      <c r="DL47" s="193"/>
      <c r="DM47" s="193"/>
      <c r="DN47" s="193"/>
      <c r="DO47" s="193"/>
      <c r="DP47" s="193"/>
      <c r="DQ47" s="193"/>
      <c r="DR47" s="193"/>
      <c r="DS47" s="193"/>
      <c r="DT47" s="193"/>
      <c r="DU47" s="193"/>
      <c r="DV47" s="193"/>
      <c r="DW47" s="193"/>
      <c r="DX47" s="193"/>
      <c r="DY47" s="193"/>
      <c r="DZ47" s="193"/>
      <c r="EA47" s="193"/>
      <c r="EB47" s="193"/>
      <c r="EC47" s="193"/>
      <c r="ED47" s="193"/>
      <c r="EE47" s="193"/>
      <c r="EF47" s="193"/>
      <c r="EG47" s="193"/>
      <c r="EH47" s="193"/>
      <c r="EI47" s="193"/>
      <c r="EJ47" s="193"/>
      <c r="EK47" s="193"/>
      <c r="EL47" s="193"/>
      <c r="EM47" s="193"/>
      <c r="EN47" s="193"/>
      <c r="EO47" s="193"/>
      <c r="EP47" s="193"/>
      <c r="EQ47" s="193"/>
      <c r="ER47" s="193"/>
      <c r="ES47" s="193"/>
      <c r="ET47" s="193"/>
      <c r="EU47" s="193"/>
      <c r="EV47" s="193"/>
      <c r="EW47" s="193"/>
      <c r="EX47" s="193"/>
      <c r="EY47" s="193"/>
      <c r="EZ47" s="193"/>
      <c r="FA47" s="193"/>
      <c r="FB47" s="193"/>
      <c r="FC47" s="193"/>
      <c r="FD47" s="193"/>
      <c r="FE47" s="193"/>
      <c r="FF47" s="193"/>
      <c r="FG47" s="193"/>
      <c r="FH47" s="193"/>
      <c r="FI47" s="193"/>
      <c r="FJ47" s="193"/>
      <c r="FK47" s="193"/>
      <c r="FL47" s="193"/>
      <c r="FM47" s="193"/>
      <c r="FN47" s="193"/>
      <c r="FO47" s="193"/>
      <c r="FP47" s="193"/>
      <c r="FQ47" s="193"/>
      <c r="FR47" s="193"/>
      <c r="FS47" s="193"/>
      <c r="FT47" s="193"/>
      <c r="FU47" s="193"/>
      <c r="FV47" s="193"/>
      <c r="FW47" s="193"/>
      <c r="FX47" s="193"/>
      <c r="FY47" s="193"/>
      <c r="FZ47" s="193"/>
      <c r="GA47" s="193"/>
      <c r="GB47" s="193"/>
      <c r="GC47" s="193"/>
      <c r="GD47" s="193"/>
      <c r="GE47" s="193"/>
      <c r="GF47" s="193"/>
      <c r="GG47" s="193"/>
      <c r="GH47" s="193"/>
      <c r="GI47" s="193"/>
      <c r="GJ47" s="193"/>
      <c r="GK47" s="193"/>
      <c r="GL47" s="193"/>
      <c r="GM47" s="193"/>
      <c r="GN47" s="193"/>
      <c r="GO47" s="193"/>
      <c r="GP47" s="193"/>
      <c r="GQ47" s="193"/>
      <c r="GR47" s="193"/>
      <c r="GS47" s="193"/>
      <c r="GT47" s="193"/>
      <c r="GU47" s="193"/>
      <c r="GV47" s="193"/>
      <c r="GW47" s="193"/>
      <c r="GX47" s="193"/>
      <c r="GY47" s="193"/>
      <c r="GZ47" s="193"/>
      <c r="HA47" s="193"/>
      <c r="HB47" s="193"/>
      <c r="HC47" s="193"/>
      <c r="HD47" s="193"/>
      <c r="HE47" s="193"/>
      <c r="HF47" s="193"/>
      <c r="HG47" s="193"/>
      <c r="HH47" s="193"/>
      <c r="HI47" s="193"/>
      <c r="HJ47" s="193"/>
      <c r="HK47" s="193"/>
      <c r="HL47" s="193"/>
      <c r="HM47" s="193"/>
      <c r="HN47" s="193"/>
      <c r="HO47" s="193"/>
      <c r="HP47" s="193"/>
      <c r="HQ47" s="193"/>
      <c r="HR47" s="193"/>
      <c r="HS47" s="193"/>
      <c r="HT47" s="193"/>
      <c r="HU47" s="193"/>
      <c r="HV47" s="193"/>
      <c r="HW47" s="193"/>
      <c r="HX47" s="193"/>
      <c r="HY47" s="193"/>
      <c r="HZ47" s="193"/>
      <c r="IA47" s="193"/>
      <c r="IB47" s="193"/>
      <c r="IC47" s="193"/>
      <c r="ID47" s="193"/>
      <c r="IE47" s="193"/>
      <c r="IF47" s="193"/>
      <c r="IG47" s="193"/>
      <c r="IH47" s="193"/>
      <c r="II47" s="193"/>
      <c r="IJ47" s="193"/>
      <c r="IK47" s="193"/>
      <c r="IL47" s="193"/>
      <c r="IM47" s="193"/>
      <c r="IN47" s="193"/>
      <c r="IO47" s="193"/>
      <c r="IP47" s="193"/>
      <c r="IQ47" s="193"/>
      <c r="IR47" s="193"/>
      <c r="IS47" s="193"/>
      <c r="IT47" s="193"/>
      <c r="IU47" s="193"/>
      <c r="IV47" s="193"/>
      <c r="IW47" s="193"/>
      <c r="IX47" s="193"/>
      <c r="IY47" s="193"/>
      <c r="IZ47" s="193"/>
      <c r="JA47" s="193"/>
      <c r="JB47" s="193"/>
      <c r="JC47" s="193"/>
      <c r="JD47" s="193"/>
      <c r="JE47" s="193"/>
      <c r="JF47" s="193"/>
      <c r="JG47" s="193"/>
      <c r="JH47" s="193"/>
      <c r="JI47" s="193"/>
      <c r="JJ47" s="193"/>
      <c r="JK47" s="193"/>
      <c r="JL47" s="193"/>
      <c r="JM47" s="193"/>
      <c r="JN47" s="193"/>
      <c r="JO47" s="193"/>
      <c r="JP47" s="193"/>
      <c r="JQ47" s="193"/>
      <c r="JR47" s="193"/>
      <c r="JS47" s="193"/>
      <c r="JT47" s="193"/>
      <c r="JU47" s="193"/>
      <c r="JV47" s="193"/>
      <c r="JW47" s="193"/>
      <c r="JX47" s="193"/>
      <c r="JY47" s="193"/>
      <c r="JZ47" s="193"/>
      <c r="KA47" s="193"/>
      <c r="KB47" s="193"/>
      <c r="KC47" s="193"/>
      <c r="KD47" s="193"/>
      <c r="KE47" s="193"/>
      <c r="KF47" s="193"/>
      <c r="KG47" s="193"/>
      <c r="KH47" s="193"/>
      <c r="KI47" s="193"/>
      <c r="KJ47" s="193"/>
      <c r="KK47" s="193"/>
      <c r="KL47" s="193"/>
      <c r="KM47" s="193"/>
      <c r="KN47" s="193"/>
      <c r="KO47" s="193"/>
      <c r="KP47" s="193"/>
      <c r="KQ47" s="193"/>
      <c r="KR47" s="193"/>
      <c r="KS47" s="193"/>
      <c r="KT47" s="193"/>
      <c r="KU47" s="193"/>
      <c r="KV47" s="193"/>
      <c r="KW47" s="193"/>
      <c r="KX47" s="193"/>
      <c r="KY47" s="193"/>
      <c r="KZ47" s="193"/>
      <c r="LA47" s="193"/>
      <c r="LB47" s="193"/>
      <c r="LC47" s="193"/>
      <c r="LD47" s="193"/>
      <c r="LE47" s="193"/>
      <c r="LF47" s="193"/>
      <c r="LG47" s="193"/>
      <c r="LH47" s="193"/>
      <c r="LI47" s="193"/>
      <c r="LJ47" s="193"/>
      <c r="LK47" s="193"/>
      <c r="LL47" s="193"/>
      <c r="LM47" s="193"/>
      <c r="LN47" s="193"/>
      <c r="LO47" s="193"/>
      <c r="LP47" s="193"/>
      <c r="LQ47" s="193"/>
      <c r="LR47" s="193"/>
      <c r="LS47" s="193"/>
      <c r="LT47" s="193"/>
      <c r="LU47" s="193"/>
      <c r="LV47" s="193"/>
      <c r="LW47" s="193"/>
      <c r="LX47" s="193"/>
      <c r="LY47" s="193"/>
      <c r="LZ47" s="193"/>
      <c r="MA47" s="193"/>
      <c r="MB47" s="193"/>
      <c r="MC47" s="193"/>
      <c r="MD47" s="193"/>
      <c r="ME47" s="193"/>
      <c r="MF47" s="193"/>
      <c r="MG47" s="193"/>
      <c r="MH47" s="193"/>
      <c r="MI47" s="193"/>
      <c r="MJ47" s="193"/>
      <c r="MK47" s="193"/>
      <c r="ML47" s="193"/>
      <c r="MM47" s="193"/>
      <c r="MN47" s="193"/>
      <c r="MO47" s="193"/>
      <c r="MP47" s="193"/>
      <c r="MQ47" s="193"/>
      <c r="MR47" s="193"/>
      <c r="MS47" s="193"/>
      <c r="MT47" s="193"/>
      <c r="MU47" s="193"/>
      <c r="MV47" s="193"/>
      <c r="MW47" s="193"/>
      <c r="MX47" s="193"/>
      <c r="MY47" s="193"/>
      <c r="MZ47" s="193"/>
      <c r="NA47" s="193"/>
      <c r="NB47" s="193"/>
      <c r="NC47" s="193"/>
      <c r="ND47" s="193"/>
      <c r="NE47" s="193"/>
      <c r="NF47" s="193"/>
      <c r="NG47" s="193"/>
      <c r="NH47" s="193"/>
      <c r="NI47" s="193"/>
      <c r="NJ47" s="193"/>
      <c r="NK47" s="193"/>
      <c r="NL47" s="193"/>
      <c r="NM47" s="193"/>
      <c r="NN47" s="193"/>
      <c r="NO47" s="193"/>
      <c r="NP47" s="193"/>
      <c r="NQ47" s="193"/>
      <c r="NR47" s="193"/>
      <c r="NS47" s="193"/>
      <c r="NT47" s="193"/>
      <c r="NU47" s="193"/>
      <c r="NV47" s="193"/>
      <c r="NW47" s="193"/>
      <c r="NX47" s="193"/>
      <c r="NY47" s="193"/>
      <c r="NZ47" s="193"/>
      <c r="OA47" s="193"/>
      <c r="OB47" s="193"/>
      <c r="OC47" s="193"/>
      <c r="OD47" s="193"/>
      <c r="OE47" s="193"/>
      <c r="OF47" s="193"/>
      <c r="OG47" s="193"/>
      <c r="OH47" s="193"/>
      <c r="OI47" s="193"/>
      <c r="OJ47" s="193"/>
      <c r="OK47" s="193"/>
      <c r="OL47" s="193"/>
      <c r="OM47" s="193"/>
      <c r="ON47" s="193"/>
      <c r="OO47" s="193"/>
      <c r="OP47" s="193"/>
      <c r="OQ47" s="193"/>
      <c r="OR47" s="193"/>
      <c r="OS47" s="193"/>
      <c r="OT47" s="193"/>
      <c r="OU47" s="193"/>
      <c r="OV47" s="193"/>
      <c r="OW47" s="193"/>
      <c r="OX47" s="193"/>
      <c r="OY47" s="193"/>
      <c r="OZ47" s="193"/>
      <c r="PA47" s="193"/>
      <c r="PB47" s="193"/>
      <c r="PC47" s="193"/>
      <c r="PD47" s="193"/>
      <c r="PE47" s="193"/>
      <c r="PF47" s="193"/>
      <c r="PG47" s="193"/>
      <c r="PH47" s="193"/>
      <c r="PI47" s="193"/>
      <c r="PJ47" s="193"/>
      <c r="PK47" s="193"/>
      <c r="PL47" s="193"/>
      <c r="PM47" s="193"/>
      <c r="PN47" s="193"/>
      <c r="PO47" s="193"/>
      <c r="PP47" s="193"/>
      <c r="PQ47" s="193"/>
      <c r="PR47" s="193"/>
      <c r="PS47" s="193"/>
      <c r="PT47" s="193"/>
      <c r="PU47" s="193"/>
      <c r="PV47" s="193"/>
      <c r="PW47" s="193"/>
      <c r="PX47" s="193"/>
      <c r="PY47" s="193"/>
      <c r="PZ47" s="193"/>
      <c r="QA47" s="193"/>
      <c r="QB47" s="193"/>
      <c r="QC47" s="193"/>
      <c r="QD47" s="193"/>
      <c r="QE47" s="193"/>
      <c r="QF47" s="193"/>
      <c r="QG47" s="193"/>
      <c r="QH47" s="193"/>
      <c r="QI47" s="193"/>
      <c r="QJ47" s="193"/>
      <c r="QK47" s="193"/>
      <c r="QL47" s="193"/>
      <c r="QM47" s="193"/>
      <c r="QN47" s="193"/>
      <c r="QO47" s="193"/>
      <c r="QP47" s="193"/>
      <c r="QQ47" s="193"/>
      <c r="QR47" s="193"/>
      <c r="QS47" s="193"/>
      <c r="QT47" s="193"/>
      <c r="QU47" s="193"/>
      <c r="QV47" s="193"/>
      <c r="QW47" s="193"/>
      <c r="QX47" s="193"/>
      <c r="QY47" s="193"/>
      <c r="QZ47" s="193"/>
      <c r="RA47" s="193"/>
      <c r="RB47" s="193"/>
      <c r="RC47" s="193"/>
      <c r="RD47" s="193"/>
      <c r="RE47" s="193"/>
      <c r="RF47" s="193"/>
      <c r="RG47" s="193"/>
      <c r="RH47" s="193"/>
      <c r="RI47" s="193"/>
      <c r="RJ47" s="193"/>
      <c r="RK47" s="193"/>
      <c r="RL47" s="193"/>
      <c r="RM47" s="193"/>
      <c r="RN47" s="193"/>
      <c r="RO47" s="193"/>
      <c r="RP47" s="193"/>
      <c r="RQ47" s="193"/>
      <c r="RR47" s="193"/>
      <c r="RS47" s="193"/>
      <c r="RT47" s="193"/>
      <c r="RU47" s="193"/>
      <c r="RV47" s="193"/>
      <c r="RW47" s="193"/>
      <c r="RX47" s="193"/>
      <c r="RY47" s="193"/>
      <c r="RZ47" s="193"/>
      <c r="SA47" s="193"/>
      <c r="SB47" s="193"/>
      <c r="SC47" s="193"/>
      <c r="SD47" s="193"/>
      <c r="SE47" s="193"/>
      <c r="SF47" s="193"/>
      <c r="SG47" s="193"/>
      <c r="SH47" s="193"/>
      <c r="SI47" s="193"/>
      <c r="SJ47" s="193"/>
      <c r="SK47" s="193"/>
      <c r="SL47" s="193"/>
      <c r="SM47" s="193"/>
      <c r="SN47" s="193"/>
      <c r="SO47" s="193"/>
      <c r="SP47" s="193"/>
      <c r="SQ47" s="193"/>
      <c r="SR47" s="193"/>
      <c r="SS47" s="193"/>
      <c r="ST47" s="193"/>
      <c r="SU47" s="193"/>
      <c r="SV47" s="193"/>
      <c r="SW47" s="193"/>
      <c r="SX47" s="193"/>
      <c r="SY47" s="193"/>
      <c r="SZ47" s="193"/>
      <c r="TA47" s="193"/>
      <c r="TB47" s="193"/>
      <c r="TC47" s="193"/>
      <c r="TD47" s="193"/>
      <c r="TE47" s="193"/>
      <c r="TF47" s="193"/>
      <c r="TG47" s="193"/>
      <c r="TH47" s="193"/>
      <c r="TI47" s="193"/>
      <c r="TJ47" s="193"/>
      <c r="TK47" s="193"/>
      <c r="TL47" s="193"/>
      <c r="TM47" s="193"/>
      <c r="TN47" s="193"/>
      <c r="TO47" s="193"/>
      <c r="TP47" s="193"/>
      <c r="TQ47" s="193"/>
      <c r="TR47" s="193"/>
      <c r="TS47" s="193"/>
      <c r="TT47" s="193"/>
      <c r="TU47" s="193"/>
      <c r="TV47" s="193"/>
      <c r="TW47" s="193"/>
      <c r="TX47" s="193"/>
      <c r="TY47" s="193"/>
      <c r="TZ47" s="193"/>
      <c r="UA47" s="193"/>
      <c r="UB47" s="193"/>
      <c r="UC47" s="193"/>
      <c r="UD47" s="193"/>
      <c r="UE47" s="193"/>
      <c r="UF47" s="193"/>
      <c r="UG47" s="193"/>
      <c r="UH47" s="193"/>
      <c r="UI47" s="193"/>
      <c r="UJ47" s="193"/>
      <c r="UK47" s="193"/>
      <c r="UL47" s="193"/>
      <c r="UM47" s="193"/>
      <c r="UN47" s="193"/>
      <c r="UO47" s="193"/>
      <c r="UP47" s="193"/>
      <c r="UQ47" s="193"/>
      <c r="UR47" s="193"/>
      <c r="US47" s="193"/>
      <c r="UT47" s="193"/>
      <c r="UU47" s="193"/>
      <c r="UV47" s="193"/>
      <c r="UW47" s="193"/>
      <c r="UX47" s="193"/>
      <c r="UY47" s="193"/>
      <c r="UZ47" s="193"/>
      <c r="VA47" s="193"/>
      <c r="VB47" s="193"/>
      <c r="VC47" s="193"/>
      <c r="VD47" s="193"/>
      <c r="VE47" s="193"/>
      <c r="VF47" s="193"/>
      <c r="VG47" s="193"/>
      <c r="VH47" s="193"/>
      <c r="VI47" s="193"/>
      <c r="VJ47" s="193"/>
      <c r="VK47" s="193"/>
      <c r="VL47" s="193"/>
      <c r="VM47" s="193"/>
      <c r="VN47" s="193"/>
      <c r="VO47" s="193"/>
      <c r="VP47" s="193"/>
      <c r="VQ47" s="193"/>
      <c r="VR47" s="193"/>
      <c r="VS47" s="193"/>
      <c r="VT47" s="193"/>
      <c r="VU47" s="193"/>
      <c r="VV47" s="193"/>
      <c r="VW47" s="193"/>
      <c r="VX47" s="193"/>
      <c r="VY47" s="193"/>
      <c r="VZ47" s="193"/>
      <c r="WA47" s="193"/>
      <c r="WB47" s="193"/>
      <c r="WC47" s="193"/>
      <c r="WD47" s="193"/>
      <c r="WE47" s="193"/>
      <c r="WF47" s="193"/>
      <c r="WG47" s="193"/>
      <c r="WH47" s="193"/>
      <c r="WI47" s="193"/>
      <c r="WJ47" s="193"/>
      <c r="WK47" s="193"/>
      <c r="WL47" s="193"/>
      <c r="WM47" s="193"/>
      <c r="WN47" s="193"/>
      <c r="WO47" s="193"/>
      <c r="WP47" s="193"/>
      <c r="WQ47" s="193"/>
      <c r="WR47" s="193"/>
      <c r="WS47" s="193"/>
      <c r="WT47" s="193"/>
      <c r="WU47" s="193"/>
      <c r="WV47" s="193"/>
      <c r="WW47" s="193"/>
      <c r="WX47" s="193"/>
      <c r="WY47" s="193"/>
      <c r="WZ47" s="193"/>
      <c r="XA47" s="193"/>
      <c r="XB47" s="193"/>
      <c r="XC47" s="193"/>
      <c r="XD47" s="193"/>
      <c r="XE47" s="193"/>
      <c r="XF47" s="193"/>
      <c r="XG47" s="193"/>
      <c r="XH47" s="193"/>
      <c r="XI47" s="193"/>
      <c r="XJ47" s="193"/>
      <c r="XK47" s="193"/>
      <c r="XL47" s="193"/>
      <c r="XM47" s="193"/>
      <c r="XN47" s="193"/>
      <c r="XO47" s="193"/>
      <c r="XP47" s="193"/>
      <c r="XQ47" s="193"/>
      <c r="XR47" s="193"/>
      <c r="XS47" s="193"/>
      <c r="XT47" s="193"/>
      <c r="XU47" s="193"/>
      <c r="XV47" s="193"/>
      <c r="XW47" s="193"/>
      <c r="XX47" s="193"/>
      <c r="XY47" s="193"/>
      <c r="XZ47" s="193"/>
      <c r="YA47" s="193"/>
      <c r="YB47" s="193"/>
      <c r="YC47" s="193"/>
      <c r="YD47" s="193"/>
      <c r="YE47" s="193"/>
      <c r="YF47" s="193"/>
      <c r="YG47" s="193"/>
      <c r="YH47" s="193"/>
      <c r="YI47" s="193"/>
      <c r="YJ47" s="193"/>
      <c r="YK47" s="193"/>
      <c r="YL47" s="193"/>
      <c r="YM47" s="193"/>
      <c r="YN47" s="193"/>
      <c r="YO47" s="193"/>
      <c r="YP47" s="193"/>
      <c r="YQ47" s="193"/>
      <c r="YR47" s="193"/>
      <c r="YS47" s="193"/>
      <c r="YT47" s="193"/>
      <c r="YU47" s="193"/>
      <c r="YV47" s="193"/>
      <c r="YW47" s="193"/>
      <c r="YX47" s="193"/>
      <c r="YY47" s="193"/>
      <c r="YZ47" s="193"/>
      <c r="ZA47" s="193"/>
      <c r="ZB47" s="193"/>
      <c r="ZC47" s="193"/>
      <c r="ZD47" s="193"/>
      <c r="ZE47" s="193"/>
      <c r="ZF47" s="193"/>
      <c r="ZG47" s="193"/>
      <c r="ZH47" s="193"/>
      <c r="ZI47" s="193"/>
      <c r="ZJ47" s="193"/>
      <c r="ZK47" s="193"/>
      <c r="ZL47" s="193"/>
      <c r="ZM47" s="193"/>
      <c r="ZN47" s="193"/>
      <c r="ZO47" s="193"/>
      <c r="ZP47" s="193"/>
      <c r="ZQ47" s="193"/>
      <c r="ZR47" s="193"/>
      <c r="ZS47" s="193"/>
      <c r="ZT47" s="193"/>
      <c r="ZU47" s="193"/>
      <c r="ZV47" s="193"/>
      <c r="ZW47" s="193"/>
      <c r="ZX47" s="193"/>
      <c r="ZY47" s="193"/>
      <c r="ZZ47" s="193"/>
      <c r="AAA47" s="193"/>
      <c r="AAB47" s="193"/>
      <c r="AAC47" s="193"/>
      <c r="AAD47" s="193"/>
      <c r="AAE47" s="193"/>
      <c r="AAF47" s="193"/>
      <c r="AAG47" s="193"/>
      <c r="AAH47" s="193"/>
      <c r="AAI47" s="193"/>
      <c r="AAJ47" s="193"/>
      <c r="AAK47" s="193"/>
      <c r="AAL47" s="193"/>
      <c r="AAM47" s="193"/>
      <c r="AAN47" s="193"/>
      <c r="AAO47" s="193"/>
      <c r="AAP47" s="193"/>
      <c r="AAQ47" s="193"/>
      <c r="AAR47" s="193"/>
      <c r="AAS47" s="193"/>
      <c r="AAT47" s="193"/>
      <c r="AAU47" s="193"/>
      <c r="AAV47" s="193"/>
      <c r="AAW47" s="193"/>
      <c r="AAX47" s="193"/>
      <c r="AAY47" s="193"/>
      <c r="AAZ47" s="193"/>
      <c r="ABA47" s="193"/>
      <c r="ABB47" s="193"/>
      <c r="ABC47" s="193"/>
      <c r="ABD47" s="193"/>
      <c r="ABE47" s="193"/>
      <c r="ABF47" s="193"/>
      <c r="ABG47" s="193"/>
      <c r="ABH47" s="193"/>
      <c r="ABI47" s="193"/>
      <c r="ABJ47" s="193"/>
      <c r="ABK47" s="193"/>
      <c r="ABL47" s="193"/>
      <c r="ABM47" s="193"/>
      <c r="ABN47" s="193"/>
      <c r="ABO47" s="193"/>
      <c r="ABP47" s="193"/>
      <c r="ABQ47" s="193"/>
      <c r="ABR47" s="193"/>
      <c r="ABS47" s="193"/>
      <c r="ABT47" s="193"/>
      <c r="ABU47" s="193"/>
      <c r="ABV47" s="193"/>
      <c r="ABW47" s="193"/>
      <c r="ABX47" s="193"/>
      <c r="ABY47" s="193"/>
      <c r="ABZ47" s="193"/>
      <c r="ACA47" s="193"/>
      <c r="ACB47" s="193"/>
      <c r="ACC47" s="193"/>
      <c r="ACD47" s="193"/>
      <c r="ACE47" s="193"/>
      <c r="ACF47" s="193"/>
      <c r="ACG47" s="193"/>
      <c r="ACH47" s="193"/>
      <c r="ACI47" s="193"/>
      <c r="ACJ47" s="193"/>
      <c r="ACK47" s="193"/>
      <c r="ACL47" s="193"/>
      <c r="ACM47" s="193"/>
      <c r="ACN47" s="193"/>
      <c r="ACO47" s="193"/>
      <c r="ACP47" s="193"/>
      <c r="ACQ47" s="193"/>
      <c r="ACR47" s="193"/>
      <c r="ACS47" s="193"/>
      <c r="ACT47" s="193"/>
      <c r="ACU47" s="193"/>
      <c r="ACV47" s="193"/>
      <c r="ACW47" s="193"/>
      <c r="ACX47" s="193"/>
      <c r="ACY47" s="193"/>
      <c r="ACZ47" s="193"/>
      <c r="ADA47" s="193"/>
      <c r="ADB47" s="193"/>
      <c r="ADC47" s="193"/>
      <c r="ADD47" s="193"/>
      <c r="ADE47" s="193"/>
      <c r="ADF47" s="193"/>
      <c r="ADG47" s="193"/>
      <c r="ADH47" s="193"/>
      <c r="ADI47" s="193"/>
      <c r="ADJ47" s="193"/>
      <c r="ADK47" s="193"/>
      <c r="ADL47" s="193"/>
      <c r="ADM47" s="193"/>
      <c r="ADN47" s="193"/>
      <c r="ADO47" s="193"/>
      <c r="ADP47" s="193"/>
      <c r="ADQ47" s="193"/>
      <c r="ADR47" s="193"/>
      <c r="ADS47" s="193"/>
      <c r="ADT47" s="193"/>
      <c r="ADU47" s="193"/>
      <c r="ADV47" s="193"/>
      <c r="ADW47" s="193"/>
      <c r="ADX47" s="193"/>
      <c r="ADY47" s="193"/>
      <c r="ADZ47" s="193"/>
      <c r="AEA47" s="193"/>
      <c r="AEB47" s="193"/>
      <c r="AEC47" s="193"/>
      <c r="AED47" s="193"/>
      <c r="AEE47" s="193"/>
      <c r="AEF47" s="193"/>
      <c r="AEG47" s="193"/>
      <c r="AEH47" s="193"/>
      <c r="AEI47" s="193"/>
      <c r="AEJ47" s="193"/>
      <c r="AEK47" s="193"/>
      <c r="AEL47" s="193"/>
      <c r="AEM47" s="193"/>
      <c r="AEN47" s="193"/>
      <c r="AEO47" s="193"/>
      <c r="AEP47" s="193"/>
      <c r="AEQ47" s="193"/>
      <c r="AER47" s="193"/>
      <c r="AES47" s="193"/>
      <c r="AET47" s="193"/>
      <c r="AEU47" s="193"/>
      <c r="AEV47" s="193"/>
      <c r="AEW47" s="193"/>
      <c r="AEX47" s="193"/>
      <c r="AEY47" s="193"/>
      <c r="AEZ47" s="193"/>
      <c r="AFA47" s="193"/>
      <c r="AFB47" s="193"/>
      <c r="AFC47" s="193"/>
      <c r="AFD47" s="193"/>
      <c r="AFE47" s="193"/>
      <c r="AFF47" s="193"/>
      <c r="AFG47" s="193"/>
      <c r="AFH47" s="193"/>
      <c r="AFI47" s="193"/>
      <c r="AFJ47" s="193"/>
      <c r="AFK47" s="193"/>
      <c r="AFL47" s="193"/>
      <c r="AFM47" s="193"/>
      <c r="AFN47" s="193"/>
      <c r="AFO47" s="193"/>
      <c r="AFP47" s="193"/>
      <c r="AFQ47" s="193"/>
      <c r="AFR47" s="193"/>
      <c r="AFS47" s="193"/>
      <c r="AFT47" s="193"/>
      <c r="AFU47" s="193"/>
      <c r="AFV47" s="193"/>
      <c r="AFW47" s="193"/>
      <c r="AFX47" s="193"/>
      <c r="AFY47" s="193"/>
      <c r="AFZ47" s="193"/>
      <c r="AGA47" s="193"/>
      <c r="AGB47" s="193"/>
      <c r="AGC47" s="193"/>
      <c r="AGD47" s="193"/>
      <c r="AGE47" s="193"/>
      <c r="AGF47" s="193"/>
      <c r="AGG47" s="193"/>
      <c r="AGH47" s="193"/>
      <c r="AGI47" s="193"/>
      <c r="AGJ47" s="193"/>
      <c r="AGK47" s="193"/>
      <c r="AGL47" s="193"/>
      <c r="AGM47" s="193"/>
      <c r="AGN47" s="193"/>
      <c r="AGO47" s="193"/>
      <c r="AGP47" s="193"/>
      <c r="AGQ47" s="193"/>
      <c r="AGR47" s="193"/>
      <c r="AGS47" s="193"/>
      <c r="AGT47" s="193"/>
      <c r="AGU47" s="193"/>
      <c r="AGV47" s="193"/>
      <c r="AGW47" s="193"/>
      <c r="AGX47" s="193"/>
      <c r="AGY47" s="193"/>
      <c r="AGZ47" s="193"/>
      <c r="AHA47" s="193"/>
      <c r="AHB47" s="193"/>
      <c r="AHC47" s="193"/>
      <c r="AHD47" s="193"/>
      <c r="AHE47" s="193"/>
      <c r="AHF47" s="193"/>
      <c r="AHG47" s="193"/>
      <c r="AHH47" s="193"/>
      <c r="AHI47" s="193"/>
      <c r="AHJ47" s="193"/>
      <c r="AHK47" s="193"/>
      <c r="AHL47" s="193"/>
      <c r="AHM47" s="193"/>
      <c r="AHN47" s="193"/>
      <c r="AHO47" s="193"/>
      <c r="AHP47" s="193"/>
      <c r="AHQ47" s="193"/>
      <c r="AHR47" s="193"/>
      <c r="AHS47" s="193"/>
      <c r="AHT47" s="193"/>
      <c r="AHU47" s="193"/>
      <c r="AHV47" s="193"/>
      <c r="AHW47" s="193"/>
      <c r="AHX47" s="193"/>
      <c r="AHY47" s="193"/>
      <c r="AHZ47" s="193"/>
      <c r="AIA47" s="193"/>
      <c r="AIB47" s="193"/>
      <c r="AIC47" s="193"/>
      <c r="AID47" s="193"/>
      <c r="AIE47" s="193"/>
      <c r="AIF47" s="193"/>
      <c r="AIG47" s="193"/>
      <c r="AIH47" s="193"/>
      <c r="AII47" s="193"/>
      <c r="AIJ47" s="193"/>
      <c r="AIK47" s="193"/>
      <c r="AIL47" s="193"/>
      <c r="AIM47" s="193"/>
      <c r="AIN47" s="193"/>
      <c r="AIO47" s="193"/>
      <c r="AIP47" s="193"/>
      <c r="AIQ47" s="193"/>
      <c r="AIR47" s="193"/>
      <c r="AIS47" s="193"/>
      <c r="AIT47" s="193"/>
      <c r="AIU47" s="193"/>
      <c r="AIV47" s="193"/>
      <c r="AIW47" s="193"/>
      <c r="AIX47" s="193"/>
      <c r="AIY47" s="193"/>
      <c r="AIZ47" s="193"/>
      <c r="AJA47" s="193"/>
      <c r="AJB47" s="193"/>
      <c r="AJC47" s="193"/>
      <c r="AJD47" s="193"/>
      <c r="AJE47" s="193"/>
      <c r="AJF47" s="193"/>
      <c r="AJG47" s="193"/>
      <c r="AJH47" s="193"/>
      <c r="AJI47" s="193"/>
      <c r="AJJ47" s="193"/>
      <c r="AJK47" s="193"/>
      <c r="AJL47" s="193"/>
      <c r="AJM47" s="193"/>
      <c r="AJN47" s="193"/>
      <c r="AJO47" s="193"/>
      <c r="AJP47" s="193"/>
      <c r="AJQ47" s="193"/>
      <c r="AJR47" s="193"/>
      <c r="AJS47" s="193"/>
      <c r="AJT47" s="193"/>
      <c r="AJU47" s="193"/>
      <c r="AJV47" s="193"/>
      <c r="AJW47" s="193"/>
      <c r="AJX47" s="193"/>
      <c r="AJY47" s="193"/>
      <c r="AJZ47" s="193"/>
      <c r="AKA47" s="193"/>
      <c r="AKB47" s="193"/>
      <c r="AKC47" s="193"/>
      <c r="AKD47" s="193"/>
      <c r="AKE47" s="193"/>
      <c r="AKF47" s="193"/>
      <c r="AKG47" s="193"/>
      <c r="AKH47" s="193"/>
      <c r="AKI47" s="193"/>
      <c r="AKJ47" s="193"/>
      <c r="AKK47" s="193"/>
      <c r="AKL47" s="193"/>
      <c r="AKM47" s="193"/>
      <c r="AKN47" s="193"/>
      <c r="AKO47" s="193"/>
      <c r="AKP47" s="193"/>
      <c r="AKQ47" s="193"/>
      <c r="AKR47" s="193"/>
      <c r="AKS47" s="193"/>
      <c r="AKT47" s="193"/>
      <c r="AKU47" s="193"/>
      <c r="AKV47" s="193"/>
      <c r="AKW47" s="193"/>
      <c r="AKX47" s="193"/>
      <c r="AKY47" s="193"/>
      <c r="AKZ47" s="193"/>
      <c r="ALA47" s="193"/>
      <c r="ALB47" s="193"/>
      <c r="ALC47" s="193"/>
      <c r="ALD47" s="193"/>
      <c r="ALE47" s="193"/>
      <c r="ALF47" s="193"/>
      <c r="ALG47" s="193"/>
      <c r="ALH47" s="193"/>
      <c r="ALI47" s="193"/>
      <c r="ALJ47" s="193"/>
      <c r="ALK47" s="193"/>
      <c r="ALL47" s="193"/>
      <c r="ALM47" s="193"/>
      <c r="ALN47" s="193"/>
      <c r="ALO47" s="193"/>
      <c r="ALP47" s="193"/>
      <c r="ALQ47" s="193"/>
      <c r="ALR47" s="193"/>
      <c r="ALS47" s="193"/>
      <c r="ALT47" s="193"/>
      <c r="ALU47" s="193"/>
      <c r="ALV47" s="193"/>
      <c r="ALW47" s="193"/>
      <c r="ALX47" s="193"/>
      <c r="ALY47" s="193"/>
      <c r="ALZ47" s="193"/>
      <c r="AMA47" s="193"/>
      <c r="AMB47" s="193"/>
      <c r="AMC47" s="193"/>
      <c r="AMD47" s="193"/>
      <c r="AME47" s="193"/>
      <c r="AMF47" s="193"/>
      <c r="AMG47" s="193"/>
      <c r="AMH47" s="193"/>
      <c r="AMI47" s="193"/>
      <c r="AMJ47" s="193"/>
      <c r="AMK47" s="193"/>
      <c r="AML47" s="193"/>
      <c r="AMM47" s="193"/>
      <c r="AMN47" s="193"/>
      <c r="AMO47" s="193"/>
      <c r="AMP47" s="193"/>
      <c r="AMQ47" s="193"/>
      <c r="AMR47" s="193"/>
      <c r="AMS47" s="193"/>
      <c r="AMT47" s="193"/>
      <c r="AMU47" s="193"/>
      <c r="AMV47" s="193"/>
      <c r="AMW47" s="193"/>
      <c r="AMX47" s="193"/>
      <c r="AMY47" s="193"/>
      <c r="AMZ47" s="193"/>
      <c r="ANA47" s="193"/>
      <c r="ANB47" s="193"/>
      <c r="ANC47" s="193"/>
      <c r="AND47" s="193"/>
      <c r="ANE47" s="193"/>
      <c r="ANF47" s="193"/>
      <c r="ANG47" s="193"/>
      <c r="ANH47" s="193"/>
      <c r="ANI47" s="193"/>
      <c r="ANJ47" s="193"/>
      <c r="ANK47" s="193"/>
      <c r="ANL47" s="193"/>
      <c r="ANM47" s="193"/>
      <c r="ANN47" s="193"/>
      <c r="ANO47" s="193"/>
      <c r="ANP47" s="193"/>
      <c r="ANQ47" s="193"/>
      <c r="ANR47" s="193"/>
      <c r="ANS47" s="193"/>
      <c r="ANT47" s="193"/>
      <c r="ANU47" s="193"/>
      <c r="ANV47" s="193"/>
      <c r="ANW47" s="193"/>
      <c r="ANX47" s="193"/>
      <c r="ANY47" s="193"/>
      <c r="ANZ47" s="193"/>
      <c r="AOA47" s="193"/>
      <c r="AOB47" s="193"/>
      <c r="AOC47" s="193"/>
      <c r="AOD47" s="193"/>
      <c r="AOE47" s="193"/>
      <c r="AOF47" s="193"/>
      <c r="AOG47" s="193"/>
      <c r="AOH47" s="193"/>
      <c r="AOI47" s="193"/>
      <c r="AOJ47" s="193"/>
      <c r="AOK47" s="193"/>
      <c r="AOL47" s="193"/>
      <c r="AOM47" s="193"/>
      <c r="AON47" s="193"/>
      <c r="AOO47" s="193"/>
      <c r="AOP47" s="193"/>
      <c r="AOQ47" s="193"/>
      <c r="AOR47" s="193"/>
      <c r="AOS47" s="193"/>
      <c r="AOT47" s="193"/>
      <c r="AOU47" s="193"/>
      <c r="AOV47" s="193"/>
      <c r="AOW47" s="193"/>
      <c r="AOX47" s="193"/>
      <c r="AOY47" s="193"/>
      <c r="AOZ47" s="193"/>
      <c r="APA47" s="193"/>
      <c r="APB47" s="193"/>
      <c r="APC47" s="193"/>
      <c r="APD47" s="193"/>
      <c r="APE47" s="193"/>
      <c r="APF47" s="193"/>
      <c r="APG47" s="193"/>
      <c r="APH47" s="193"/>
      <c r="API47" s="193"/>
      <c r="APJ47" s="193"/>
      <c r="APK47" s="193"/>
      <c r="APL47" s="193"/>
      <c r="APM47" s="193"/>
      <c r="APN47" s="193"/>
      <c r="APO47" s="193"/>
      <c r="APP47" s="193"/>
      <c r="APQ47" s="193"/>
      <c r="APR47" s="193"/>
      <c r="APS47" s="193"/>
      <c r="APT47" s="193"/>
      <c r="APU47" s="193"/>
      <c r="APV47" s="193"/>
      <c r="APW47" s="193"/>
      <c r="APX47" s="193"/>
      <c r="APY47" s="193"/>
      <c r="APZ47" s="193"/>
      <c r="AQA47" s="193"/>
      <c r="AQB47" s="193"/>
      <c r="AQC47" s="193"/>
      <c r="AQD47" s="193"/>
      <c r="AQE47" s="193"/>
      <c r="AQF47" s="193"/>
      <c r="AQG47" s="193"/>
      <c r="AQH47" s="193"/>
      <c r="AQI47" s="193"/>
      <c r="AQJ47" s="193"/>
      <c r="AQK47" s="193"/>
      <c r="AQL47" s="193"/>
      <c r="AQM47" s="193"/>
      <c r="AQN47" s="193"/>
      <c r="AQO47" s="193"/>
      <c r="AQP47" s="193"/>
      <c r="AQQ47" s="193"/>
      <c r="AQR47" s="193"/>
      <c r="AQS47" s="193"/>
      <c r="AQT47" s="193"/>
      <c r="AQU47" s="193"/>
      <c r="AQV47" s="193"/>
      <c r="AQW47" s="193"/>
      <c r="AQX47" s="193"/>
      <c r="AQY47" s="193"/>
      <c r="AQZ47" s="193"/>
      <c r="ARA47" s="193"/>
      <c r="ARB47" s="193"/>
      <c r="ARC47" s="193"/>
      <c r="ARD47" s="193"/>
      <c r="ARE47" s="193"/>
      <c r="ARF47" s="193"/>
      <c r="ARG47" s="193"/>
      <c r="ARH47" s="193"/>
      <c r="ARI47" s="193"/>
      <c r="ARJ47" s="193"/>
      <c r="ARK47" s="193"/>
      <c r="ARL47" s="193"/>
      <c r="ARM47" s="193"/>
      <c r="ARN47" s="193"/>
      <c r="ARO47" s="193"/>
      <c r="ARP47" s="193"/>
      <c r="ARQ47" s="193"/>
      <c r="ARR47" s="193"/>
      <c r="ARS47" s="193"/>
      <c r="ART47" s="193"/>
      <c r="ARU47" s="193"/>
      <c r="ARV47" s="193"/>
      <c r="ARW47" s="193"/>
      <c r="ARX47" s="193"/>
      <c r="ARY47" s="193"/>
      <c r="ARZ47" s="193"/>
      <c r="ASA47" s="193"/>
      <c r="ASB47" s="193"/>
      <c r="ASC47" s="193"/>
      <c r="ASD47" s="193"/>
      <c r="ASE47" s="193"/>
      <c r="ASF47" s="193"/>
      <c r="ASG47" s="193"/>
      <c r="ASH47" s="193"/>
      <c r="ASI47" s="193"/>
      <c r="ASJ47" s="193"/>
      <c r="ASK47" s="193"/>
      <c r="ASL47" s="193"/>
      <c r="ASM47" s="193"/>
      <c r="ASN47" s="193"/>
      <c r="ASO47" s="193"/>
      <c r="ASP47" s="193"/>
      <c r="ASQ47" s="193"/>
      <c r="ASR47" s="193"/>
      <c r="ASS47" s="193"/>
      <c r="AST47" s="193"/>
      <c r="ASU47" s="193"/>
      <c r="ASV47" s="193"/>
      <c r="ASW47" s="193"/>
      <c r="ASX47" s="193"/>
      <c r="ASY47" s="193"/>
      <c r="ASZ47" s="193"/>
      <c r="ATA47" s="193"/>
      <c r="ATB47" s="193"/>
      <c r="ATC47" s="193"/>
      <c r="ATD47" s="193"/>
      <c r="ATE47" s="193"/>
      <c r="ATF47" s="193"/>
      <c r="ATG47" s="193"/>
      <c r="ATH47" s="193"/>
      <c r="ATI47" s="193"/>
      <c r="ATJ47" s="193"/>
      <c r="ATK47" s="193"/>
      <c r="ATL47" s="193"/>
      <c r="ATM47" s="193"/>
      <c r="ATN47" s="193"/>
      <c r="ATO47" s="193"/>
      <c r="ATP47" s="193"/>
      <c r="ATQ47" s="193"/>
      <c r="ATR47" s="193"/>
      <c r="ATS47" s="193"/>
      <c r="ATT47" s="193"/>
      <c r="ATU47" s="193"/>
      <c r="ATV47" s="193"/>
      <c r="ATW47" s="193"/>
      <c r="ATX47" s="193"/>
      <c r="ATY47" s="193"/>
      <c r="ATZ47" s="193"/>
      <c r="AUA47" s="193"/>
      <c r="AUB47" s="193"/>
      <c r="AUC47" s="193"/>
      <c r="AUD47" s="193"/>
      <c r="AUE47" s="193"/>
      <c r="AUF47" s="193"/>
      <c r="AUG47" s="193"/>
      <c r="AUH47" s="193"/>
      <c r="AUI47" s="193"/>
      <c r="AUJ47" s="193"/>
      <c r="AUK47" s="193"/>
      <c r="AUL47" s="193"/>
      <c r="AUM47" s="193"/>
      <c r="AUN47" s="193"/>
      <c r="AUO47" s="193"/>
      <c r="AUP47" s="193"/>
      <c r="AUQ47" s="193"/>
      <c r="AUR47" s="193"/>
      <c r="AUS47" s="193"/>
      <c r="AUT47" s="193"/>
      <c r="AUU47" s="193"/>
      <c r="AUV47" s="193"/>
      <c r="AUW47" s="193"/>
      <c r="AUX47" s="193"/>
      <c r="AUY47" s="193"/>
      <c r="AUZ47" s="193"/>
      <c r="AVA47" s="193"/>
      <c r="AVB47" s="193"/>
      <c r="AVC47" s="193"/>
      <c r="AVD47" s="193"/>
      <c r="AVE47" s="193"/>
      <c r="AVF47" s="193"/>
      <c r="AVG47" s="193"/>
      <c r="AVH47" s="193"/>
      <c r="AVI47" s="193"/>
      <c r="AVJ47" s="193"/>
      <c r="AVK47" s="193"/>
      <c r="AVL47" s="193"/>
      <c r="AVM47" s="193"/>
      <c r="AVN47" s="193"/>
      <c r="AVO47" s="193"/>
      <c r="AVP47" s="193"/>
      <c r="AVQ47" s="193"/>
      <c r="AVR47" s="193"/>
      <c r="AVS47" s="193"/>
      <c r="AVT47" s="193"/>
      <c r="AVU47" s="193"/>
      <c r="AVV47" s="193"/>
      <c r="AVW47" s="193"/>
      <c r="AVX47" s="193"/>
      <c r="AVY47" s="193"/>
      <c r="AVZ47" s="193"/>
      <c r="AWA47" s="193"/>
      <c r="AWB47" s="193"/>
      <c r="AWC47" s="193"/>
      <c r="AWD47" s="193"/>
      <c r="AWE47" s="193"/>
      <c r="AWF47" s="193"/>
      <c r="AWG47" s="193"/>
      <c r="AWH47" s="193"/>
      <c r="AWI47" s="193"/>
      <c r="AWJ47" s="193"/>
      <c r="AWK47" s="193"/>
      <c r="AWL47" s="193"/>
      <c r="AWM47" s="193"/>
      <c r="AWN47" s="193"/>
      <c r="AWO47" s="193"/>
      <c r="AWP47" s="193"/>
      <c r="AWQ47" s="193"/>
      <c r="AWR47" s="193"/>
      <c r="AWS47" s="193"/>
      <c r="AWT47" s="193"/>
      <c r="AWU47" s="193"/>
      <c r="AWV47" s="193"/>
      <c r="AWW47" s="193"/>
      <c r="AWX47" s="193"/>
      <c r="AWY47" s="193"/>
      <c r="AWZ47" s="193"/>
      <c r="AXA47" s="193"/>
      <c r="AXB47" s="193"/>
      <c r="AXC47" s="193"/>
      <c r="AXD47" s="193"/>
      <c r="AXE47" s="193"/>
      <c r="AXF47" s="193"/>
      <c r="AXG47" s="193"/>
      <c r="AXH47" s="193"/>
      <c r="AXI47" s="193"/>
      <c r="AXJ47" s="193"/>
      <c r="AXK47" s="193"/>
      <c r="AXL47" s="193"/>
      <c r="AXM47" s="193"/>
      <c r="AXN47" s="193"/>
      <c r="AXO47" s="193"/>
      <c r="AXP47" s="193"/>
      <c r="AXQ47" s="193"/>
      <c r="AXR47" s="193"/>
      <c r="AXS47" s="193"/>
      <c r="AXT47" s="193"/>
      <c r="AXU47" s="193"/>
      <c r="AXV47" s="193"/>
      <c r="AXW47" s="193"/>
      <c r="AXX47" s="193"/>
      <c r="AXY47" s="193"/>
      <c r="AXZ47" s="193"/>
      <c r="AYA47" s="193"/>
      <c r="AYB47" s="193"/>
      <c r="AYC47" s="193"/>
      <c r="AYD47" s="193"/>
      <c r="AYE47" s="193"/>
      <c r="AYF47" s="193"/>
      <c r="AYG47" s="193"/>
      <c r="AYH47" s="193"/>
      <c r="AYI47" s="193"/>
      <c r="AYJ47" s="193"/>
      <c r="AYK47" s="193"/>
      <c r="AYL47" s="193"/>
      <c r="AYM47" s="193"/>
      <c r="AYN47" s="193"/>
      <c r="AYO47" s="193"/>
      <c r="AYP47" s="193"/>
      <c r="AYQ47" s="193"/>
      <c r="AYR47" s="193"/>
      <c r="AYS47" s="193"/>
      <c r="AYT47" s="193"/>
      <c r="AYU47" s="193"/>
      <c r="AYV47" s="193"/>
      <c r="AYW47" s="193"/>
      <c r="AYX47" s="193"/>
      <c r="AYY47" s="193"/>
      <c r="AYZ47" s="193"/>
      <c r="AZA47" s="193"/>
      <c r="AZB47" s="193"/>
      <c r="AZC47" s="193"/>
      <c r="AZD47" s="193"/>
      <c r="AZE47" s="193"/>
      <c r="AZF47" s="193"/>
      <c r="AZG47" s="193"/>
      <c r="AZH47" s="193"/>
      <c r="AZI47" s="193"/>
      <c r="AZJ47" s="193"/>
      <c r="AZK47" s="193"/>
      <c r="AZL47" s="193"/>
      <c r="AZM47" s="193"/>
      <c r="AZN47" s="193"/>
      <c r="AZO47" s="193"/>
      <c r="AZP47" s="193"/>
      <c r="AZQ47" s="193"/>
      <c r="AZR47" s="193"/>
      <c r="AZS47" s="193"/>
      <c r="AZT47" s="193"/>
      <c r="AZU47" s="193"/>
      <c r="AZV47" s="193"/>
      <c r="AZW47" s="193"/>
      <c r="AZX47" s="193"/>
      <c r="AZY47" s="193"/>
      <c r="AZZ47" s="193"/>
      <c r="BAA47" s="193"/>
      <c r="BAB47" s="193"/>
      <c r="BAC47" s="193"/>
      <c r="BAD47" s="193"/>
      <c r="BAE47" s="193"/>
      <c r="BAF47" s="193"/>
      <c r="BAG47" s="193"/>
      <c r="BAH47" s="193"/>
      <c r="BAI47" s="193"/>
      <c r="BAJ47" s="193"/>
      <c r="BAK47" s="193"/>
      <c r="BAL47" s="193"/>
      <c r="BAM47" s="193"/>
      <c r="BAN47" s="193"/>
      <c r="BAO47" s="193"/>
      <c r="BAP47" s="193"/>
      <c r="BAQ47" s="193"/>
      <c r="BAR47" s="193"/>
      <c r="BAS47" s="193"/>
      <c r="BAT47" s="193"/>
      <c r="BAU47" s="193"/>
      <c r="BAV47" s="193"/>
      <c r="BAW47" s="193"/>
      <c r="BAX47" s="193"/>
      <c r="BAY47" s="193"/>
      <c r="BAZ47" s="193"/>
      <c r="BBA47" s="193"/>
      <c r="BBB47" s="193"/>
      <c r="BBC47" s="193"/>
      <c r="BBD47" s="193"/>
      <c r="BBE47" s="193"/>
      <c r="BBF47" s="193"/>
      <c r="BBG47" s="193"/>
      <c r="BBH47" s="193"/>
      <c r="BBI47" s="193"/>
      <c r="BBJ47" s="193"/>
      <c r="BBK47" s="193"/>
      <c r="BBL47" s="193"/>
      <c r="BBM47" s="193"/>
      <c r="BBN47" s="193"/>
      <c r="BBO47" s="193"/>
      <c r="BBP47" s="193"/>
      <c r="BBQ47" s="193"/>
      <c r="BBR47" s="193"/>
      <c r="BBS47" s="193"/>
      <c r="BBT47" s="193"/>
      <c r="BBU47" s="193"/>
      <c r="BBV47" s="193"/>
      <c r="BBW47" s="193"/>
      <c r="BBX47" s="193"/>
      <c r="BBY47" s="193"/>
      <c r="BBZ47" s="193"/>
      <c r="BCA47" s="193"/>
      <c r="BCB47" s="193"/>
      <c r="BCC47" s="193"/>
      <c r="BCD47" s="193"/>
      <c r="BCE47" s="193"/>
      <c r="BCF47" s="193"/>
      <c r="BCG47" s="193"/>
      <c r="BCH47" s="193"/>
      <c r="BCI47" s="193"/>
      <c r="BCJ47" s="193"/>
      <c r="BCK47" s="193"/>
      <c r="BCL47" s="193"/>
      <c r="BCM47" s="193"/>
      <c r="BCN47" s="193"/>
      <c r="BCO47" s="193"/>
      <c r="BCP47" s="193"/>
      <c r="BCQ47" s="193"/>
      <c r="BCR47" s="193"/>
      <c r="BCS47" s="193"/>
      <c r="BCT47" s="193"/>
      <c r="BCU47" s="193"/>
      <c r="BCV47" s="193"/>
      <c r="BCW47" s="193"/>
      <c r="BCX47" s="193"/>
      <c r="BCY47" s="193"/>
      <c r="BCZ47" s="193"/>
      <c r="BDA47" s="193"/>
      <c r="BDB47" s="193"/>
      <c r="BDC47" s="193"/>
      <c r="BDD47" s="193"/>
      <c r="BDE47" s="193"/>
      <c r="BDF47" s="193"/>
      <c r="BDG47" s="193"/>
      <c r="BDH47" s="193"/>
      <c r="BDI47" s="193"/>
      <c r="BDJ47" s="193"/>
      <c r="BDK47" s="193"/>
      <c r="BDL47" s="193"/>
      <c r="BDM47" s="193"/>
      <c r="BDN47" s="193"/>
      <c r="BDO47" s="193"/>
      <c r="BDP47" s="193"/>
      <c r="BDQ47" s="193"/>
      <c r="BDR47" s="193"/>
      <c r="BDS47" s="193"/>
      <c r="BDT47" s="193"/>
      <c r="BDU47" s="193"/>
      <c r="BDV47" s="193"/>
      <c r="BDW47" s="193"/>
      <c r="BDX47" s="193"/>
      <c r="BDY47" s="193"/>
      <c r="BDZ47" s="193"/>
      <c r="BEA47" s="193"/>
      <c r="BEB47" s="193"/>
      <c r="BEC47" s="193"/>
      <c r="BED47" s="193"/>
      <c r="BEE47" s="193"/>
      <c r="BEF47" s="193"/>
      <c r="BEG47" s="193"/>
      <c r="BEH47" s="193"/>
      <c r="BEI47" s="193"/>
      <c r="BEJ47" s="193"/>
      <c r="BEK47" s="193"/>
      <c r="BEL47" s="193"/>
      <c r="BEM47" s="193"/>
      <c r="BEN47" s="193"/>
      <c r="BEO47" s="193"/>
      <c r="BEP47" s="193"/>
      <c r="BEQ47" s="193"/>
      <c r="BER47" s="193"/>
      <c r="BES47" s="193"/>
      <c r="BET47" s="193"/>
      <c r="BEU47" s="193"/>
      <c r="BEV47" s="193"/>
      <c r="BEW47" s="193"/>
      <c r="BEX47" s="193"/>
      <c r="BEY47" s="193"/>
      <c r="BEZ47" s="193"/>
      <c r="BFA47" s="193"/>
      <c r="BFB47" s="193"/>
      <c r="BFC47" s="193"/>
      <c r="BFD47" s="193"/>
      <c r="BFE47" s="193"/>
      <c r="BFF47" s="193"/>
      <c r="BFG47" s="193"/>
      <c r="BFH47" s="193"/>
      <c r="BFI47" s="193"/>
      <c r="BFJ47" s="193"/>
      <c r="BFK47" s="193"/>
      <c r="BFL47" s="193"/>
      <c r="BFM47" s="193"/>
      <c r="BFN47" s="193"/>
      <c r="BFO47" s="193"/>
      <c r="BFP47" s="193"/>
      <c r="BFQ47" s="193"/>
      <c r="BFR47" s="193"/>
      <c r="BFS47" s="193"/>
      <c r="BFT47" s="193"/>
      <c r="BFU47" s="193"/>
      <c r="BFV47" s="193"/>
      <c r="BFW47" s="193"/>
      <c r="BFX47" s="193"/>
      <c r="BFY47" s="193"/>
      <c r="BFZ47" s="193"/>
      <c r="BGA47" s="193"/>
      <c r="BGB47" s="193"/>
      <c r="BGC47" s="193"/>
      <c r="BGD47" s="193"/>
      <c r="BGE47" s="193"/>
      <c r="BGF47" s="193"/>
      <c r="BGG47" s="193"/>
      <c r="BGH47" s="193"/>
      <c r="BGI47" s="193"/>
      <c r="BGJ47" s="193"/>
      <c r="BGK47" s="193"/>
      <c r="BGL47" s="193"/>
      <c r="BGM47" s="193"/>
      <c r="BGN47" s="193"/>
      <c r="BGO47" s="193"/>
      <c r="BGP47" s="193"/>
      <c r="BGQ47" s="193"/>
      <c r="BGR47" s="193"/>
      <c r="BGS47" s="193"/>
      <c r="BGT47" s="193"/>
      <c r="BGU47" s="193"/>
      <c r="BGV47" s="193"/>
      <c r="BGW47" s="193"/>
      <c r="BGX47" s="193"/>
      <c r="BGY47" s="193"/>
      <c r="BGZ47" s="193"/>
      <c r="BHA47" s="193"/>
      <c r="BHB47" s="193"/>
      <c r="BHC47" s="193"/>
      <c r="BHD47" s="193"/>
      <c r="BHE47" s="193"/>
      <c r="BHF47" s="193"/>
      <c r="BHG47" s="193"/>
      <c r="BHH47" s="193"/>
      <c r="BHI47" s="193"/>
      <c r="BHJ47" s="193"/>
      <c r="BHK47" s="193"/>
      <c r="BHL47" s="193"/>
      <c r="BHM47" s="193"/>
      <c r="BHN47" s="193"/>
      <c r="BHO47" s="193"/>
      <c r="BHP47" s="193"/>
      <c r="BHQ47" s="193"/>
      <c r="BHR47" s="193"/>
      <c r="BHS47" s="193"/>
      <c r="BHT47" s="193"/>
      <c r="BHU47" s="193"/>
      <c r="BHV47" s="193"/>
      <c r="BHW47" s="193"/>
      <c r="BHX47" s="193"/>
      <c r="BHY47" s="193"/>
      <c r="BHZ47" s="193"/>
      <c r="BIA47" s="193"/>
      <c r="BIB47" s="193"/>
      <c r="BIC47" s="193"/>
      <c r="BID47" s="193"/>
      <c r="BIE47" s="193"/>
      <c r="BIF47" s="193"/>
      <c r="BIG47" s="193"/>
      <c r="BIH47" s="193"/>
      <c r="BII47" s="193"/>
      <c r="BIJ47" s="193"/>
      <c r="BIK47" s="193"/>
      <c r="BIL47" s="193"/>
      <c r="BIM47" s="193"/>
      <c r="BIN47" s="193"/>
      <c r="BIO47" s="193"/>
      <c r="BIP47" s="193"/>
      <c r="BIQ47" s="193"/>
      <c r="BIR47" s="193"/>
      <c r="BIS47" s="193"/>
      <c r="BIT47" s="193"/>
      <c r="BIU47" s="193"/>
      <c r="BIV47" s="193"/>
      <c r="BIW47" s="193"/>
      <c r="BIX47" s="193"/>
      <c r="BIY47" s="193"/>
      <c r="BIZ47" s="193"/>
      <c r="BJA47" s="193"/>
      <c r="BJB47" s="193"/>
      <c r="BJC47" s="193"/>
      <c r="BJD47" s="193"/>
      <c r="BJE47" s="193"/>
      <c r="BJF47" s="193"/>
      <c r="BJG47" s="193"/>
      <c r="BJH47" s="193"/>
      <c r="BJI47" s="193"/>
      <c r="BJJ47" s="193"/>
      <c r="BJK47" s="193"/>
      <c r="BJL47" s="193"/>
      <c r="BJM47" s="193"/>
      <c r="BJN47" s="193"/>
      <c r="BJO47" s="193"/>
      <c r="BJP47" s="193"/>
      <c r="BJQ47" s="193"/>
      <c r="BJR47" s="193"/>
      <c r="BJS47" s="193"/>
      <c r="BJT47" s="193"/>
      <c r="BJU47" s="193"/>
      <c r="BJV47" s="193"/>
      <c r="BJW47" s="193"/>
      <c r="BJX47" s="193"/>
      <c r="BJY47" s="193"/>
      <c r="BJZ47" s="193"/>
      <c r="BKA47" s="193"/>
      <c r="BKB47" s="193"/>
      <c r="BKC47" s="193"/>
      <c r="BKD47" s="193"/>
      <c r="BKE47" s="193"/>
      <c r="BKF47" s="193"/>
      <c r="BKG47" s="193"/>
      <c r="BKH47" s="193"/>
      <c r="BKI47" s="193"/>
      <c r="BKJ47" s="193"/>
      <c r="BKK47" s="193"/>
      <c r="BKL47" s="193"/>
      <c r="BKM47" s="193"/>
      <c r="BKN47" s="193"/>
      <c r="BKO47" s="193"/>
      <c r="BKP47" s="193"/>
      <c r="BKQ47" s="193"/>
      <c r="BKR47" s="193"/>
      <c r="BKS47" s="193"/>
      <c r="BKT47" s="193"/>
      <c r="BKU47" s="193"/>
      <c r="BKV47" s="193"/>
      <c r="BKW47" s="193"/>
      <c r="BKX47" s="193"/>
      <c r="BKY47" s="193"/>
      <c r="BKZ47" s="193"/>
      <c r="BLA47" s="193"/>
      <c r="BLB47" s="193"/>
      <c r="BLC47" s="193"/>
      <c r="BLD47" s="193"/>
      <c r="BLE47" s="193"/>
      <c r="BLF47" s="193"/>
      <c r="BLG47" s="193"/>
      <c r="BLH47" s="193"/>
      <c r="BLI47" s="193"/>
      <c r="BLJ47" s="193"/>
      <c r="BLK47" s="193"/>
      <c r="BLL47" s="193"/>
      <c r="BLM47" s="193"/>
      <c r="BLN47" s="193"/>
      <c r="BLO47" s="193"/>
      <c r="BLP47" s="193"/>
      <c r="BLQ47" s="193"/>
      <c r="BLR47" s="193"/>
      <c r="BLS47" s="193"/>
      <c r="BLT47" s="193"/>
      <c r="BLU47" s="193"/>
      <c r="BLV47" s="193"/>
      <c r="BLW47" s="193"/>
      <c r="BLX47" s="193"/>
      <c r="BLY47" s="193"/>
      <c r="BLZ47" s="193"/>
      <c r="BMA47" s="193"/>
      <c r="BMB47" s="193"/>
      <c r="BMC47" s="193"/>
      <c r="BMD47" s="193"/>
      <c r="BME47" s="193"/>
      <c r="BMF47" s="193"/>
      <c r="BMG47" s="193"/>
      <c r="BMH47" s="193"/>
      <c r="BMI47" s="193"/>
      <c r="BMJ47" s="193"/>
      <c r="BMK47" s="193"/>
      <c r="BML47" s="193"/>
      <c r="BMM47" s="193"/>
      <c r="BMN47" s="193"/>
      <c r="BMO47" s="193"/>
      <c r="BMP47" s="193"/>
      <c r="BMQ47" s="193"/>
      <c r="BMR47" s="193"/>
      <c r="BMS47" s="193"/>
      <c r="BMT47" s="193"/>
      <c r="BMU47" s="193"/>
      <c r="BMV47" s="193"/>
      <c r="BMW47" s="193"/>
      <c r="BMX47" s="193"/>
      <c r="BMY47" s="193"/>
      <c r="BMZ47" s="193"/>
      <c r="BNA47" s="193"/>
      <c r="BNB47" s="193"/>
      <c r="BNC47" s="193"/>
      <c r="BND47" s="193"/>
      <c r="BNE47" s="193"/>
      <c r="BNF47" s="193"/>
      <c r="BNG47" s="193"/>
      <c r="BNH47" s="193"/>
      <c r="BNI47" s="193"/>
      <c r="BNJ47" s="193"/>
      <c r="BNK47" s="193"/>
      <c r="BNL47" s="193"/>
      <c r="BNM47" s="193"/>
      <c r="BNN47" s="193"/>
      <c r="BNO47" s="193"/>
      <c r="BNP47" s="193"/>
      <c r="BNQ47" s="193"/>
      <c r="BNR47" s="193"/>
      <c r="BNS47" s="193"/>
      <c r="BNT47" s="193"/>
      <c r="BNU47" s="193"/>
      <c r="BNV47" s="193"/>
      <c r="BNW47" s="193"/>
      <c r="BNX47" s="193"/>
      <c r="BNY47" s="193"/>
      <c r="BNZ47" s="193"/>
      <c r="BOA47" s="193"/>
      <c r="BOB47" s="193"/>
      <c r="BOC47" s="193"/>
      <c r="BOD47" s="193"/>
      <c r="BOE47" s="193"/>
      <c r="BOF47" s="193"/>
      <c r="BOG47" s="193"/>
      <c r="BOH47" s="193"/>
      <c r="BOI47" s="193"/>
      <c r="BOJ47" s="193"/>
      <c r="BOK47" s="193"/>
      <c r="BOL47" s="193"/>
      <c r="BOM47" s="193"/>
      <c r="BON47" s="193"/>
      <c r="BOO47" s="193"/>
      <c r="BOP47" s="193"/>
      <c r="BOQ47" s="193"/>
      <c r="BOR47" s="193"/>
      <c r="BOS47" s="193"/>
      <c r="BOT47" s="193"/>
      <c r="BOU47" s="193"/>
      <c r="BOV47" s="193"/>
      <c r="BOW47" s="193"/>
      <c r="BOX47" s="193"/>
      <c r="BOY47" s="193"/>
      <c r="BOZ47" s="193"/>
      <c r="BPA47" s="193"/>
      <c r="BPB47" s="193"/>
      <c r="BPC47" s="193"/>
      <c r="BPD47" s="193"/>
      <c r="BPE47" s="193"/>
      <c r="BPF47" s="193"/>
      <c r="BPG47" s="193"/>
      <c r="BPH47" s="193"/>
      <c r="BPI47" s="193"/>
      <c r="BPJ47" s="193"/>
      <c r="BPK47" s="193"/>
      <c r="BPL47" s="193"/>
      <c r="BPM47" s="193"/>
      <c r="BPN47" s="193"/>
      <c r="BPO47" s="193"/>
      <c r="BPP47" s="193"/>
      <c r="BPQ47" s="193"/>
      <c r="BPR47" s="193"/>
      <c r="BPS47" s="193"/>
      <c r="BPT47" s="193"/>
      <c r="BPU47" s="193"/>
      <c r="BPV47" s="193"/>
      <c r="BPW47" s="193"/>
      <c r="BPX47" s="193"/>
      <c r="BPY47" s="193"/>
      <c r="BPZ47" s="193"/>
      <c r="BQA47" s="193"/>
      <c r="BQB47" s="193"/>
      <c r="BQC47" s="193"/>
      <c r="BQD47" s="193"/>
      <c r="BQE47" s="193"/>
      <c r="BQF47" s="193"/>
      <c r="BQG47" s="193"/>
      <c r="BQH47" s="193"/>
      <c r="BQI47" s="193"/>
      <c r="BQJ47" s="193"/>
      <c r="BQK47" s="193"/>
      <c r="BQL47" s="193"/>
      <c r="BQM47" s="193"/>
      <c r="BQN47" s="193"/>
      <c r="BQO47" s="193"/>
      <c r="BQP47" s="193"/>
      <c r="BQQ47" s="193"/>
      <c r="BQR47" s="193"/>
      <c r="BQS47" s="193"/>
      <c r="BQT47" s="193"/>
      <c r="BQU47" s="193"/>
      <c r="BQV47" s="193"/>
      <c r="BQW47" s="193"/>
      <c r="BQX47" s="193"/>
      <c r="BQY47" s="193"/>
      <c r="BQZ47" s="193"/>
      <c r="BRA47" s="193"/>
      <c r="BRB47" s="193"/>
      <c r="BRC47" s="193"/>
      <c r="BRD47" s="193"/>
      <c r="BRE47" s="193"/>
      <c r="BRF47" s="193"/>
      <c r="BRG47" s="193"/>
      <c r="BRH47" s="193"/>
      <c r="BRI47" s="193"/>
      <c r="BRJ47" s="193"/>
      <c r="BRK47" s="193"/>
      <c r="BRL47" s="193"/>
      <c r="BRM47" s="193"/>
      <c r="BRN47" s="193"/>
      <c r="BRO47" s="193"/>
      <c r="BRP47" s="193"/>
      <c r="BRQ47" s="193"/>
      <c r="BRR47" s="193"/>
      <c r="BRS47" s="193"/>
      <c r="BRT47" s="193"/>
      <c r="BRU47" s="193"/>
      <c r="BRV47" s="193"/>
      <c r="BRW47" s="193"/>
      <c r="BRX47" s="193"/>
      <c r="BRY47" s="193"/>
      <c r="BRZ47" s="193"/>
      <c r="BSA47" s="193"/>
      <c r="BSB47" s="193"/>
      <c r="BSC47" s="193"/>
      <c r="BSD47" s="193"/>
      <c r="BSE47" s="193"/>
      <c r="BSF47" s="193"/>
      <c r="BSG47" s="193"/>
      <c r="BSH47" s="193"/>
      <c r="BSI47" s="193"/>
      <c r="BSJ47" s="193"/>
      <c r="BSK47" s="193"/>
      <c r="BSL47" s="193"/>
      <c r="BSM47" s="193"/>
      <c r="BSN47" s="193"/>
      <c r="BSO47" s="193"/>
      <c r="BSP47" s="193"/>
      <c r="BSQ47" s="193"/>
      <c r="BSR47" s="193"/>
      <c r="BSS47" s="193"/>
      <c r="BST47" s="193"/>
      <c r="BSU47" s="193"/>
      <c r="BSV47" s="193"/>
      <c r="BSW47" s="193"/>
      <c r="BSX47" s="193"/>
      <c r="BSY47" s="193"/>
      <c r="BSZ47" s="193"/>
      <c r="BTA47" s="193"/>
      <c r="BTB47" s="193"/>
      <c r="BTC47" s="193"/>
      <c r="BTD47" s="193"/>
      <c r="BTE47" s="193"/>
      <c r="BTF47" s="193"/>
      <c r="BTG47" s="193"/>
      <c r="BTH47" s="193"/>
      <c r="BTI47" s="193"/>
      <c r="BTJ47" s="193"/>
      <c r="BTK47" s="193"/>
      <c r="BTL47" s="193"/>
      <c r="BTM47" s="193"/>
      <c r="BTN47" s="193"/>
      <c r="BTO47" s="193"/>
      <c r="BTP47" s="193"/>
      <c r="BTQ47" s="193"/>
      <c r="BTR47" s="193"/>
      <c r="BTS47" s="193"/>
      <c r="BTT47" s="193"/>
      <c r="BTU47" s="193"/>
      <c r="BTV47" s="193"/>
      <c r="BTW47" s="193"/>
      <c r="BTX47" s="193"/>
      <c r="BTY47" s="193"/>
      <c r="BTZ47" s="193"/>
      <c r="BUA47" s="193"/>
      <c r="BUB47" s="193"/>
      <c r="BUC47" s="193"/>
      <c r="BUD47" s="193"/>
      <c r="BUE47" s="193"/>
      <c r="BUF47" s="193"/>
      <c r="BUG47" s="193"/>
      <c r="BUH47" s="193"/>
      <c r="BUI47" s="193"/>
      <c r="BUJ47" s="193"/>
      <c r="BUK47" s="193"/>
      <c r="BUL47" s="193"/>
      <c r="BUM47" s="193"/>
      <c r="BUN47" s="193"/>
      <c r="BUO47" s="193"/>
      <c r="BUP47" s="193"/>
      <c r="BUQ47" s="193"/>
      <c r="BUR47" s="193"/>
      <c r="BUS47" s="193"/>
      <c r="BUT47" s="193"/>
      <c r="BUU47" s="193"/>
      <c r="BUV47" s="193"/>
      <c r="BUW47" s="193"/>
      <c r="BUX47" s="193"/>
      <c r="BUY47" s="193"/>
      <c r="BUZ47" s="193"/>
      <c r="BVA47" s="193"/>
      <c r="BVB47" s="193"/>
      <c r="BVC47" s="193"/>
      <c r="BVD47" s="193"/>
      <c r="BVE47" s="193"/>
      <c r="BVF47" s="193"/>
      <c r="BVG47" s="193"/>
      <c r="BVH47" s="193"/>
      <c r="BVI47" s="193"/>
      <c r="BVJ47" s="193"/>
      <c r="BVK47" s="193"/>
      <c r="BVL47" s="193"/>
      <c r="BVM47" s="193"/>
      <c r="BVN47" s="193"/>
      <c r="BVO47" s="193"/>
      <c r="BVP47" s="193"/>
      <c r="BVQ47" s="193"/>
      <c r="BVR47" s="193"/>
      <c r="BVS47" s="193"/>
      <c r="BVT47" s="193"/>
      <c r="BVU47" s="193"/>
      <c r="BVV47" s="193"/>
      <c r="BVW47" s="193"/>
      <c r="BVX47" s="193"/>
      <c r="BVY47" s="193"/>
      <c r="BVZ47" s="193"/>
      <c r="BWA47" s="193"/>
      <c r="BWB47" s="193"/>
      <c r="BWC47" s="193"/>
      <c r="BWD47" s="193"/>
      <c r="BWE47" s="193"/>
      <c r="BWF47" s="193"/>
      <c r="BWG47" s="193"/>
      <c r="BWH47" s="193"/>
      <c r="BWI47" s="193"/>
      <c r="BWJ47" s="193"/>
      <c r="BWK47" s="193"/>
      <c r="BWL47" s="193"/>
      <c r="BWM47" s="193"/>
      <c r="BWN47" s="193"/>
      <c r="BWO47" s="193"/>
      <c r="BWP47" s="193"/>
      <c r="BWQ47" s="193"/>
      <c r="BWR47" s="193"/>
      <c r="BWS47" s="193"/>
      <c r="BWT47" s="193"/>
      <c r="BWU47" s="193"/>
      <c r="BWV47" s="193"/>
      <c r="BWW47" s="193"/>
      <c r="BWX47" s="193"/>
      <c r="BWY47" s="193"/>
      <c r="BWZ47" s="193"/>
      <c r="BXA47" s="193"/>
      <c r="BXB47" s="193"/>
      <c r="BXC47" s="193"/>
      <c r="BXD47" s="193"/>
      <c r="BXE47" s="193"/>
      <c r="BXF47" s="193"/>
      <c r="BXG47" s="193"/>
      <c r="BXH47" s="193"/>
      <c r="BXI47" s="193"/>
      <c r="BXJ47" s="193"/>
      <c r="BXK47" s="193"/>
      <c r="BXL47" s="193"/>
      <c r="BXM47" s="193"/>
      <c r="BXN47" s="193"/>
      <c r="BXO47" s="193"/>
      <c r="BXP47" s="193"/>
      <c r="BXQ47" s="193"/>
      <c r="BXR47" s="193"/>
      <c r="BXS47" s="193"/>
      <c r="BXT47" s="193"/>
      <c r="BXU47" s="193"/>
      <c r="BXV47" s="193"/>
      <c r="BXW47" s="193"/>
      <c r="BXX47" s="193"/>
      <c r="BXY47" s="193"/>
      <c r="BXZ47" s="193"/>
      <c r="BYA47" s="193"/>
      <c r="BYB47" s="193"/>
      <c r="BYC47" s="193"/>
      <c r="BYD47" s="193"/>
      <c r="BYE47" s="193"/>
      <c r="BYF47" s="193"/>
      <c r="BYG47" s="193"/>
      <c r="BYH47" s="193"/>
      <c r="BYI47" s="193"/>
      <c r="BYJ47" s="193"/>
      <c r="BYK47" s="193"/>
      <c r="BYL47" s="193"/>
      <c r="BYM47" s="193"/>
      <c r="BYN47" s="193"/>
      <c r="BYO47" s="193"/>
      <c r="BYP47" s="193"/>
      <c r="BYQ47" s="193"/>
      <c r="BYR47" s="193"/>
      <c r="BYS47" s="193"/>
      <c r="BYT47" s="193"/>
      <c r="BYU47" s="193"/>
      <c r="BYV47" s="193"/>
      <c r="BYW47" s="193"/>
      <c r="BYX47" s="193"/>
      <c r="BYY47" s="193"/>
      <c r="BYZ47" s="193"/>
      <c r="BZA47" s="193"/>
      <c r="BZB47" s="193"/>
      <c r="BZC47" s="193"/>
      <c r="BZD47" s="193"/>
      <c r="BZE47" s="193"/>
      <c r="BZF47" s="193"/>
      <c r="BZG47" s="193"/>
      <c r="BZH47" s="193"/>
      <c r="BZI47" s="193"/>
      <c r="BZJ47" s="193"/>
      <c r="BZK47" s="193"/>
      <c r="BZL47" s="193"/>
      <c r="BZM47" s="193"/>
      <c r="BZN47" s="193"/>
      <c r="BZO47" s="193"/>
      <c r="BZP47" s="193"/>
      <c r="BZQ47" s="193"/>
      <c r="BZR47" s="193"/>
      <c r="BZS47" s="193"/>
      <c r="BZT47" s="193"/>
      <c r="BZU47" s="193"/>
      <c r="BZV47" s="193"/>
      <c r="BZW47" s="193"/>
      <c r="BZX47" s="193"/>
      <c r="BZY47" s="193"/>
      <c r="BZZ47" s="193"/>
      <c r="CAA47" s="193"/>
      <c r="CAB47" s="193"/>
      <c r="CAC47" s="193"/>
      <c r="CAD47" s="193"/>
      <c r="CAE47" s="193"/>
      <c r="CAF47" s="193"/>
      <c r="CAG47" s="193"/>
      <c r="CAH47" s="193"/>
      <c r="CAI47" s="193"/>
      <c r="CAJ47" s="193"/>
      <c r="CAK47" s="193"/>
      <c r="CAL47" s="193"/>
      <c r="CAM47" s="193"/>
      <c r="CAN47" s="193"/>
      <c r="CAO47" s="193"/>
      <c r="CAP47" s="193"/>
      <c r="CAQ47" s="193"/>
      <c r="CAR47" s="193"/>
      <c r="CAS47" s="193"/>
      <c r="CAT47" s="193"/>
      <c r="CAU47" s="193"/>
      <c r="CAV47" s="193"/>
      <c r="CAW47" s="193"/>
      <c r="CAX47" s="193"/>
      <c r="CAY47" s="193"/>
      <c r="CAZ47" s="193"/>
      <c r="CBA47" s="193"/>
      <c r="CBB47" s="193"/>
      <c r="CBC47" s="193"/>
      <c r="CBD47" s="193"/>
      <c r="CBE47" s="193"/>
      <c r="CBF47" s="193"/>
      <c r="CBG47" s="193"/>
      <c r="CBH47" s="193"/>
      <c r="CBI47" s="193"/>
      <c r="CBJ47" s="193"/>
      <c r="CBK47" s="193"/>
      <c r="CBL47" s="193"/>
      <c r="CBM47" s="193"/>
      <c r="CBN47" s="193"/>
      <c r="CBO47" s="193"/>
      <c r="CBP47" s="193"/>
      <c r="CBQ47" s="193"/>
      <c r="CBR47" s="193"/>
      <c r="CBS47" s="193"/>
      <c r="CBT47" s="193"/>
      <c r="CBU47" s="193"/>
      <c r="CBV47" s="193"/>
      <c r="CBW47" s="193"/>
      <c r="CBX47" s="193"/>
      <c r="CBY47" s="193"/>
      <c r="CBZ47" s="193"/>
      <c r="CCA47" s="193"/>
      <c r="CCB47" s="193"/>
      <c r="CCC47" s="193"/>
      <c r="CCD47" s="193"/>
      <c r="CCE47" s="193"/>
      <c r="CCF47" s="193"/>
      <c r="CCG47" s="193"/>
      <c r="CCH47" s="193"/>
      <c r="CCI47" s="193"/>
      <c r="CCJ47" s="193"/>
      <c r="CCK47" s="193"/>
      <c r="CCL47" s="193"/>
      <c r="CCM47" s="193"/>
      <c r="CCN47" s="193"/>
      <c r="CCO47" s="193"/>
      <c r="CCP47" s="193"/>
      <c r="CCQ47" s="193"/>
      <c r="CCR47" s="193"/>
      <c r="CCS47" s="193"/>
      <c r="CCT47" s="193"/>
      <c r="CCU47" s="193"/>
      <c r="CCV47" s="193"/>
      <c r="CCW47" s="193"/>
      <c r="CCX47" s="193"/>
      <c r="CCY47" s="193"/>
      <c r="CCZ47" s="193"/>
      <c r="CDA47" s="193"/>
      <c r="CDB47" s="193"/>
      <c r="CDC47" s="193"/>
      <c r="CDD47" s="193"/>
      <c r="CDE47" s="193"/>
      <c r="CDF47" s="193"/>
      <c r="CDG47" s="193"/>
      <c r="CDH47" s="193"/>
      <c r="CDI47" s="193"/>
      <c r="CDJ47" s="193"/>
      <c r="CDK47" s="193"/>
      <c r="CDL47" s="193"/>
      <c r="CDM47" s="193"/>
      <c r="CDN47" s="193"/>
      <c r="CDO47" s="193"/>
      <c r="CDP47" s="193"/>
      <c r="CDQ47" s="193"/>
      <c r="CDR47" s="193"/>
      <c r="CDS47" s="193"/>
      <c r="CDT47" s="193"/>
      <c r="CDU47" s="193"/>
      <c r="CDV47" s="193"/>
      <c r="CDW47" s="193"/>
      <c r="CDX47" s="193"/>
      <c r="CDY47" s="193"/>
      <c r="CDZ47" s="193"/>
      <c r="CEA47" s="193"/>
      <c r="CEB47" s="193"/>
      <c r="CEC47" s="193"/>
      <c r="CED47" s="193"/>
      <c r="CEE47" s="193"/>
      <c r="CEF47" s="193"/>
      <c r="CEG47" s="193"/>
      <c r="CEH47" s="193"/>
      <c r="CEI47" s="193"/>
      <c r="CEJ47" s="193"/>
      <c r="CEK47" s="193"/>
      <c r="CEL47" s="193"/>
      <c r="CEM47" s="193"/>
      <c r="CEN47" s="193"/>
      <c r="CEO47" s="193"/>
      <c r="CEP47" s="193"/>
      <c r="CEQ47" s="193"/>
      <c r="CER47" s="193"/>
      <c r="CES47" s="193"/>
      <c r="CET47" s="193"/>
      <c r="CEU47" s="193"/>
      <c r="CEV47" s="193"/>
      <c r="CEW47" s="193"/>
      <c r="CEX47" s="193"/>
      <c r="CEY47" s="193"/>
      <c r="CEZ47" s="193"/>
      <c r="CFA47" s="193"/>
      <c r="CFB47" s="193"/>
      <c r="CFC47" s="193"/>
      <c r="CFD47" s="193"/>
      <c r="CFE47" s="193"/>
      <c r="CFF47" s="193"/>
      <c r="CFG47" s="193"/>
      <c r="CFH47" s="193"/>
      <c r="CFI47" s="193"/>
      <c r="CFJ47" s="193"/>
      <c r="CFK47" s="193"/>
      <c r="CFL47" s="193"/>
      <c r="CFM47" s="193"/>
      <c r="CFN47" s="193"/>
      <c r="CFO47" s="193"/>
      <c r="CFP47" s="193"/>
      <c r="CFQ47" s="193"/>
      <c r="CFR47" s="193"/>
      <c r="CFS47" s="193"/>
      <c r="CFT47" s="193"/>
      <c r="CFU47" s="193"/>
      <c r="CFV47" s="193"/>
      <c r="CFW47" s="193"/>
      <c r="CFX47" s="193"/>
      <c r="CFY47" s="193"/>
      <c r="CFZ47" s="193"/>
      <c r="CGA47" s="193"/>
      <c r="CGB47" s="193"/>
      <c r="CGC47" s="193"/>
      <c r="CGD47" s="193"/>
      <c r="CGE47" s="193"/>
      <c r="CGF47" s="193"/>
      <c r="CGG47" s="193"/>
      <c r="CGH47" s="193"/>
      <c r="CGI47" s="193"/>
      <c r="CGJ47" s="193"/>
      <c r="CGK47" s="193"/>
      <c r="CGL47" s="193"/>
      <c r="CGM47" s="193"/>
      <c r="CGN47" s="193"/>
      <c r="CGO47" s="193"/>
      <c r="CGP47" s="193"/>
      <c r="CGQ47" s="193"/>
      <c r="CGR47" s="193"/>
      <c r="CGS47" s="193"/>
      <c r="CGT47" s="193"/>
      <c r="CGU47" s="193"/>
      <c r="CGV47" s="193"/>
      <c r="CGW47" s="193"/>
      <c r="CGX47" s="193"/>
      <c r="CGY47" s="193"/>
      <c r="CGZ47" s="193"/>
      <c r="CHA47" s="193"/>
      <c r="CHB47" s="193"/>
      <c r="CHC47" s="193"/>
      <c r="CHD47" s="193"/>
      <c r="CHE47" s="193"/>
      <c r="CHF47" s="193"/>
      <c r="CHG47" s="193"/>
      <c r="CHH47" s="193"/>
      <c r="CHI47" s="193"/>
      <c r="CHJ47" s="193"/>
      <c r="CHK47" s="193"/>
      <c r="CHL47" s="193"/>
      <c r="CHM47" s="193"/>
      <c r="CHN47" s="193"/>
      <c r="CHO47" s="193"/>
      <c r="CHP47" s="193"/>
      <c r="CHQ47" s="193"/>
      <c r="CHR47" s="193"/>
      <c r="CHS47" s="193"/>
      <c r="CHT47" s="193"/>
      <c r="CHU47" s="193"/>
      <c r="CHV47" s="193"/>
      <c r="CHW47" s="193"/>
      <c r="CHX47" s="193"/>
      <c r="CHY47" s="193"/>
      <c r="CHZ47" s="193"/>
      <c r="CIA47" s="193"/>
      <c r="CIB47" s="193"/>
      <c r="CIC47" s="193"/>
      <c r="CID47" s="193"/>
      <c r="CIE47" s="193"/>
      <c r="CIF47" s="193"/>
      <c r="CIG47" s="193"/>
      <c r="CIH47" s="193"/>
      <c r="CII47" s="193"/>
      <c r="CIJ47" s="193"/>
      <c r="CIK47" s="193"/>
      <c r="CIL47" s="193"/>
      <c r="CIM47" s="193"/>
      <c r="CIN47" s="193"/>
      <c r="CIO47" s="193"/>
      <c r="CIP47" s="193"/>
      <c r="CIQ47" s="193"/>
      <c r="CIR47" s="193"/>
      <c r="CIS47" s="193"/>
      <c r="CIT47" s="193"/>
      <c r="CIU47" s="193"/>
      <c r="CIV47" s="193"/>
      <c r="CIW47" s="193"/>
      <c r="CIX47" s="193"/>
      <c r="CIY47" s="193"/>
      <c r="CIZ47" s="193"/>
      <c r="CJA47" s="193"/>
      <c r="CJB47" s="193"/>
      <c r="CJC47" s="193"/>
      <c r="CJD47" s="193"/>
      <c r="CJE47" s="193"/>
      <c r="CJF47" s="193"/>
      <c r="CJG47" s="193"/>
      <c r="CJH47" s="193"/>
      <c r="CJI47" s="193"/>
      <c r="CJJ47" s="193"/>
      <c r="CJK47" s="193"/>
      <c r="CJL47" s="193"/>
      <c r="CJM47" s="193"/>
      <c r="CJN47" s="193"/>
      <c r="CJO47" s="193"/>
      <c r="CJP47" s="193"/>
      <c r="CJQ47" s="193"/>
      <c r="CJR47" s="193"/>
      <c r="CJS47" s="193"/>
      <c r="CJT47" s="193"/>
      <c r="CJU47" s="193"/>
      <c r="CJV47" s="193"/>
      <c r="CJW47" s="193"/>
      <c r="CJX47" s="193"/>
      <c r="CJY47" s="193"/>
      <c r="CJZ47" s="193"/>
      <c r="CKA47" s="193"/>
      <c r="CKB47" s="193"/>
      <c r="CKC47" s="193"/>
      <c r="CKD47" s="193"/>
      <c r="CKE47" s="193"/>
      <c r="CKF47" s="193"/>
      <c r="CKG47" s="193"/>
      <c r="CKH47" s="193"/>
      <c r="CKI47" s="193"/>
      <c r="CKJ47" s="193"/>
      <c r="CKK47" s="193"/>
      <c r="CKL47" s="193"/>
      <c r="CKM47" s="193"/>
      <c r="CKN47" s="193"/>
      <c r="CKO47" s="193"/>
      <c r="CKP47" s="193"/>
      <c r="CKQ47" s="193"/>
      <c r="CKR47" s="193"/>
      <c r="CKS47" s="193"/>
      <c r="CKT47" s="193"/>
      <c r="CKU47" s="193"/>
      <c r="CKV47" s="193"/>
      <c r="CKW47" s="193"/>
      <c r="CKX47" s="193"/>
      <c r="CKY47" s="193"/>
      <c r="CKZ47" s="193"/>
      <c r="CLA47" s="193"/>
      <c r="CLB47" s="193"/>
      <c r="CLC47" s="193"/>
      <c r="CLD47" s="193"/>
      <c r="CLE47" s="193"/>
      <c r="CLF47" s="193"/>
      <c r="CLG47" s="193"/>
      <c r="CLH47" s="193"/>
      <c r="CLI47" s="193"/>
      <c r="CLJ47" s="193"/>
      <c r="CLK47" s="193"/>
      <c r="CLL47" s="193"/>
      <c r="CLM47" s="193"/>
      <c r="CLN47" s="193"/>
      <c r="CLO47" s="193"/>
      <c r="CLP47" s="193"/>
      <c r="CLQ47" s="193"/>
      <c r="CLR47" s="193"/>
      <c r="CLS47" s="193"/>
      <c r="CLT47" s="193"/>
      <c r="CLU47" s="193"/>
      <c r="CLV47" s="193"/>
      <c r="CLW47" s="193"/>
      <c r="CLX47" s="193"/>
      <c r="CLY47" s="193"/>
      <c r="CLZ47" s="193"/>
      <c r="CMA47" s="193"/>
      <c r="CMB47" s="193"/>
      <c r="CMC47" s="193"/>
      <c r="CMD47" s="193"/>
      <c r="CME47" s="193"/>
      <c r="CMF47" s="193"/>
      <c r="CMG47" s="193"/>
      <c r="CMH47" s="193"/>
      <c r="CMI47" s="193"/>
      <c r="CMJ47" s="193"/>
      <c r="CMK47" s="193"/>
      <c r="CML47" s="193"/>
      <c r="CMM47" s="193"/>
      <c r="CMN47" s="193"/>
      <c r="CMO47" s="193"/>
      <c r="CMP47" s="193"/>
      <c r="CMQ47" s="193"/>
      <c r="CMR47" s="193"/>
      <c r="CMS47" s="193"/>
      <c r="CMT47" s="193"/>
      <c r="CMU47" s="193"/>
      <c r="CMV47" s="193"/>
      <c r="CMW47" s="193"/>
      <c r="CMX47" s="193"/>
      <c r="CMY47" s="193"/>
      <c r="CMZ47" s="193"/>
      <c r="CNA47" s="193"/>
      <c r="CNB47" s="193"/>
      <c r="CNC47" s="193"/>
      <c r="CND47" s="193"/>
      <c r="CNE47" s="193"/>
      <c r="CNF47" s="193"/>
      <c r="CNG47" s="193"/>
      <c r="CNH47" s="193"/>
      <c r="CNI47" s="193"/>
      <c r="CNJ47" s="193"/>
      <c r="CNK47" s="193"/>
      <c r="CNL47" s="193"/>
      <c r="CNM47" s="193"/>
      <c r="CNN47" s="193"/>
      <c r="CNO47" s="193"/>
      <c r="CNP47" s="193"/>
      <c r="CNQ47" s="193"/>
      <c r="CNR47" s="193"/>
      <c r="CNS47" s="193"/>
      <c r="CNT47" s="193"/>
      <c r="CNU47" s="193"/>
      <c r="CNV47" s="193"/>
      <c r="CNW47" s="193"/>
      <c r="CNX47" s="193"/>
      <c r="CNY47" s="193"/>
      <c r="CNZ47" s="193"/>
      <c r="COA47" s="193"/>
      <c r="COB47" s="193"/>
      <c r="COC47" s="193"/>
      <c r="COD47" s="193"/>
      <c r="COE47" s="193"/>
      <c r="COF47" s="193"/>
      <c r="COG47" s="193"/>
      <c r="COH47" s="193"/>
      <c r="COI47" s="193"/>
      <c r="COJ47" s="193"/>
      <c r="COK47" s="193"/>
      <c r="COL47" s="193"/>
      <c r="COM47" s="193"/>
      <c r="CON47" s="193"/>
      <c r="COO47" s="193"/>
      <c r="COP47" s="193"/>
      <c r="COQ47" s="193"/>
      <c r="COR47" s="193"/>
      <c r="COS47" s="193"/>
      <c r="COT47" s="193"/>
      <c r="COU47" s="193"/>
      <c r="COV47" s="193"/>
      <c r="COW47" s="193"/>
      <c r="COX47" s="193"/>
      <c r="COY47" s="193"/>
      <c r="COZ47" s="193"/>
      <c r="CPA47" s="193"/>
      <c r="CPB47" s="193"/>
      <c r="CPC47" s="193"/>
      <c r="CPD47" s="193"/>
      <c r="CPE47" s="193"/>
      <c r="CPF47" s="193"/>
      <c r="CPG47" s="193"/>
      <c r="CPH47" s="193"/>
      <c r="CPI47" s="193"/>
      <c r="CPJ47" s="193"/>
      <c r="CPK47" s="193"/>
      <c r="CPL47" s="193"/>
      <c r="CPM47" s="193"/>
      <c r="CPN47" s="193"/>
      <c r="CPO47" s="193"/>
      <c r="CPP47" s="193"/>
      <c r="CPQ47" s="193"/>
      <c r="CPR47" s="193"/>
      <c r="CPS47" s="193"/>
      <c r="CPT47" s="193"/>
      <c r="CPU47" s="193"/>
      <c r="CPV47" s="193"/>
      <c r="CPW47" s="193"/>
      <c r="CPX47" s="193"/>
      <c r="CPY47" s="193"/>
      <c r="CPZ47" s="193"/>
      <c r="CQA47" s="193"/>
      <c r="CQB47" s="193"/>
      <c r="CQC47" s="193"/>
      <c r="CQD47" s="193"/>
      <c r="CQE47" s="193"/>
      <c r="CQF47" s="193"/>
      <c r="CQG47" s="193"/>
      <c r="CQH47" s="193"/>
      <c r="CQI47" s="193"/>
      <c r="CQJ47" s="193"/>
      <c r="CQK47" s="193"/>
      <c r="CQL47" s="193"/>
      <c r="CQM47" s="193"/>
      <c r="CQN47" s="193"/>
      <c r="CQO47" s="193"/>
      <c r="CQP47" s="193"/>
      <c r="CQQ47" s="193"/>
      <c r="CQR47" s="193"/>
      <c r="CQS47" s="193"/>
      <c r="CQT47" s="193"/>
      <c r="CQU47" s="193"/>
      <c r="CQV47" s="193"/>
      <c r="CQW47" s="193"/>
      <c r="CQX47" s="193"/>
      <c r="CQY47" s="193"/>
      <c r="CQZ47" s="193"/>
      <c r="CRA47" s="193"/>
      <c r="CRB47" s="193"/>
      <c r="CRC47" s="193"/>
      <c r="CRD47" s="193"/>
      <c r="CRE47" s="193"/>
      <c r="CRF47" s="193"/>
      <c r="CRG47" s="193"/>
      <c r="CRH47" s="193"/>
      <c r="CRI47" s="193"/>
      <c r="CRJ47" s="193"/>
      <c r="CRK47" s="193"/>
      <c r="CRL47" s="193"/>
      <c r="CRM47" s="193"/>
      <c r="CRN47" s="193"/>
      <c r="CRO47" s="193"/>
      <c r="CRP47" s="193"/>
      <c r="CRQ47" s="193"/>
      <c r="CRR47" s="193"/>
      <c r="CRS47" s="193"/>
      <c r="CRT47" s="193"/>
      <c r="CRU47" s="193"/>
      <c r="CRV47" s="193"/>
      <c r="CRW47" s="193"/>
      <c r="CRX47" s="193"/>
      <c r="CRY47" s="193"/>
      <c r="CRZ47" s="193"/>
      <c r="CSA47" s="193"/>
      <c r="CSB47" s="193"/>
      <c r="CSC47" s="193"/>
      <c r="CSD47" s="193"/>
      <c r="CSE47" s="193"/>
      <c r="CSF47" s="193"/>
      <c r="CSG47" s="193"/>
      <c r="CSH47" s="193"/>
      <c r="CSI47" s="193"/>
      <c r="CSJ47" s="193"/>
      <c r="CSK47" s="193"/>
      <c r="CSL47" s="193"/>
      <c r="CSM47" s="193"/>
      <c r="CSN47" s="193"/>
      <c r="CSO47" s="193"/>
      <c r="CSP47" s="193"/>
      <c r="CSQ47" s="193"/>
      <c r="CSR47" s="193"/>
      <c r="CSS47" s="193"/>
      <c r="CST47" s="193"/>
      <c r="CSU47" s="193"/>
      <c r="CSV47" s="193"/>
      <c r="CSW47" s="193"/>
      <c r="CSX47" s="193"/>
      <c r="CSY47" s="193"/>
      <c r="CSZ47" s="193"/>
      <c r="CTA47" s="193"/>
      <c r="CTB47" s="193"/>
      <c r="CTC47" s="193"/>
      <c r="CTD47" s="193"/>
      <c r="CTE47" s="193"/>
      <c r="CTF47" s="193"/>
      <c r="CTG47" s="193"/>
      <c r="CTH47" s="193"/>
      <c r="CTI47" s="193"/>
      <c r="CTJ47" s="193"/>
      <c r="CTK47" s="193"/>
      <c r="CTL47" s="193"/>
      <c r="CTM47" s="193"/>
      <c r="CTN47" s="193"/>
      <c r="CTO47" s="193"/>
      <c r="CTP47" s="193"/>
      <c r="CTQ47" s="193"/>
      <c r="CTR47" s="193"/>
      <c r="CTS47" s="193"/>
      <c r="CTT47" s="193"/>
      <c r="CTU47" s="193"/>
      <c r="CTV47" s="193"/>
      <c r="CTW47" s="193"/>
      <c r="CTX47" s="193"/>
      <c r="CTY47" s="193"/>
      <c r="CTZ47" s="193"/>
      <c r="CUA47" s="193"/>
    </row>
    <row r="48" s="191" customFormat="1" spans="1:1024 1025:2575">
      <c r="A48" s="227" t="s">
        <v>40</v>
      </c>
      <c r="B48" s="228">
        <f t="shared" si="31"/>
        <v>9</v>
      </c>
      <c r="C48" s="229">
        <f t="shared" si="26"/>
        <v>45587</v>
      </c>
      <c r="D48" s="230">
        <f t="shared" si="22"/>
        <v>45593</v>
      </c>
      <c r="E48" s="231">
        <v>1347</v>
      </c>
      <c r="F48" s="232">
        <f t="shared" si="27"/>
        <v>45607</v>
      </c>
      <c r="G48" s="231">
        <v>1148</v>
      </c>
      <c r="H48" s="233">
        <f t="shared" si="10"/>
        <v>0.852264291017075</v>
      </c>
      <c r="I48" s="230">
        <f t="shared" si="28"/>
        <v>45624</v>
      </c>
      <c r="J48" s="231">
        <v>1143</v>
      </c>
      <c r="K48" s="233">
        <f t="shared" si="0"/>
        <v>0.848552338530067</v>
      </c>
      <c r="L48" s="230">
        <f t="shared" si="29"/>
        <v>45627</v>
      </c>
      <c r="M48" s="231">
        <v>1143</v>
      </c>
      <c r="N48" s="231">
        <v>11063</v>
      </c>
      <c r="O48" s="233">
        <f t="shared" si="1"/>
        <v>0.848552338530067</v>
      </c>
      <c r="P48" s="233">
        <f t="shared" si="7"/>
        <v>0.00371195248700817</v>
      </c>
      <c r="Q48" s="234">
        <f t="shared" si="2"/>
        <v>9.67891513560805</v>
      </c>
      <c r="R48" s="230">
        <f t="shared" si="33"/>
        <v>45659</v>
      </c>
      <c r="S48" s="235">
        <v>10777</v>
      </c>
      <c r="T48" s="228">
        <v>930</v>
      </c>
      <c r="U48" s="233">
        <f t="shared" si="3"/>
        <v>0.974148061104583</v>
      </c>
      <c r="V48" s="230">
        <f t="shared" si="19"/>
        <v>45694</v>
      </c>
      <c r="W48" s="235">
        <v>10050</v>
      </c>
      <c r="X48" s="233">
        <f t="shared" si="4"/>
        <v>0.932541523615106</v>
      </c>
      <c r="Y48" s="228">
        <v>23519.2</v>
      </c>
      <c r="Z48" s="236">
        <v>12.8</v>
      </c>
      <c r="AA48" s="236">
        <f t="shared" si="32"/>
        <v>2.34021890547264</v>
      </c>
      <c r="AB48" s="236">
        <f t="shared" si="5"/>
        <v>7.46102449888641</v>
      </c>
      <c r="AC48" s="236">
        <v>3.41</v>
      </c>
      <c r="AD48" s="235">
        <v>3.82</v>
      </c>
      <c r="AE48" s="236">
        <v>57</v>
      </c>
      <c r="AF48" s="235"/>
      <c r="AG48" s="237"/>
      <c r="AH48" s="237"/>
      <c r="AI48" s="237"/>
      <c r="AJ48" s="237"/>
      <c r="AK48" s="237"/>
      <c r="AL48" s="237"/>
      <c r="AM48" s="237"/>
      <c r="AN48" s="237"/>
      <c r="AO48" s="237"/>
      <c r="AP48" s="237"/>
      <c r="AQ48" s="237"/>
      <c r="AR48" s="237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  <c r="BI48" s="193"/>
      <c r="BJ48" s="193"/>
      <c r="BK48" s="193"/>
      <c r="BL48" s="193"/>
      <c r="BM48" s="193"/>
      <c r="BN48" s="193"/>
      <c r="BO48" s="193"/>
      <c r="BP48" s="193"/>
      <c r="BQ48" s="193"/>
      <c r="BR48" s="193"/>
      <c r="BS48" s="193"/>
      <c r="BT48" s="193"/>
      <c r="BU48" s="193"/>
      <c r="BV48" s="193"/>
      <c r="BW48" s="193"/>
      <c r="BX48" s="193"/>
      <c r="BY48" s="193"/>
      <c r="BZ48" s="193"/>
      <c r="CA48" s="193"/>
      <c r="CB48" s="193"/>
      <c r="CC48" s="193"/>
      <c r="CD48" s="193"/>
      <c r="CE48" s="193"/>
      <c r="CF48" s="193"/>
      <c r="CG48" s="193"/>
      <c r="CH48" s="193"/>
      <c r="CI48" s="193"/>
      <c r="CJ48" s="193"/>
      <c r="CK48" s="193"/>
      <c r="CL48" s="193"/>
      <c r="CM48" s="193"/>
      <c r="CN48" s="193"/>
      <c r="CO48" s="193"/>
      <c r="CP48" s="193"/>
      <c r="CQ48" s="193"/>
      <c r="CR48" s="193"/>
      <c r="CS48" s="193"/>
      <c r="CT48" s="193"/>
      <c r="CU48" s="193"/>
      <c r="CV48" s="193"/>
      <c r="CW48" s="193"/>
      <c r="CX48" s="193"/>
      <c r="CY48" s="193"/>
      <c r="CZ48" s="193"/>
      <c r="DA48" s="193"/>
      <c r="DB48" s="193"/>
      <c r="DC48" s="193"/>
      <c r="DD48" s="193"/>
      <c r="DE48" s="193"/>
      <c r="DF48" s="193"/>
      <c r="DG48" s="193"/>
      <c r="DH48" s="193"/>
      <c r="DI48" s="193"/>
      <c r="DJ48" s="193"/>
      <c r="DK48" s="193"/>
      <c r="DL48" s="193"/>
      <c r="DM48" s="193"/>
      <c r="DN48" s="193"/>
      <c r="DO48" s="193"/>
      <c r="DP48" s="193"/>
      <c r="DQ48" s="193"/>
      <c r="DR48" s="193"/>
      <c r="DS48" s="193"/>
      <c r="DT48" s="193"/>
      <c r="DU48" s="193"/>
      <c r="DV48" s="193"/>
      <c r="DW48" s="193"/>
      <c r="DX48" s="193"/>
      <c r="DY48" s="193"/>
      <c r="DZ48" s="193"/>
      <c r="EA48" s="193"/>
      <c r="EB48" s="193"/>
      <c r="EC48" s="193"/>
      <c r="ED48" s="193"/>
      <c r="EE48" s="193"/>
      <c r="EF48" s="193"/>
      <c r="EG48" s="193"/>
      <c r="EH48" s="193"/>
      <c r="EI48" s="193"/>
      <c r="EJ48" s="193"/>
      <c r="EK48" s="193"/>
      <c r="EL48" s="193"/>
      <c r="EM48" s="193"/>
      <c r="EN48" s="193"/>
      <c r="EO48" s="193"/>
      <c r="EP48" s="193"/>
      <c r="EQ48" s="193"/>
      <c r="ER48" s="193"/>
      <c r="ES48" s="193"/>
      <c r="ET48" s="193"/>
      <c r="EU48" s="193"/>
      <c r="EV48" s="193"/>
      <c r="EW48" s="193"/>
      <c r="EX48" s="193"/>
      <c r="EY48" s="193"/>
      <c r="EZ48" s="193"/>
      <c r="FA48" s="193"/>
      <c r="FB48" s="193"/>
      <c r="FC48" s="193"/>
      <c r="FD48" s="193"/>
      <c r="FE48" s="193"/>
      <c r="FF48" s="193"/>
      <c r="FG48" s="193"/>
      <c r="FH48" s="193"/>
      <c r="FI48" s="193"/>
      <c r="FJ48" s="193"/>
      <c r="FK48" s="193"/>
      <c r="FL48" s="193"/>
      <c r="FM48" s="193"/>
      <c r="FN48" s="193"/>
      <c r="FO48" s="193"/>
      <c r="FP48" s="193"/>
      <c r="FQ48" s="193"/>
      <c r="FR48" s="193"/>
      <c r="FS48" s="193"/>
      <c r="FT48" s="193"/>
      <c r="FU48" s="193"/>
      <c r="FV48" s="193"/>
      <c r="FW48" s="193"/>
      <c r="FX48" s="193"/>
      <c r="FY48" s="193"/>
      <c r="FZ48" s="193"/>
      <c r="GA48" s="193"/>
      <c r="GB48" s="193"/>
      <c r="GC48" s="193"/>
      <c r="GD48" s="193"/>
      <c r="GE48" s="193"/>
      <c r="GF48" s="193"/>
      <c r="GG48" s="193"/>
      <c r="GH48" s="193"/>
      <c r="GI48" s="193"/>
      <c r="GJ48" s="193"/>
      <c r="GK48" s="193"/>
      <c r="GL48" s="193"/>
      <c r="GM48" s="193"/>
      <c r="GN48" s="193"/>
      <c r="GO48" s="193"/>
      <c r="GP48" s="193"/>
      <c r="GQ48" s="193"/>
      <c r="GR48" s="193"/>
      <c r="GS48" s="193"/>
      <c r="GT48" s="193"/>
      <c r="GU48" s="193"/>
      <c r="GV48" s="193"/>
      <c r="GW48" s="193"/>
      <c r="GX48" s="193"/>
      <c r="GY48" s="193"/>
      <c r="GZ48" s="193"/>
      <c r="HA48" s="193"/>
      <c r="HB48" s="193"/>
      <c r="HC48" s="193"/>
      <c r="HD48" s="193"/>
      <c r="HE48" s="193"/>
      <c r="HF48" s="193"/>
      <c r="HG48" s="193"/>
      <c r="HH48" s="193"/>
      <c r="HI48" s="193"/>
      <c r="HJ48" s="193"/>
      <c r="HK48" s="193"/>
      <c r="HL48" s="193"/>
      <c r="HM48" s="193"/>
      <c r="HN48" s="193"/>
      <c r="HO48" s="193"/>
      <c r="HP48" s="193"/>
      <c r="HQ48" s="193"/>
      <c r="HR48" s="193"/>
      <c r="HS48" s="193"/>
      <c r="HT48" s="193"/>
      <c r="HU48" s="193"/>
      <c r="HV48" s="193"/>
      <c r="HW48" s="193"/>
      <c r="HX48" s="193"/>
      <c r="HY48" s="193"/>
      <c r="HZ48" s="193"/>
      <c r="IA48" s="193"/>
      <c r="IB48" s="193"/>
      <c r="IC48" s="193"/>
      <c r="ID48" s="193"/>
      <c r="IE48" s="193"/>
      <c r="IF48" s="193"/>
      <c r="IG48" s="193"/>
      <c r="IH48" s="193"/>
      <c r="II48" s="193"/>
      <c r="IJ48" s="193"/>
      <c r="IK48" s="193"/>
      <c r="IL48" s="193"/>
      <c r="IM48" s="193"/>
      <c r="IN48" s="193"/>
      <c r="IO48" s="193"/>
      <c r="IP48" s="193"/>
      <c r="IQ48" s="193"/>
      <c r="IR48" s="193"/>
      <c r="IS48" s="193"/>
      <c r="IT48" s="193"/>
      <c r="IU48" s="193"/>
      <c r="IV48" s="193"/>
      <c r="IW48" s="193"/>
      <c r="IX48" s="193"/>
      <c r="IY48" s="193"/>
      <c r="IZ48" s="193"/>
      <c r="JA48" s="193"/>
      <c r="JB48" s="193"/>
      <c r="JC48" s="193"/>
      <c r="JD48" s="193"/>
      <c r="JE48" s="193"/>
      <c r="JF48" s="193"/>
      <c r="JG48" s="193"/>
      <c r="JH48" s="193"/>
      <c r="JI48" s="193"/>
      <c r="JJ48" s="193"/>
      <c r="JK48" s="193"/>
      <c r="JL48" s="193"/>
      <c r="JM48" s="193"/>
      <c r="JN48" s="193"/>
      <c r="JO48" s="193"/>
      <c r="JP48" s="193"/>
      <c r="JQ48" s="193"/>
      <c r="JR48" s="193"/>
      <c r="JS48" s="193"/>
      <c r="JT48" s="193"/>
      <c r="JU48" s="193"/>
      <c r="JV48" s="193"/>
      <c r="JW48" s="193"/>
      <c r="JX48" s="193"/>
      <c r="JY48" s="193"/>
      <c r="JZ48" s="193"/>
      <c r="KA48" s="193"/>
      <c r="KB48" s="193"/>
      <c r="KC48" s="193"/>
      <c r="KD48" s="193"/>
      <c r="KE48" s="193"/>
      <c r="KF48" s="193"/>
      <c r="KG48" s="193"/>
      <c r="KH48" s="193"/>
      <c r="KI48" s="193"/>
      <c r="KJ48" s="193"/>
      <c r="KK48" s="193"/>
      <c r="KL48" s="193"/>
      <c r="KM48" s="193"/>
      <c r="KN48" s="193"/>
      <c r="KO48" s="193"/>
      <c r="KP48" s="193"/>
      <c r="KQ48" s="193"/>
      <c r="KR48" s="193"/>
      <c r="KS48" s="193"/>
      <c r="KT48" s="193"/>
      <c r="KU48" s="193"/>
      <c r="KV48" s="193"/>
      <c r="KW48" s="193"/>
      <c r="KX48" s="193"/>
      <c r="KY48" s="193"/>
      <c r="KZ48" s="193"/>
      <c r="LA48" s="193"/>
      <c r="LB48" s="193"/>
      <c r="LC48" s="193"/>
      <c r="LD48" s="193"/>
      <c r="LE48" s="193"/>
      <c r="LF48" s="193"/>
      <c r="LG48" s="193"/>
      <c r="LH48" s="193"/>
      <c r="LI48" s="193"/>
      <c r="LJ48" s="193"/>
      <c r="LK48" s="193"/>
      <c r="LL48" s="193"/>
      <c r="LM48" s="193"/>
      <c r="LN48" s="193"/>
      <c r="LO48" s="193"/>
      <c r="LP48" s="193"/>
      <c r="LQ48" s="193"/>
      <c r="LR48" s="193"/>
      <c r="LS48" s="193"/>
      <c r="LT48" s="193"/>
      <c r="LU48" s="193"/>
      <c r="LV48" s="193"/>
      <c r="LW48" s="193"/>
      <c r="LX48" s="193"/>
      <c r="LY48" s="193"/>
      <c r="LZ48" s="193"/>
      <c r="MA48" s="193"/>
      <c r="MB48" s="193"/>
      <c r="MC48" s="193"/>
      <c r="MD48" s="193"/>
      <c r="ME48" s="193"/>
      <c r="MF48" s="193"/>
      <c r="MG48" s="193"/>
      <c r="MH48" s="193"/>
      <c r="MI48" s="193"/>
      <c r="MJ48" s="193"/>
      <c r="MK48" s="193"/>
      <c r="ML48" s="193"/>
      <c r="MM48" s="193"/>
      <c r="MN48" s="193"/>
      <c r="MO48" s="193"/>
      <c r="MP48" s="193"/>
      <c r="MQ48" s="193"/>
      <c r="MR48" s="193"/>
      <c r="MS48" s="193"/>
      <c r="MT48" s="193"/>
      <c r="MU48" s="193"/>
      <c r="MV48" s="193"/>
      <c r="MW48" s="193"/>
      <c r="MX48" s="193"/>
      <c r="MY48" s="193"/>
      <c r="MZ48" s="193"/>
      <c r="NA48" s="193"/>
      <c r="NB48" s="193"/>
      <c r="NC48" s="193"/>
      <c r="ND48" s="193"/>
      <c r="NE48" s="193"/>
      <c r="NF48" s="193"/>
      <c r="NG48" s="193"/>
      <c r="NH48" s="193"/>
      <c r="NI48" s="193"/>
      <c r="NJ48" s="193"/>
      <c r="NK48" s="193"/>
      <c r="NL48" s="193"/>
      <c r="NM48" s="193"/>
      <c r="NN48" s="193"/>
      <c r="NO48" s="193"/>
      <c r="NP48" s="193"/>
      <c r="NQ48" s="193"/>
      <c r="NR48" s="193"/>
      <c r="NS48" s="193"/>
      <c r="NT48" s="193"/>
      <c r="NU48" s="193"/>
      <c r="NV48" s="193"/>
      <c r="NW48" s="193"/>
      <c r="NX48" s="193"/>
      <c r="NY48" s="193"/>
      <c r="NZ48" s="193"/>
      <c r="OA48" s="193"/>
      <c r="OB48" s="193"/>
      <c r="OC48" s="193"/>
      <c r="OD48" s="193"/>
      <c r="OE48" s="193"/>
      <c r="OF48" s="193"/>
      <c r="OG48" s="193"/>
      <c r="OH48" s="193"/>
      <c r="OI48" s="193"/>
      <c r="OJ48" s="193"/>
      <c r="OK48" s="193"/>
      <c r="OL48" s="193"/>
      <c r="OM48" s="193"/>
      <c r="ON48" s="193"/>
      <c r="OO48" s="193"/>
      <c r="OP48" s="193"/>
      <c r="OQ48" s="193"/>
      <c r="OR48" s="193"/>
      <c r="OS48" s="193"/>
      <c r="OT48" s="193"/>
      <c r="OU48" s="193"/>
      <c r="OV48" s="193"/>
      <c r="OW48" s="193"/>
      <c r="OX48" s="193"/>
      <c r="OY48" s="193"/>
      <c r="OZ48" s="193"/>
      <c r="PA48" s="193"/>
      <c r="PB48" s="193"/>
      <c r="PC48" s="193"/>
      <c r="PD48" s="193"/>
      <c r="PE48" s="193"/>
      <c r="PF48" s="193"/>
      <c r="PG48" s="193"/>
      <c r="PH48" s="193"/>
      <c r="PI48" s="193"/>
      <c r="PJ48" s="193"/>
      <c r="PK48" s="193"/>
      <c r="PL48" s="193"/>
      <c r="PM48" s="193"/>
      <c r="PN48" s="193"/>
      <c r="PO48" s="193"/>
      <c r="PP48" s="193"/>
      <c r="PQ48" s="193"/>
      <c r="PR48" s="193"/>
      <c r="PS48" s="193"/>
      <c r="PT48" s="193"/>
      <c r="PU48" s="193"/>
      <c r="PV48" s="193"/>
      <c r="PW48" s="193"/>
      <c r="PX48" s="193"/>
      <c r="PY48" s="193"/>
      <c r="PZ48" s="193"/>
      <c r="QA48" s="193"/>
      <c r="QB48" s="193"/>
      <c r="QC48" s="193"/>
      <c r="QD48" s="193"/>
      <c r="QE48" s="193"/>
      <c r="QF48" s="193"/>
      <c r="QG48" s="193"/>
      <c r="QH48" s="193"/>
      <c r="QI48" s="193"/>
      <c r="QJ48" s="193"/>
      <c r="QK48" s="193"/>
      <c r="QL48" s="193"/>
      <c r="QM48" s="193"/>
      <c r="QN48" s="193"/>
      <c r="QO48" s="193"/>
      <c r="QP48" s="193"/>
      <c r="QQ48" s="193"/>
      <c r="QR48" s="193"/>
      <c r="QS48" s="193"/>
      <c r="QT48" s="193"/>
      <c r="QU48" s="193"/>
      <c r="QV48" s="193"/>
      <c r="QW48" s="193"/>
      <c r="QX48" s="193"/>
      <c r="QY48" s="193"/>
      <c r="QZ48" s="193"/>
      <c r="RA48" s="193"/>
      <c r="RB48" s="193"/>
      <c r="RC48" s="193"/>
      <c r="RD48" s="193"/>
      <c r="RE48" s="193"/>
      <c r="RF48" s="193"/>
      <c r="RG48" s="193"/>
      <c r="RH48" s="193"/>
      <c r="RI48" s="193"/>
      <c r="RJ48" s="193"/>
      <c r="RK48" s="193"/>
      <c r="RL48" s="193"/>
      <c r="RM48" s="193"/>
      <c r="RN48" s="193"/>
      <c r="RO48" s="193"/>
      <c r="RP48" s="193"/>
      <c r="RQ48" s="193"/>
      <c r="RR48" s="193"/>
      <c r="RS48" s="193"/>
      <c r="RT48" s="193"/>
      <c r="RU48" s="193"/>
      <c r="RV48" s="193"/>
      <c r="RW48" s="193"/>
      <c r="RX48" s="193"/>
      <c r="RY48" s="193"/>
      <c r="RZ48" s="193"/>
      <c r="SA48" s="193"/>
      <c r="SB48" s="193"/>
      <c r="SC48" s="193"/>
      <c r="SD48" s="193"/>
      <c r="SE48" s="193"/>
      <c r="SF48" s="193"/>
      <c r="SG48" s="193"/>
      <c r="SH48" s="193"/>
      <c r="SI48" s="193"/>
      <c r="SJ48" s="193"/>
      <c r="SK48" s="193"/>
      <c r="SL48" s="193"/>
      <c r="SM48" s="193"/>
      <c r="SN48" s="193"/>
      <c r="SO48" s="193"/>
      <c r="SP48" s="193"/>
      <c r="SQ48" s="193"/>
      <c r="SR48" s="193"/>
      <c r="SS48" s="193"/>
      <c r="ST48" s="193"/>
      <c r="SU48" s="193"/>
      <c r="SV48" s="193"/>
      <c r="SW48" s="193"/>
      <c r="SX48" s="193"/>
      <c r="SY48" s="193"/>
      <c r="SZ48" s="193"/>
      <c r="TA48" s="193"/>
      <c r="TB48" s="193"/>
      <c r="TC48" s="193"/>
      <c r="TD48" s="193"/>
      <c r="TE48" s="193"/>
      <c r="TF48" s="193"/>
      <c r="TG48" s="193"/>
      <c r="TH48" s="193"/>
      <c r="TI48" s="193"/>
      <c r="TJ48" s="193"/>
      <c r="TK48" s="193"/>
      <c r="TL48" s="193"/>
      <c r="TM48" s="193"/>
      <c r="TN48" s="193"/>
      <c r="TO48" s="193"/>
      <c r="TP48" s="193"/>
      <c r="TQ48" s="193"/>
      <c r="TR48" s="193"/>
      <c r="TS48" s="193"/>
      <c r="TT48" s="193"/>
      <c r="TU48" s="193"/>
      <c r="TV48" s="193"/>
      <c r="TW48" s="193"/>
      <c r="TX48" s="193"/>
      <c r="TY48" s="193"/>
      <c r="TZ48" s="193"/>
      <c r="UA48" s="193"/>
      <c r="UB48" s="193"/>
      <c r="UC48" s="193"/>
      <c r="UD48" s="193"/>
      <c r="UE48" s="193"/>
      <c r="UF48" s="193"/>
      <c r="UG48" s="193"/>
      <c r="UH48" s="193"/>
      <c r="UI48" s="193"/>
      <c r="UJ48" s="193"/>
      <c r="UK48" s="193"/>
      <c r="UL48" s="193"/>
      <c r="UM48" s="193"/>
      <c r="UN48" s="193"/>
      <c r="UO48" s="193"/>
      <c r="UP48" s="193"/>
      <c r="UQ48" s="193"/>
      <c r="UR48" s="193"/>
      <c r="US48" s="193"/>
      <c r="UT48" s="193"/>
      <c r="UU48" s="193"/>
      <c r="UV48" s="193"/>
      <c r="UW48" s="193"/>
      <c r="UX48" s="193"/>
      <c r="UY48" s="193"/>
      <c r="UZ48" s="193"/>
      <c r="VA48" s="193"/>
      <c r="VB48" s="193"/>
      <c r="VC48" s="193"/>
      <c r="VD48" s="193"/>
      <c r="VE48" s="193"/>
      <c r="VF48" s="193"/>
      <c r="VG48" s="193"/>
      <c r="VH48" s="193"/>
      <c r="VI48" s="193"/>
      <c r="VJ48" s="193"/>
      <c r="VK48" s="193"/>
      <c r="VL48" s="193"/>
      <c r="VM48" s="193"/>
      <c r="VN48" s="193"/>
      <c r="VO48" s="193"/>
      <c r="VP48" s="193"/>
      <c r="VQ48" s="193"/>
      <c r="VR48" s="193"/>
      <c r="VS48" s="193"/>
      <c r="VT48" s="193"/>
      <c r="VU48" s="193"/>
      <c r="VV48" s="193"/>
      <c r="VW48" s="193"/>
      <c r="VX48" s="193"/>
      <c r="VY48" s="193"/>
      <c r="VZ48" s="193"/>
      <c r="WA48" s="193"/>
      <c r="WB48" s="193"/>
      <c r="WC48" s="193"/>
      <c r="WD48" s="193"/>
      <c r="WE48" s="193"/>
      <c r="WF48" s="193"/>
      <c r="WG48" s="193"/>
      <c r="WH48" s="193"/>
      <c r="WI48" s="193"/>
      <c r="WJ48" s="193"/>
      <c r="WK48" s="193"/>
      <c r="WL48" s="193"/>
      <c r="WM48" s="193"/>
      <c r="WN48" s="193"/>
      <c r="WO48" s="193"/>
      <c r="WP48" s="193"/>
      <c r="WQ48" s="193"/>
      <c r="WR48" s="193"/>
      <c r="WS48" s="193"/>
      <c r="WT48" s="193"/>
      <c r="WU48" s="193"/>
      <c r="WV48" s="193"/>
      <c r="WW48" s="193"/>
      <c r="WX48" s="193"/>
      <c r="WY48" s="193"/>
      <c r="WZ48" s="193"/>
      <c r="XA48" s="193"/>
      <c r="XB48" s="193"/>
      <c r="XC48" s="193"/>
      <c r="XD48" s="193"/>
      <c r="XE48" s="193"/>
      <c r="XF48" s="193"/>
      <c r="XG48" s="193"/>
      <c r="XH48" s="193"/>
      <c r="XI48" s="193"/>
      <c r="XJ48" s="193"/>
      <c r="XK48" s="193"/>
      <c r="XL48" s="193"/>
      <c r="XM48" s="193"/>
      <c r="XN48" s="193"/>
      <c r="XO48" s="193"/>
      <c r="XP48" s="193"/>
      <c r="XQ48" s="193"/>
      <c r="XR48" s="193"/>
      <c r="XS48" s="193"/>
      <c r="XT48" s="193"/>
      <c r="XU48" s="193"/>
      <c r="XV48" s="193"/>
      <c r="XW48" s="193"/>
      <c r="XX48" s="193"/>
      <c r="XY48" s="193"/>
      <c r="XZ48" s="193"/>
      <c r="YA48" s="193"/>
      <c r="YB48" s="193"/>
      <c r="YC48" s="193"/>
      <c r="YD48" s="193"/>
      <c r="YE48" s="193"/>
      <c r="YF48" s="193"/>
      <c r="YG48" s="193"/>
      <c r="YH48" s="193"/>
      <c r="YI48" s="193"/>
      <c r="YJ48" s="193"/>
      <c r="YK48" s="193"/>
      <c r="YL48" s="193"/>
      <c r="YM48" s="193"/>
      <c r="YN48" s="193"/>
      <c r="YO48" s="193"/>
      <c r="YP48" s="193"/>
      <c r="YQ48" s="193"/>
      <c r="YR48" s="193"/>
      <c r="YS48" s="193"/>
      <c r="YT48" s="193"/>
      <c r="YU48" s="193"/>
      <c r="YV48" s="193"/>
      <c r="YW48" s="193"/>
      <c r="YX48" s="193"/>
      <c r="YY48" s="193"/>
      <c r="YZ48" s="193"/>
      <c r="ZA48" s="193"/>
      <c r="ZB48" s="193"/>
      <c r="ZC48" s="193"/>
      <c r="ZD48" s="193"/>
      <c r="ZE48" s="193"/>
      <c r="ZF48" s="193"/>
      <c r="ZG48" s="193"/>
      <c r="ZH48" s="193"/>
      <c r="ZI48" s="193"/>
      <c r="ZJ48" s="193"/>
      <c r="ZK48" s="193"/>
      <c r="ZL48" s="193"/>
      <c r="ZM48" s="193"/>
      <c r="ZN48" s="193"/>
      <c r="ZO48" s="193"/>
      <c r="ZP48" s="193"/>
      <c r="ZQ48" s="193"/>
      <c r="ZR48" s="193"/>
      <c r="ZS48" s="193"/>
      <c r="ZT48" s="193"/>
      <c r="ZU48" s="193"/>
      <c r="ZV48" s="193"/>
      <c r="ZW48" s="193"/>
      <c r="ZX48" s="193"/>
      <c r="ZY48" s="193"/>
      <c r="ZZ48" s="193"/>
      <c r="AAA48" s="193"/>
      <c r="AAB48" s="193"/>
      <c r="AAC48" s="193"/>
      <c r="AAD48" s="193"/>
      <c r="AAE48" s="193"/>
      <c r="AAF48" s="193"/>
      <c r="AAG48" s="193"/>
      <c r="AAH48" s="193"/>
      <c r="AAI48" s="193"/>
      <c r="AAJ48" s="193"/>
      <c r="AAK48" s="193"/>
      <c r="AAL48" s="193"/>
      <c r="AAM48" s="193"/>
      <c r="AAN48" s="193"/>
      <c r="AAO48" s="193"/>
      <c r="AAP48" s="193"/>
      <c r="AAQ48" s="193"/>
      <c r="AAR48" s="193"/>
      <c r="AAS48" s="193"/>
      <c r="AAT48" s="193"/>
      <c r="AAU48" s="193"/>
      <c r="AAV48" s="193"/>
      <c r="AAW48" s="193"/>
      <c r="AAX48" s="193"/>
      <c r="AAY48" s="193"/>
      <c r="AAZ48" s="193"/>
      <c r="ABA48" s="193"/>
      <c r="ABB48" s="193"/>
      <c r="ABC48" s="193"/>
      <c r="ABD48" s="193"/>
      <c r="ABE48" s="193"/>
      <c r="ABF48" s="193"/>
      <c r="ABG48" s="193"/>
      <c r="ABH48" s="193"/>
      <c r="ABI48" s="193"/>
      <c r="ABJ48" s="193"/>
      <c r="ABK48" s="193"/>
      <c r="ABL48" s="193"/>
      <c r="ABM48" s="193"/>
      <c r="ABN48" s="193"/>
      <c r="ABO48" s="193"/>
      <c r="ABP48" s="193"/>
      <c r="ABQ48" s="193"/>
      <c r="ABR48" s="193"/>
      <c r="ABS48" s="193"/>
      <c r="ABT48" s="193"/>
      <c r="ABU48" s="193"/>
      <c r="ABV48" s="193"/>
      <c r="ABW48" s="193"/>
      <c r="ABX48" s="193"/>
      <c r="ABY48" s="193"/>
      <c r="ABZ48" s="193"/>
      <c r="ACA48" s="193"/>
      <c r="ACB48" s="193"/>
      <c r="ACC48" s="193"/>
      <c r="ACD48" s="193"/>
      <c r="ACE48" s="193"/>
      <c r="ACF48" s="193"/>
      <c r="ACG48" s="193"/>
      <c r="ACH48" s="193"/>
      <c r="ACI48" s="193"/>
      <c r="ACJ48" s="193"/>
      <c r="ACK48" s="193"/>
      <c r="ACL48" s="193"/>
      <c r="ACM48" s="193"/>
      <c r="ACN48" s="193"/>
      <c r="ACO48" s="193"/>
      <c r="ACP48" s="193"/>
      <c r="ACQ48" s="193"/>
      <c r="ACR48" s="193"/>
      <c r="ACS48" s="193"/>
      <c r="ACT48" s="193"/>
      <c r="ACU48" s="193"/>
      <c r="ACV48" s="193"/>
      <c r="ACW48" s="193"/>
      <c r="ACX48" s="193"/>
      <c r="ACY48" s="193"/>
      <c r="ACZ48" s="193"/>
      <c r="ADA48" s="193"/>
      <c r="ADB48" s="193"/>
      <c r="ADC48" s="193"/>
      <c r="ADD48" s="193"/>
      <c r="ADE48" s="193"/>
      <c r="ADF48" s="193"/>
      <c r="ADG48" s="193"/>
      <c r="ADH48" s="193"/>
      <c r="ADI48" s="193"/>
      <c r="ADJ48" s="193"/>
      <c r="ADK48" s="193"/>
      <c r="ADL48" s="193"/>
      <c r="ADM48" s="193"/>
      <c r="ADN48" s="193"/>
      <c r="ADO48" s="193"/>
      <c r="ADP48" s="193"/>
      <c r="ADQ48" s="193"/>
      <c r="ADR48" s="193"/>
      <c r="ADS48" s="193"/>
      <c r="ADT48" s="193"/>
      <c r="ADU48" s="193"/>
      <c r="ADV48" s="193"/>
      <c r="ADW48" s="193"/>
      <c r="ADX48" s="193"/>
      <c r="ADY48" s="193"/>
      <c r="ADZ48" s="193"/>
      <c r="AEA48" s="193"/>
      <c r="AEB48" s="193"/>
      <c r="AEC48" s="193"/>
      <c r="AED48" s="193"/>
      <c r="AEE48" s="193"/>
      <c r="AEF48" s="193"/>
      <c r="AEG48" s="193"/>
      <c r="AEH48" s="193"/>
      <c r="AEI48" s="193"/>
      <c r="AEJ48" s="193"/>
      <c r="AEK48" s="193"/>
      <c r="AEL48" s="193"/>
      <c r="AEM48" s="193"/>
      <c r="AEN48" s="193"/>
      <c r="AEO48" s="193"/>
      <c r="AEP48" s="193"/>
      <c r="AEQ48" s="193"/>
      <c r="AER48" s="193"/>
      <c r="AES48" s="193"/>
      <c r="AET48" s="193"/>
      <c r="AEU48" s="193"/>
      <c r="AEV48" s="193"/>
      <c r="AEW48" s="193"/>
      <c r="AEX48" s="193"/>
      <c r="AEY48" s="193"/>
      <c r="AEZ48" s="193"/>
      <c r="AFA48" s="193"/>
      <c r="AFB48" s="193"/>
      <c r="AFC48" s="193"/>
      <c r="AFD48" s="193"/>
      <c r="AFE48" s="193"/>
      <c r="AFF48" s="193"/>
      <c r="AFG48" s="193"/>
      <c r="AFH48" s="193"/>
      <c r="AFI48" s="193"/>
      <c r="AFJ48" s="193"/>
      <c r="AFK48" s="193"/>
      <c r="AFL48" s="193"/>
      <c r="AFM48" s="193"/>
      <c r="AFN48" s="193"/>
      <c r="AFO48" s="193"/>
      <c r="AFP48" s="193"/>
      <c r="AFQ48" s="193"/>
      <c r="AFR48" s="193"/>
      <c r="AFS48" s="193"/>
      <c r="AFT48" s="193"/>
      <c r="AFU48" s="193"/>
      <c r="AFV48" s="193"/>
      <c r="AFW48" s="193"/>
      <c r="AFX48" s="193"/>
      <c r="AFY48" s="193"/>
      <c r="AFZ48" s="193"/>
      <c r="AGA48" s="193"/>
      <c r="AGB48" s="193"/>
      <c r="AGC48" s="193"/>
      <c r="AGD48" s="193"/>
      <c r="AGE48" s="193"/>
      <c r="AGF48" s="193"/>
      <c r="AGG48" s="193"/>
      <c r="AGH48" s="193"/>
      <c r="AGI48" s="193"/>
      <c r="AGJ48" s="193"/>
      <c r="AGK48" s="193"/>
      <c r="AGL48" s="193"/>
      <c r="AGM48" s="193"/>
      <c r="AGN48" s="193"/>
      <c r="AGO48" s="193"/>
      <c r="AGP48" s="193"/>
      <c r="AGQ48" s="193"/>
      <c r="AGR48" s="193"/>
      <c r="AGS48" s="193"/>
      <c r="AGT48" s="193"/>
      <c r="AGU48" s="193"/>
      <c r="AGV48" s="193"/>
      <c r="AGW48" s="193"/>
      <c r="AGX48" s="193"/>
      <c r="AGY48" s="193"/>
      <c r="AGZ48" s="193"/>
      <c r="AHA48" s="193"/>
      <c r="AHB48" s="193"/>
      <c r="AHC48" s="193"/>
      <c r="AHD48" s="193"/>
      <c r="AHE48" s="193"/>
      <c r="AHF48" s="193"/>
      <c r="AHG48" s="193"/>
      <c r="AHH48" s="193"/>
      <c r="AHI48" s="193"/>
      <c r="AHJ48" s="193"/>
      <c r="AHK48" s="193"/>
      <c r="AHL48" s="193"/>
      <c r="AHM48" s="193"/>
      <c r="AHN48" s="193"/>
      <c r="AHO48" s="193"/>
      <c r="AHP48" s="193"/>
      <c r="AHQ48" s="193"/>
      <c r="AHR48" s="193"/>
      <c r="AHS48" s="193"/>
      <c r="AHT48" s="193"/>
      <c r="AHU48" s="193"/>
      <c r="AHV48" s="193"/>
      <c r="AHW48" s="193"/>
      <c r="AHX48" s="193"/>
      <c r="AHY48" s="193"/>
      <c r="AHZ48" s="193"/>
      <c r="AIA48" s="193"/>
      <c r="AIB48" s="193"/>
      <c r="AIC48" s="193"/>
      <c r="AID48" s="193"/>
      <c r="AIE48" s="193"/>
      <c r="AIF48" s="193"/>
      <c r="AIG48" s="193"/>
      <c r="AIH48" s="193"/>
      <c r="AII48" s="193"/>
      <c r="AIJ48" s="193"/>
      <c r="AIK48" s="193"/>
      <c r="AIL48" s="193"/>
      <c r="AIM48" s="193"/>
      <c r="AIN48" s="193"/>
      <c r="AIO48" s="193"/>
      <c r="AIP48" s="193"/>
      <c r="AIQ48" s="193"/>
      <c r="AIR48" s="193"/>
      <c r="AIS48" s="193"/>
      <c r="AIT48" s="193"/>
      <c r="AIU48" s="193"/>
      <c r="AIV48" s="193"/>
      <c r="AIW48" s="193"/>
      <c r="AIX48" s="193"/>
      <c r="AIY48" s="193"/>
      <c r="AIZ48" s="193"/>
      <c r="AJA48" s="193"/>
      <c r="AJB48" s="193"/>
      <c r="AJC48" s="193"/>
      <c r="AJD48" s="193"/>
      <c r="AJE48" s="193"/>
      <c r="AJF48" s="193"/>
      <c r="AJG48" s="193"/>
      <c r="AJH48" s="193"/>
      <c r="AJI48" s="193"/>
      <c r="AJJ48" s="193"/>
      <c r="AJK48" s="193"/>
      <c r="AJL48" s="193"/>
      <c r="AJM48" s="193"/>
      <c r="AJN48" s="193"/>
      <c r="AJO48" s="193"/>
      <c r="AJP48" s="193"/>
      <c r="AJQ48" s="193"/>
      <c r="AJR48" s="193"/>
      <c r="AJS48" s="193"/>
      <c r="AJT48" s="193"/>
      <c r="AJU48" s="193"/>
      <c r="AJV48" s="193"/>
      <c r="AJW48" s="193"/>
      <c r="AJX48" s="193"/>
      <c r="AJY48" s="193"/>
      <c r="AJZ48" s="193"/>
      <c r="AKA48" s="193"/>
      <c r="AKB48" s="193"/>
      <c r="AKC48" s="193"/>
      <c r="AKD48" s="193"/>
      <c r="AKE48" s="193"/>
      <c r="AKF48" s="193"/>
      <c r="AKG48" s="193"/>
      <c r="AKH48" s="193"/>
      <c r="AKI48" s="193"/>
      <c r="AKJ48" s="193"/>
      <c r="AKK48" s="193"/>
      <c r="AKL48" s="193"/>
      <c r="AKM48" s="193"/>
      <c r="AKN48" s="193"/>
      <c r="AKO48" s="193"/>
      <c r="AKP48" s="193"/>
      <c r="AKQ48" s="193"/>
      <c r="AKR48" s="193"/>
      <c r="AKS48" s="193"/>
      <c r="AKT48" s="193"/>
      <c r="AKU48" s="193"/>
      <c r="AKV48" s="193"/>
      <c r="AKW48" s="193"/>
      <c r="AKX48" s="193"/>
      <c r="AKY48" s="193"/>
      <c r="AKZ48" s="193"/>
      <c r="ALA48" s="193"/>
      <c r="ALB48" s="193"/>
      <c r="ALC48" s="193"/>
      <c r="ALD48" s="193"/>
      <c r="ALE48" s="193"/>
      <c r="ALF48" s="193"/>
      <c r="ALG48" s="193"/>
      <c r="ALH48" s="193"/>
      <c r="ALI48" s="193"/>
      <c r="ALJ48" s="193"/>
      <c r="ALK48" s="193"/>
      <c r="ALL48" s="193"/>
      <c r="ALM48" s="193"/>
      <c r="ALN48" s="193"/>
      <c r="ALO48" s="193"/>
      <c r="ALP48" s="193"/>
      <c r="ALQ48" s="193"/>
      <c r="ALR48" s="193"/>
      <c r="ALS48" s="193"/>
      <c r="ALT48" s="193"/>
      <c r="ALU48" s="193"/>
      <c r="ALV48" s="193"/>
      <c r="ALW48" s="193"/>
      <c r="ALX48" s="193"/>
      <c r="ALY48" s="193"/>
      <c r="ALZ48" s="193"/>
      <c r="AMA48" s="193"/>
      <c r="AMB48" s="193"/>
      <c r="AMC48" s="193"/>
      <c r="AMD48" s="193"/>
      <c r="AME48" s="193"/>
      <c r="AMF48" s="193"/>
      <c r="AMG48" s="193"/>
      <c r="AMH48" s="193"/>
      <c r="AMI48" s="193"/>
      <c r="AMJ48" s="193"/>
      <c r="AMK48" s="193"/>
      <c r="AML48" s="193"/>
      <c r="AMM48" s="193"/>
      <c r="AMN48" s="193"/>
      <c r="AMO48" s="193"/>
      <c r="AMP48" s="193"/>
      <c r="AMQ48" s="193"/>
      <c r="AMR48" s="193"/>
      <c r="AMS48" s="193"/>
      <c r="AMT48" s="193"/>
      <c r="AMU48" s="193"/>
      <c r="AMV48" s="193"/>
      <c r="AMW48" s="193"/>
      <c r="AMX48" s="193"/>
      <c r="AMY48" s="193"/>
      <c r="AMZ48" s="193"/>
      <c r="ANA48" s="193"/>
      <c r="ANB48" s="193"/>
      <c r="ANC48" s="193"/>
      <c r="AND48" s="193"/>
      <c r="ANE48" s="193"/>
      <c r="ANF48" s="193"/>
      <c r="ANG48" s="193"/>
      <c r="ANH48" s="193"/>
      <c r="ANI48" s="193"/>
      <c r="ANJ48" s="193"/>
      <c r="ANK48" s="193"/>
      <c r="ANL48" s="193"/>
      <c r="ANM48" s="193"/>
      <c r="ANN48" s="193"/>
      <c r="ANO48" s="193"/>
      <c r="ANP48" s="193"/>
      <c r="ANQ48" s="193"/>
      <c r="ANR48" s="193"/>
      <c r="ANS48" s="193"/>
      <c r="ANT48" s="193"/>
      <c r="ANU48" s="193"/>
      <c r="ANV48" s="193"/>
      <c r="ANW48" s="193"/>
      <c r="ANX48" s="193"/>
      <c r="ANY48" s="193"/>
      <c r="ANZ48" s="193"/>
      <c r="AOA48" s="193"/>
      <c r="AOB48" s="193"/>
      <c r="AOC48" s="193"/>
      <c r="AOD48" s="193"/>
      <c r="AOE48" s="193"/>
      <c r="AOF48" s="193"/>
      <c r="AOG48" s="193"/>
      <c r="AOH48" s="193"/>
      <c r="AOI48" s="193"/>
      <c r="AOJ48" s="193"/>
      <c r="AOK48" s="193"/>
      <c r="AOL48" s="193"/>
      <c r="AOM48" s="193"/>
      <c r="AON48" s="193"/>
      <c r="AOO48" s="193"/>
      <c r="AOP48" s="193"/>
      <c r="AOQ48" s="193"/>
      <c r="AOR48" s="193"/>
      <c r="AOS48" s="193"/>
      <c r="AOT48" s="193"/>
      <c r="AOU48" s="193"/>
      <c r="AOV48" s="193"/>
      <c r="AOW48" s="193"/>
      <c r="AOX48" s="193"/>
      <c r="AOY48" s="193"/>
      <c r="AOZ48" s="193"/>
      <c r="APA48" s="193"/>
      <c r="APB48" s="193"/>
      <c r="APC48" s="193"/>
      <c r="APD48" s="193"/>
      <c r="APE48" s="193"/>
      <c r="APF48" s="193"/>
      <c r="APG48" s="193"/>
      <c r="APH48" s="193"/>
      <c r="API48" s="193"/>
      <c r="APJ48" s="193"/>
      <c r="APK48" s="193"/>
      <c r="APL48" s="193"/>
      <c r="APM48" s="193"/>
      <c r="APN48" s="193"/>
      <c r="APO48" s="193"/>
      <c r="APP48" s="193"/>
      <c r="APQ48" s="193"/>
      <c r="APR48" s="193"/>
      <c r="APS48" s="193"/>
      <c r="APT48" s="193"/>
      <c r="APU48" s="193"/>
      <c r="APV48" s="193"/>
      <c r="APW48" s="193"/>
      <c r="APX48" s="193"/>
      <c r="APY48" s="193"/>
      <c r="APZ48" s="193"/>
      <c r="AQA48" s="193"/>
      <c r="AQB48" s="193"/>
      <c r="AQC48" s="193"/>
      <c r="AQD48" s="193"/>
      <c r="AQE48" s="193"/>
      <c r="AQF48" s="193"/>
      <c r="AQG48" s="193"/>
      <c r="AQH48" s="193"/>
      <c r="AQI48" s="193"/>
      <c r="AQJ48" s="193"/>
      <c r="AQK48" s="193"/>
      <c r="AQL48" s="193"/>
      <c r="AQM48" s="193"/>
      <c r="AQN48" s="193"/>
      <c r="AQO48" s="193"/>
      <c r="AQP48" s="193"/>
      <c r="AQQ48" s="193"/>
      <c r="AQR48" s="193"/>
      <c r="AQS48" s="193"/>
      <c r="AQT48" s="193"/>
      <c r="AQU48" s="193"/>
      <c r="AQV48" s="193"/>
      <c r="AQW48" s="193"/>
      <c r="AQX48" s="193"/>
      <c r="AQY48" s="193"/>
      <c r="AQZ48" s="193"/>
      <c r="ARA48" s="193"/>
      <c r="ARB48" s="193"/>
      <c r="ARC48" s="193"/>
      <c r="ARD48" s="193"/>
      <c r="ARE48" s="193"/>
      <c r="ARF48" s="193"/>
      <c r="ARG48" s="193"/>
      <c r="ARH48" s="193"/>
      <c r="ARI48" s="193"/>
      <c r="ARJ48" s="193"/>
      <c r="ARK48" s="193"/>
      <c r="ARL48" s="193"/>
      <c r="ARM48" s="193"/>
      <c r="ARN48" s="193"/>
      <c r="ARO48" s="193"/>
      <c r="ARP48" s="193"/>
      <c r="ARQ48" s="193"/>
      <c r="ARR48" s="193"/>
      <c r="ARS48" s="193"/>
      <c r="ART48" s="193"/>
      <c r="ARU48" s="193"/>
      <c r="ARV48" s="193"/>
      <c r="ARW48" s="193"/>
      <c r="ARX48" s="193"/>
      <c r="ARY48" s="193"/>
      <c r="ARZ48" s="193"/>
      <c r="ASA48" s="193"/>
      <c r="ASB48" s="193"/>
      <c r="ASC48" s="193"/>
      <c r="ASD48" s="193"/>
      <c r="ASE48" s="193"/>
      <c r="ASF48" s="193"/>
      <c r="ASG48" s="193"/>
      <c r="ASH48" s="193"/>
      <c r="ASI48" s="193"/>
      <c r="ASJ48" s="193"/>
      <c r="ASK48" s="193"/>
      <c r="ASL48" s="193"/>
      <c r="ASM48" s="193"/>
      <c r="ASN48" s="193"/>
      <c r="ASO48" s="193"/>
      <c r="ASP48" s="193"/>
      <c r="ASQ48" s="193"/>
      <c r="ASR48" s="193"/>
      <c r="ASS48" s="193"/>
      <c r="AST48" s="193"/>
      <c r="ASU48" s="193"/>
      <c r="ASV48" s="193"/>
      <c r="ASW48" s="193"/>
      <c r="ASX48" s="193"/>
      <c r="ASY48" s="193"/>
      <c r="ASZ48" s="193"/>
      <c r="ATA48" s="193"/>
      <c r="ATB48" s="193"/>
      <c r="ATC48" s="193"/>
      <c r="ATD48" s="193"/>
      <c r="ATE48" s="193"/>
      <c r="ATF48" s="193"/>
      <c r="ATG48" s="193"/>
      <c r="ATH48" s="193"/>
      <c r="ATI48" s="193"/>
      <c r="ATJ48" s="193"/>
      <c r="ATK48" s="193"/>
      <c r="ATL48" s="193"/>
      <c r="ATM48" s="193"/>
      <c r="ATN48" s="193"/>
      <c r="ATO48" s="193"/>
      <c r="ATP48" s="193"/>
      <c r="ATQ48" s="193"/>
      <c r="ATR48" s="193"/>
      <c r="ATS48" s="193"/>
      <c r="ATT48" s="193"/>
      <c r="ATU48" s="193"/>
      <c r="ATV48" s="193"/>
      <c r="ATW48" s="193"/>
      <c r="ATX48" s="193"/>
      <c r="ATY48" s="193"/>
      <c r="ATZ48" s="193"/>
      <c r="AUA48" s="193"/>
      <c r="AUB48" s="193"/>
      <c r="AUC48" s="193"/>
      <c r="AUD48" s="193"/>
      <c r="AUE48" s="193"/>
      <c r="AUF48" s="193"/>
      <c r="AUG48" s="193"/>
      <c r="AUH48" s="193"/>
      <c r="AUI48" s="193"/>
      <c r="AUJ48" s="193"/>
      <c r="AUK48" s="193"/>
      <c r="AUL48" s="193"/>
      <c r="AUM48" s="193"/>
      <c r="AUN48" s="193"/>
      <c r="AUO48" s="193"/>
      <c r="AUP48" s="193"/>
      <c r="AUQ48" s="193"/>
      <c r="AUR48" s="193"/>
      <c r="AUS48" s="193"/>
      <c r="AUT48" s="193"/>
      <c r="AUU48" s="193"/>
      <c r="AUV48" s="193"/>
      <c r="AUW48" s="193"/>
      <c r="AUX48" s="193"/>
      <c r="AUY48" s="193"/>
      <c r="AUZ48" s="193"/>
      <c r="AVA48" s="193"/>
      <c r="AVB48" s="193"/>
      <c r="AVC48" s="193"/>
      <c r="AVD48" s="193"/>
      <c r="AVE48" s="193"/>
      <c r="AVF48" s="193"/>
      <c r="AVG48" s="193"/>
      <c r="AVH48" s="193"/>
      <c r="AVI48" s="193"/>
      <c r="AVJ48" s="193"/>
      <c r="AVK48" s="193"/>
      <c r="AVL48" s="193"/>
      <c r="AVM48" s="193"/>
      <c r="AVN48" s="193"/>
      <c r="AVO48" s="193"/>
      <c r="AVP48" s="193"/>
      <c r="AVQ48" s="193"/>
      <c r="AVR48" s="193"/>
      <c r="AVS48" s="193"/>
      <c r="AVT48" s="193"/>
      <c r="AVU48" s="193"/>
      <c r="AVV48" s="193"/>
      <c r="AVW48" s="193"/>
      <c r="AVX48" s="193"/>
      <c r="AVY48" s="193"/>
      <c r="AVZ48" s="193"/>
      <c r="AWA48" s="193"/>
      <c r="AWB48" s="193"/>
      <c r="AWC48" s="193"/>
      <c r="AWD48" s="193"/>
      <c r="AWE48" s="193"/>
      <c r="AWF48" s="193"/>
      <c r="AWG48" s="193"/>
      <c r="AWH48" s="193"/>
      <c r="AWI48" s="193"/>
      <c r="AWJ48" s="193"/>
      <c r="AWK48" s="193"/>
      <c r="AWL48" s="193"/>
      <c r="AWM48" s="193"/>
      <c r="AWN48" s="193"/>
      <c r="AWO48" s="193"/>
      <c r="AWP48" s="193"/>
      <c r="AWQ48" s="193"/>
      <c r="AWR48" s="193"/>
      <c r="AWS48" s="193"/>
      <c r="AWT48" s="193"/>
      <c r="AWU48" s="193"/>
      <c r="AWV48" s="193"/>
      <c r="AWW48" s="193"/>
      <c r="AWX48" s="193"/>
      <c r="AWY48" s="193"/>
      <c r="AWZ48" s="193"/>
      <c r="AXA48" s="193"/>
      <c r="AXB48" s="193"/>
      <c r="AXC48" s="193"/>
      <c r="AXD48" s="193"/>
      <c r="AXE48" s="193"/>
      <c r="AXF48" s="193"/>
      <c r="AXG48" s="193"/>
      <c r="AXH48" s="193"/>
      <c r="AXI48" s="193"/>
      <c r="AXJ48" s="193"/>
      <c r="AXK48" s="193"/>
      <c r="AXL48" s="193"/>
      <c r="AXM48" s="193"/>
      <c r="AXN48" s="193"/>
      <c r="AXO48" s="193"/>
      <c r="AXP48" s="193"/>
      <c r="AXQ48" s="193"/>
      <c r="AXR48" s="193"/>
      <c r="AXS48" s="193"/>
      <c r="AXT48" s="193"/>
      <c r="AXU48" s="193"/>
      <c r="AXV48" s="193"/>
      <c r="AXW48" s="193"/>
      <c r="AXX48" s="193"/>
      <c r="AXY48" s="193"/>
      <c r="AXZ48" s="193"/>
      <c r="AYA48" s="193"/>
      <c r="AYB48" s="193"/>
      <c r="AYC48" s="193"/>
      <c r="AYD48" s="193"/>
      <c r="AYE48" s="193"/>
      <c r="AYF48" s="193"/>
      <c r="AYG48" s="193"/>
      <c r="AYH48" s="193"/>
      <c r="AYI48" s="193"/>
      <c r="AYJ48" s="193"/>
      <c r="AYK48" s="193"/>
      <c r="AYL48" s="193"/>
      <c r="AYM48" s="193"/>
      <c r="AYN48" s="193"/>
      <c r="AYO48" s="193"/>
      <c r="AYP48" s="193"/>
      <c r="AYQ48" s="193"/>
      <c r="AYR48" s="193"/>
      <c r="AYS48" s="193"/>
      <c r="AYT48" s="193"/>
      <c r="AYU48" s="193"/>
      <c r="AYV48" s="193"/>
      <c r="AYW48" s="193"/>
      <c r="AYX48" s="193"/>
      <c r="AYY48" s="193"/>
      <c r="AYZ48" s="193"/>
      <c r="AZA48" s="193"/>
      <c r="AZB48" s="193"/>
      <c r="AZC48" s="193"/>
      <c r="AZD48" s="193"/>
      <c r="AZE48" s="193"/>
      <c r="AZF48" s="193"/>
      <c r="AZG48" s="193"/>
      <c r="AZH48" s="193"/>
      <c r="AZI48" s="193"/>
      <c r="AZJ48" s="193"/>
      <c r="AZK48" s="193"/>
      <c r="AZL48" s="193"/>
      <c r="AZM48" s="193"/>
      <c r="AZN48" s="193"/>
      <c r="AZO48" s="193"/>
      <c r="AZP48" s="193"/>
      <c r="AZQ48" s="193"/>
      <c r="AZR48" s="193"/>
      <c r="AZS48" s="193"/>
      <c r="AZT48" s="193"/>
      <c r="AZU48" s="193"/>
      <c r="AZV48" s="193"/>
      <c r="AZW48" s="193"/>
      <c r="AZX48" s="193"/>
      <c r="AZY48" s="193"/>
      <c r="AZZ48" s="193"/>
      <c r="BAA48" s="193"/>
      <c r="BAB48" s="193"/>
      <c r="BAC48" s="193"/>
      <c r="BAD48" s="193"/>
      <c r="BAE48" s="193"/>
      <c r="BAF48" s="193"/>
      <c r="BAG48" s="193"/>
      <c r="BAH48" s="193"/>
      <c r="BAI48" s="193"/>
      <c r="BAJ48" s="193"/>
      <c r="BAK48" s="193"/>
      <c r="BAL48" s="193"/>
      <c r="BAM48" s="193"/>
      <c r="BAN48" s="193"/>
      <c r="BAO48" s="193"/>
      <c r="BAP48" s="193"/>
      <c r="BAQ48" s="193"/>
      <c r="BAR48" s="193"/>
      <c r="BAS48" s="193"/>
      <c r="BAT48" s="193"/>
      <c r="BAU48" s="193"/>
      <c r="BAV48" s="193"/>
      <c r="BAW48" s="193"/>
      <c r="BAX48" s="193"/>
      <c r="BAY48" s="193"/>
      <c r="BAZ48" s="193"/>
      <c r="BBA48" s="193"/>
      <c r="BBB48" s="193"/>
      <c r="BBC48" s="193"/>
      <c r="BBD48" s="193"/>
      <c r="BBE48" s="193"/>
      <c r="BBF48" s="193"/>
      <c r="BBG48" s="193"/>
      <c r="BBH48" s="193"/>
      <c r="BBI48" s="193"/>
      <c r="BBJ48" s="193"/>
      <c r="BBK48" s="193"/>
      <c r="BBL48" s="193"/>
      <c r="BBM48" s="193"/>
      <c r="BBN48" s="193"/>
      <c r="BBO48" s="193"/>
      <c r="BBP48" s="193"/>
      <c r="BBQ48" s="193"/>
      <c r="BBR48" s="193"/>
      <c r="BBS48" s="193"/>
      <c r="BBT48" s="193"/>
      <c r="BBU48" s="193"/>
      <c r="BBV48" s="193"/>
      <c r="BBW48" s="193"/>
      <c r="BBX48" s="193"/>
      <c r="BBY48" s="193"/>
      <c r="BBZ48" s="193"/>
      <c r="BCA48" s="193"/>
      <c r="BCB48" s="193"/>
      <c r="BCC48" s="193"/>
      <c r="BCD48" s="193"/>
      <c r="BCE48" s="193"/>
      <c r="BCF48" s="193"/>
      <c r="BCG48" s="193"/>
      <c r="BCH48" s="193"/>
      <c r="BCI48" s="193"/>
      <c r="BCJ48" s="193"/>
      <c r="BCK48" s="193"/>
      <c r="BCL48" s="193"/>
      <c r="BCM48" s="193"/>
      <c r="BCN48" s="193"/>
      <c r="BCO48" s="193"/>
      <c r="BCP48" s="193"/>
      <c r="BCQ48" s="193"/>
      <c r="BCR48" s="193"/>
      <c r="BCS48" s="193"/>
      <c r="BCT48" s="193"/>
      <c r="BCU48" s="193"/>
      <c r="BCV48" s="193"/>
      <c r="BCW48" s="193"/>
      <c r="BCX48" s="193"/>
      <c r="BCY48" s="193"/>
      <c r="BCZ48" s="193"/>
      <c r="BDA48" s="193"/>
      <c r="BDB48" s="193"/>
      <c r="BDC48" s="193"/>
      <c r="BDD48" s="193"/>
      <c r="BDE48" s="193"/>
      <c r="BDF48" s="193"/>
      <c r="BDG48" s="193"/>
      <c r="BDH48" s="193"/>
      <c r="BDI48" s="193"/>
      <c r="BDJ48" s="193"/>
      <c r="BDK48" s="193"/>
      <c r="BDL48" s="193"/>
      <c r="BDM48" s="193"/>
      <c r="BDN48" s="193"/>
      <c r="BDO48" s="193"/>
      <c r="BDP48" s="193"/>
      <c r="BDQ48" s="193"/>
      <c r="BDR48" s="193"/>
      <c r="BDS48" s="193"/>
      <c r="BDT48" s="193"/>
      <c r="BDU48" s="193"/>
      <c r="BDV48" s="193"/>
      <c r="BDW48" s="193"/>
      <c r="BDX48" s="193"/>
      <c r="BDY48" s="193"/>
      <c r="BDZ48" s="193"/>
      <c r="BEA48" s="193"/>
      <c r="BEB48" s="193"/>
      <c r="BEC48" s="193"/>
      <c r="BED48" s="193"/>
      <c r="BEE48" s="193"/>
      <c r="BEF48" s="193"/>
      <c r="BEG48" s="193"/>
      <c r="BEH48" s="193"/>
      <c r="BEI48" s="193"/>
      <c r="BEJ48" s="193"/>
      <c r="BEK48" s="193"/>
      <c r="BEL48" s="193"/>
      <c r="BEM48" s="193"/>
      <c r="BEN48" s="193"/>
      <c r="BEO48" s="193"/>
      <c r="BEP48" s="193"/>
      <c r="BEQ48" s="193"/>
      <c r="BER48" s="193"/>
      <c r="BES48" s="193"/>
      <c r="BET48" s="193"/>
      <c r="BEU48" s="193"/>
      <c r="BEV48" s="193"/>
      <c r="BEW48" s="193"/>
      <c r="BEX48" s="193"/>
      <c r="BEY48" s="193"/>
      <c r="BEZ48" s="193"/>
      <c r="BFA48" s="193"/>
      <c r="BFB48" s="193"/>
      <c r="BFC48" s="193"/>
      <c r="BFD48" s="193"/>
      <c r="BFE48" s="193"/>
      <c r="BFF48" s="193"/>
      <c r="BFG48" s="193"/>
      <c r="BFH48" s="193"/>
      <c r="BFI48" s="193"/>
      <c r="BFJ48" s="193"/>
      <c r="BFK48" s="193"/>
      <c r="BFL48" s="193"/>
      <c r="BFM48" s="193"/>
      <c r="BFN48" s="193"/>
      <c r="BFO48" s="193"/>
      <c r="BFP48" s="193"/>
      <c r="BFQ48" s="193"/>
      <c r="BFR48" s="193"/>
      <c r="BFS48" s="193"/>
      <c r="BFT48" s="193"/>
      <c r="BFU48" s="193"/>
      <c r="BFV48" s="193"/>
      <c r="BFW48" s="193"/>
      <c r="BFX48" s="193"/>
      <c r="BFY48" s="193"/>
      <c r="BFZ48" s="193"/>
      <c r="BGA48" s="193"/>
      <c r="BGB48" s="193"/>
      <c r="BGC48" s="193"/>
      <c r="BGD48" s="193"/>
      <c r="BGE48" s="193"/>
      <c r="BGF48" s="193"/>
      <c r="BGG48" s="193"/>
      <c r="BGH48" s="193"/>
      <c r="BGI48" s="193"/>
      <c r="BGJ48" s="193"/>
      <c r="BGK48" s="193"/>
      <c r="BGL48" s="193"/>
      <c r="BGM48" s="193"/>
      <c r="BGN48" s="193"/>
      <c r="BGO48" s="193"/>
      <c r="BGP48" s="193"/>
      <c r="BGQ48" s="193"/>
      <c r="BGR48" s="193"/>
      <c r="BGS48" s="193"/>
      <c r="BGT48" s="193"/>
      <c r="BGU48" s="193"/>
      <c r="BGV48" s="193"/>
      <c r="BGW48" s="193"/>
      <c r="BGX48" s="193"/>
      <c r="BGY48" s="193"/>
      <c r="BGZ48" s="193"/>
      <c r="BHA48" s="193"/>
      <c r="BHB48" s="193"/>
      <c r="BHC48" s="193"/>
      <c r="BHD48" s="193"/>
      <c r="BHE48" s="193"/>
      <c r="BHF48" s="193"/>
      <c r="BHG48" s="193"/>
      <c r="BHH48" s="193"/>
      <c r="BHI48" s="193"/>
      <c r="BHJ48" s="193"/>
      <c r="BHK48" s="193"/>
      <c r="BHL48" s="193"/>
      <c r="BHM48" s="193"/>
      <c r="BHN48" s="193"/>
      <c r="BHO48" s="193"/>
      <c r="BHP48" s="193"/>
      <c r="BHQ48" s="193"/>
      <c r="BHR48" s="193"/>
      <c r="BHS48" s="193"/>
      <c r="BHT48" s="193"/>
      <c r="BHU48" s="193"/>
      <c r="BHV48" s="193"/>
      <c r="BHW48" s="193"/>
      <c r="BHX48" s="193"/>
      <c r="BHY48" s="193"/>
      <c r="BHZ48" s="193"/>
      <c r="BIA48" s="193"/>
      <c r="BIB48" s="193"/>
      <c r="BIC48" s="193"/>
      <c r="BID48" s="193"/>
      <c r="BIE48" s="193"/>
      <c r="BIF48" s="193"/>
      <c r="BIG48" s="193"/>
      <c r="BIH48" s="193"/>
      <c r="BII48" s="193"/>
      <c r="BIJ48" s="193"/>
      <c r="BIK48" s="193"/>
      <c r="BIL48" s="193"/>
      <c r="BIM48" s="193"/>
      <c r="BIN48" s="193"/>
      <c r="BIO48" s="193"/>
      <c r="BIP48" s="193"/>
      <c r="BIQ48" s="193"/>
      <c r="BIR48" s="193"/>
      <c r="BIS48" s="193"/>
      <c r="BIT48" s="193"/>
      <c r="BIU48" s="193"/>
      <c r="BIV48" s="193"/>
      <c r="BIW48" s="193"/>
      <c r="BIX48" s="193"/>
      <c r="BIY48" s="193"/>
      <c r="BIZ48" s="193"/>
      <c r="BJA48" s="193"/>
      <c r="BJB48" s="193"/>
      <c r="BJC48" s="193"/>
      <c r="BJD48" s="193"/>
      <c r="BJE48" s="193"/>
      <c r="BJF48" s="193"/>
      <c r="BJG48" s="193"/>
      <c r="BJH48" s="193"/>
      <c r="BJI48" s="193"/>
      <c r="BJJ48" s="193"/>
      <c r="BJK48" s="193"/>
      <c r="BJL48" s="193"/>
      <c r="BJM48" s="193"/>
      <c r="BJN48" s="193"/>
      <c r="BJO48" s="193"/>
      <c r="BJP48" s="193"/>
      <c r="BJQ48" s="193"/>
      <c r="BJR48" s="193"/>
      <c r="BJS48" s="193"/>
      <c r="BJT48" s="193"/>
      <c r="BJU48" s="193"/>
      <c r="BJV48" s="193"/>
      <c r="BJW48" s="193"/>
      <c r="BJX48" s="193"/>
      <c r="BJY48" s="193"/>
      <c r="BJZ48" s="193"/>
      <c r="BKA48" s="193"/>
      <c r="BKB48" s="193"/>
      <c r="BKC48" s="193"/>
      <c r="BKD48" s="193"/>
      <c r="BKE48" s="193"/>
      <c r="BKF48" s="193"/>
      <c r="BKG48" s="193"/>
      <c r="BKH48" s="193"/>
      <c r="BKI48" s="193"/>
      <c r="BKJ48" s="193"/>
      <c r="BKK48" s="193"/>
      <c r="BKL48" s="193"/>
      <c r="BKM48" s="193"/>
      <c r="BKN48" s="193"/>
      <c r="BKO48" s="193"/>
      <c r="BKP48" s="193"/>
      <c r="BKQ48" s="193"/>
      <c r="BKR48" s="193"/>
      <c r="BKS48" s="193"/>
      <c r="BKT48" s="193"/>
      <c r="BKU48" s="193"/>
      <c r="BKV48" s="193"/>
      <c r="BKW48" s="193"/>
      <c r="BKX48" s="193"/>
      <c r="BKY48" s="193"/>
      <c r="BKZ48" s="193"/>
      <c r="BLA48" s="193"/>
      <c r="BLB48" s="193"/>
      <c r="BLC48" s="193"/>
      <c r="BLD48" s="193"/>
      <c r="BLE48" s="193"/>
      <c r="BLF48" s="193"/>
      <c r="BLG48" s="193"/>
      <c r="BLH48" s="193"/>
      <c r="BLI48" s="193"/>
      <c r="BLJ48" s="193"/>
      <c r="BLK48" s="193"/>
      <c r="BLL48" s="193"/>
      <c r="BLM48" s="193"/>
      <c r="BLN48" s="193"/>
      <c r="BLO48" s="193"/>
      <c r="BLP48" s="193"/>
      <c r="BLQ48" s="193"/>
      <c r="BLR48" s="193"/>
      <c r="BLS48" s="193"/>
      <c r="BLT48" s="193"/>
      <c r="BLU48" s="193"/>
      <c r="BLV48" s="193"/>
      <c r="BLW48" s="193"/>
      <c r="BLX48" s="193"/>
      <c r="BLY48" s="193"/>
      <c r="BLZ48" s="193"/>
      <c r="BMA48" s="193"/>
      <c r="BMB48" s="193"/>
      <c r="BMC48" s="193"/>
      <c r="BMD48" s="193"/>
      <c r="BME48" s="193"/>
      <c r="BMF48" s="193"/>
      <c r="BMG48" s="193"/>
      <c r="BMH48" s="193"/>
      <c r="BMI48" s="193"/>
      <c r="BMJ48" s="193"/>
      <c r="BMK48" s="193"/>
      <c r="BML48" s="193"/>
      <c r="BMM48" s="193"/>
      <c r="BMN48" s="193"/>
      <c r="BMO48" s="193"/>
      <c r="BMP48" s="193"/>
      <c r="BMQ48" s="193"/>
      <c r="BMR48" s="193"/>
      <c r="BMS48" s="193"/>
      <c r="BMT48" s="193"/>
      <c r="BMU48" s="193"/>
      <c r="BMV48" s="193"/>
      <c r="BMW48" s="193"/>
      <c r="BMX48" s="193"/>
      <c r="BMY48" s="193"/>
      <c r="BMZ48" s="193"/>
      <c r="BNA48" s="193"/>
      <c r="BNB48" s="193"/>
      <c r="BNC48" s="193"/>
      <c r="BND48" s="193"/>
      <c r="BNE48" s="193"/>
      <c r="BNF48" s="193"/>
      <c r="BNG48" s="193"/>
      <c r="BNH48" s="193"/>
      <c r="BNI48" s="193"/>
      <c r="BNJ48" s="193"/>
      <c r="BNK48" s="193"/>
      <c r="BNL48" s="193"/>
      <c r="BNM48" s="193"/>
      <c r="BNN48" s="193"/>
      <c r="BNO48" s="193"/>
      <c r="BNP48" s="193"/>
      <c r="BNQ48" s="193"/>
      <c r="BNR48" s="193"/>
      <c r="BNS48" s="193"/>
      <c r="BNT48" s="193"/>
      <c r="BNU48" s="193"/>
      <c r="BNV48" s="193"/>
      <c r="BNW48" s="193"/>
      <c r="BNX48" s="193"/>
      <c r="BNY48" s="193"/>
      <c r="BNZ48" s="193"/>
      <c r="BOA48" s="193"/>
      <c r="BOB48" s="193"/>
      <c r="BOC48" s="193"/>
      <c r="BOD48" s="193"/>
      <c r="BOE48" s="193"/>
      <c r="BOF48" s="193"/>
      <c r="BOG48" s="193"/>
      <c r="BOH48" s="193"/>
      <c r="BOI48" s="193"/>
      <c r="BOJ48" s="193"/>
      <c r="BOK48" s="193"/>
      <c r="BOL48" s="193"/>
      <c r="BOM48" s="193"/>
      <c r="BON48" s="193"/>
      <c r="BOO48" s="193"/>
      <c r="BOP48" s="193"/>
      <c r="BOQ48" s="193"/>
      <c r="BOR48" s="193"/>
      <c r="BOS48" s="193"/>
      <c r="BOT48" s="193"/>
      <c r="BOU48" s="193"/>
      <c r="BOV48" s="193"/>
      <c r="BOW48" s="193"/>
      <c r="BOX48" s="193"/>
      <c r="BOY48" s="193"/>
      <c r="BOZ48" s="193"/>
      <c r="BPA48" s="193"/>
      <c r="BPB48" s="193"/>
      <c r="BPC48" s="193"/>
      <c r="BPD48" s="193"/>
      <c r="BPE48" s="193"/>
      <c r="BPF48" s="193"/>
      <c r="BPG48" s="193"/>
      <c r="BPH48" s="193"/>
      <c r="BPI48" s="193"/>
      <c r="BPJ48" s="193"/>
      <c r="BPK48" s="193"/>
      <c r="BPL48" s="193"/>
      <c r="BPM48" s="193"/>
      <c r="BPN48" s="193"/>
      <c r="BPO48" s="193"/>
      <c r="BPP48" s="193"/>
      <c r="BPQ48" s="193"/>
      <c r="BPR48" s="193"/>
      <c r="BPS48" s="193"/>
      <c r="BPT48" s="193"/>
      <c r="BPU48" s="193"/>
      <c r="BPV48" s="193"/>
      <c r="BPW48" s="193"/>
      <c r="BPX48" s="193"/>
      <c r="BPY48" s="193"/>
      <c r="BPZ48" s="193"/>
      <c r="BQA48" s="193"/>
      <c r="BQB48" s="193"/>
      <c r="BQC48" s="193"/>
      <c r="BQD48" s="193"/>
      <c r="BQE48" s="193"/>
      <c r="BQF48" s="193"/>
      <c r="BQG48" s="193"/>
      <c r="BQH48" s="193"/>
      <c r="BQI48" s="193"/>
      <c r="BQJ48" s="193"/>
      <c r="BQK48" s="193"/>
      <c r="BQL48" s="193"/>
      <c r="BQM48" s="193"/>
      <c r="BQN48" s="193"/>
      <c r="BQO48" s="193"/>
      <c r="BQP48" s="193"/>
      <c r="BQQ48" s="193"/>
      <c r="BQR48" s="193"/>
      <c r="BQS48" s="193"/>
      <c r="BQT48" s="193"/>
      <c r="BQU48" s="193"/>
      <c r="BQV48" s="193"/>
      <c r="BQW48" s="193"/>
      <c r="BQX48" s="193"/>
      <c r="BQY48" s="193"/>
      <c r="BQZ48" s="193"/>
      <c r="BRA48" s="193"/>
      <c r="BRB48" s="193"/>
      <c r="BRC48" s="193"/>
      <c r="BRD48" s="193"/>
      <c r="BRE48" s="193"/>
      <c r="BRF48" s="193"/>
      <c r="BRG48" s="193"/>
      <c r="BRH48" s="193"/>
      <c r="BRI48" s="193"/>
      <c r="BRJ48" s="193"/>
      <c r="BRK48" s="193"/>
      <c r="BRL48" s="193"/>
      <c r="BRM48" s="193"/>
      <c r="BRN48" s="193"/>
      <c r="BRO48" s="193"/>
      <c r="BRP48" s="193"/>
      <c r="BRQ48" s="193"/>
      <c r="BRR48" s="193"/>
      <c r="BRS48" s="193"/>
      <c r="BRT48" s="193"/>
      <c r="BRU48" s="193"/>
      <c r="BRV48" s="193"/>
      <c r="BRW48" s="193"/>
      <c r="BRX48" s="193"/>
      <c r="BRY48" s="193"/>
      <c r="BRZ48" s="193"/>
      <c r="BSA48" s="193"/>
      <c r="BSB48" s="193"/>
      <c r="BSC48" s="193"/>
      <c r="BSD48" s="193"/>
      <c r="BSE48" s="193"/>
      <c r="BSF48" s="193"/>
      <c r="BSG48" s="193"/>
      <c r="BSH48" s="193"/>
      <c r="BSI48" s="193"/>
      <c r="BSJ48" s="193"/>
      <c r="BSK48" s="193"/>
      <c r="BSL48" s="193"/>
      <c r="BSM48" s="193"/>
      <c r="BSN48" s="193"/>
      <c r="BSO48" s="193"/>
      <c r="BSP48" s="193"/>
      <c r="BSQ48" s="193"/>
      <c r="BSR48" s="193"/>
      <c r="BSS48" s="193"/>
      <c r="BST48" s="193"/>
      <c r="BSU48" s="193"/>
      <c r="BSV48" s="193"/>
      <c r="BSW48" s="193"/>
      <c r="BSX48" s="193"/>
      <c r="BSY48" s="193"/>
      <c r="BSZ48" s="193"/>
      <c r="BTA48" s="193"/>
      <c r="BTB48" s="193"/>
      <c r="BTC48" s="193"/>
      <c r="BTD48" s="193"/>
      <c r="BTE48" s="193"/>
      <c r="BTF48" s="193"/>
      <c r="BTG48" s="193"/>
      <c r="BTH48" s="193"/>
      <c r="BTI48" s="193"/>
      <c r="BTJ48" s="193"/>
      <c r="BTK48" s="193"/>
      <c r="BTL48" s="193"/>
      <c r="BTM48" s="193"/>
      <c r="BTN48" s="193"/>
      <c r="BTO48" s="193"/>
      <c r="BTP48" s="193"/>
      <c r="BTQ48" s="193"/>
      <c r="BTR48" s="193"/>
      <c r="BTS48" s="193"/>
      <c r="BTT48" s="193"/>
      <c r="BTU48" s="193"/>
      <c r="BTV48" s="193"/>
      <c r="BTW48" s="193"/>
      <c r="BTX48" s="193"/>
      <c r="BTY48" s="193"/>
      <c r="BTZ48" s="193"/>
      <c r="BUA48" s="193"/>
      <c r="BUB48" s="193"/>
      <c r="BUC48" s="193"/>
      <c r="BUD48" s="193"/>
      <c r="BUE48" s="193"/>
      <c r="BUF48" s="193"/>
      <c r="BUG48" s="193"/>
      <c r="BUH48" s="193"/>
      <c r="BUI48" s="193"/>
      <c r="BUJ48" s="193"/>
      <c r="BUK48" s="193"/>
      <c r="BUL48" s="193"/>
      <c r="BUM48" s="193"/>
      <c r="BUN48" s="193"/>
      <c r="BUO48" s="193"/>
      <c r="BUP48" s="193"/>
      <c r="BUQ48" s="193"/>
      <c r="BUR48" s="193"/>
      <c r="BUS48" s="193"/>
      <c r="BUT48" s="193"/>
      <c r="BUU48" s="193"/>
      <c r="BUV48" s="193"/>
      <c r="BUW48" s="193"/>
      <c r="BUX48" s="193"/>
      <c r="BUY48" s="193"/>
      <c r="BUZ48" s="193"/>
      <c r="BVA48" s="193"/>
      <c r="BVB48" s="193"/>
      <c r="BVC48" s="193"/>
      <c r="BVD48" s="193"/>
      <c r="BVE48" s="193"/>
      <c r="BVF48" s="193"/>
      <c r="BVG48" s="193"/>
      <c r="BVH48" s="193"/>
      <c r="BVI48" s="193"/>
      <c r="BVJ48" s="193"/>
      <c r="BVK48" s="193"/>
      <c r="BVL48" s="193"/>
      <c r="BVM48" s="193"/>
      <c r="BVN48" s="193"/>
      <c r="BVO48" s="193"/>
      <c r="BVP48" s="193"/>
      <c r="BVQ48" s="193"/>
      <c r="BVR48" s="193"/>
      <c r="BVS48" s="193"/>
      <c r="BVT48" s="193"/>
      <c r="BVU48" s="193"/>
      <c r="BVV48" s="193"/>
      <c r="BVW48" s="193"/>
      <c r="BVX48" s="193"/>
      <c r="BVY48" s="193"/>
      <c r="BVZ48" s="193"/>
      <c r="BWA48" s="193"/>
      <c r="BWB48" s="193"/>
      <c r="BWC48" s="193"/>
      <c r="BWD48" s="193"/>
      <c r="BWE48" s="193"/>
      <c r="BWF48" s="193"/>
      <c r="BWG48" s="193"/>
      <c r="BWH48" s="193"/>
      <c r="BWI48" s="193"/>
      <c r="BWJ48" s="193"/>
      <c r="BWK48" s="193"/>
      <c r="BWL48" s="193"/>
      <c r="BWM48" s="193"/>
      <c r="BWN48" s="193"/>
      <c r="BWO48" s="193"/>
      <c r="BWP48" s="193"/>
      <c r="BWQ48" s="193"/>
      <c r="BWR48" s="193"/>
      <c r="BWS48" s="193"/>
      <c r="BWT48" s="193"/>
      <c r="BWU48" s="193"/>
      <c r="BWV48" s="193"/>
      <c r="BWW48" s="193"/>
      <c r="BWX48" s="193"/>
      <c r="BWY48" s="193"/>
      <c r="BWZ48" s="193"/>
      <c r="BXA48" s="193"/>
      <c r="BXB48" s="193"/>
      <c r="BXC48" s="193"/>
      <c r="BXD48" s="193"/>
      <c r="BXE48" s="193"/>
      <c r="BXF48" s="193"/>
      <c r="BXG48" s="193"/>
      <c r="BXH48" s="193"/>
      <c r="BXI48" s="193"/>
      <c r="BXJ48" s="193"/>
      <c r="BXK48" s="193"/>
      <c r="BXL48" s="193"/>
      <c r="BXM48" s="193"/>
      <c r="BXN48" s="193"/>
      <c r="BXO48" s="193"/>
      <c r="BXP48" s="193"/>
      <c r="BXQ48" s="193"/>
      <c r="BXR48" s="193"/>
      <c r="BXS48" s="193"/>
      <c r="BXT48" s="193"/>
      <c r="BXU48" s="193"/>
      <c r="BXV48" s="193"/>
      <c r="BXW48" s="193"/>
      <c r="BXX48" s="193"/>
      <c r="BXY48" s="193"/>
      <c r="BXZ48" s="193"/>
      <c r="BYA48" s="193"/>
      <c r="BYB48" s="193"/>
      <c r="BYC48" s="193"/>
      <c r="BYD48" s="193"/>
      <c r="BYE48" s="193"/>
      <c r="BYF48" s="193"/>
      <c r="BYG48" s="193"/>
      <c r="BYH48" s="193"/>
      <c r="BYI48" s="193"/>
      <c r="BYJ48" s="193"/>
      <c r="BYK48" s="193"/>
      <c r="BYL48" s="193"/>
      <c r="BYM48" s="193"/>
      <c r="BYN48" s="193"/>
      <c r="BYO48" s="193"/>
      <c r="BYP48" s="193"/>
      <c r="BYQ48" s="193"/>
      <c r="BYR48" s="193"/>
      <c r="BYS48" s="193"/>
      <c r="BYT48" s="193"/>
      <c r="BYU48" s="193"/>
      <c r="BYV48" s="193"/>
      <c r="BYW48" s="193"/>
      <c r="BYX48" s="193"/>
      <c r="BYY48" s="193"/>
      <c r="BYZ48" s="193"/>
      <c r="BZA48" s="193"/>
      <c r="BZB48" s="193"/>
      <c r="BZC48" s="193"/>
      <c r="BZD48" s="193"/>
      <c r="BZE48" s="193"/>
      <c r="BZF48" s="193"/>
      <c r="BZG48" s="193"/>
      <c r="BZH48" s="193"/>
      <c r="BZI48" s="193"/>
      <c r="BZJ48" s="193"/>
      <c r="BZK48" s="193"/>
      <c r="BZL48" s="193"/>
      <c r="BZM48" s="193"/>
      <c r="BZN48" s="193"/>
      <c r="BZO48" s="193"/>
      <c r="BZP48" s="193"/>
      <c r="BZQ48" s="193"/>
      <c r="BZR48" s="193"/>
      <c r="BZS48" s="193"/>
      <c r="BZT48" s="193"/>
      <c r="BZU48" s="193"/>
      <c r="BZV48" s="193"/>
      <c r="BZW48" s="193"/>
      <c r="BZX48" s="193"/>
      <c r="BZY48" s="193"/>
      <c r="BZZ48" s="193"/>
      <c r="CAA48" s="193"/>
      <c r="CAB48" s="193"/>
      <c r="CAC48" s="193"/>
      <c r="CAD48" s="193"/>
      <c r="CAE48" s="193"/>
      <c r="CAF48" s="193"/>
      <c r="CAG48" s="193"/>
      <c r="CAH48" s="193"/>
      <c r="CAI48" s="193"/>
      <c r="CAJ48" s="193"/>
      <c r="CAK48" s="193"/>
      <c r="CAL48" s="193"/>
      <c r="CAM48" s="193"/>
      <c r="CAN48" s="193"/>
      <c r="CAO48" s="193"/>
      <c r="CAP48" s="193"/>
      <c r="CAQ48" s="193"/>
      <c r="CAR48" s="193"/>
      <c r="CAS48" s="193"/>
      <c r="CAT48" s="193"/>
      <c r="CAU48" s="193"/>
      <c r="CAV48" s="193"/>
      <c r="CAW48" s="193"/>
      <c r="CAX48" s="193"/>
      <c r="CAY48" s="193"/>
      <c r="CAZ48" s="193"/>
      <c r="CBA48" s="193"/>
      <c r="CBB48" s="193"/>
      <c r="CBC48" s="193"/>
      <c r="CBD48" s="193"/>
      <c r="CBE48" s="193"/>
      <c r="CBF48" s="193"/>
      <c r="CBG48" s="193"/>
      <c r="CBH48" s="193"/>
      <c r="CBI48" s="193"/>
      <c r="CBJ48" s="193"/>
      <c r="CBK48" s="193"/>
      <c r="CBL48" s="193"/>
      <c r="CBM48" s="193"/>
      <c r="CBN48" s="193"/>
      <c r="CBO48" s="193"/>
      <c r="CBP48" s="193"/>
      <c r="CBQ48" s="193"/>
      <c r="CBR48" s="193"/>
      <c r="CBS48" s="193"/>
      <c r="CBT48" s="193"/>
      <c r="CBU48" s="193"/>
      <c r="CBV48" s="193"/>
      <c r="CBW48" s="193"/>
      <c r="CBX48" s="193"/>
      <c r="CBY48" s="193"/>
      <c r="CBZ48" s="193"/>
      <c r="CCA48" s="193"/>
      <c r="CCB48" s="193"/>
      <c r="CCC48" s="193"/>
      <c r="CCD48" s="193"/>
      <c r="CCE48" s="193"/>
      <c r="CCF48" s="193"/>
      <c r="CCG48" s="193"/>
      <c r="CCH48" s="193"/>
      <c r="CCI48" s="193"/>
      <c r="CCJ48" s="193"/>
      <c r="CCK48" s="193"/>
      <c r="CCL48" s="193"/>
      <c r="CCM48" s="193"/>
      <c r="CCN48" s="193"/>
      <c r="CCO48" s="193"/>
      <c r="CCP48" s="193"/>
      <c r="CCQ48" s="193"/>
      <c r="CCR48" s="193"/>
      <c r="CCS48" s="193"/>
      <c r="CCT48" s="193"/>
      <c r="CCU48" s="193"/>
      <c r="CCV48" s="193"/>
      <c r="CCW48" s="193"/>
      <c r="CCX48" s="193"/>
      <c r="CCY48" s="193"/>
      <c r="CCZ48" s="193"/>
      <c r="CDA48" s="193"/>
      <c r="CDB48" s="193"/>
      <c r="CDC48" s="193"/>
      <c r="CDD48" s="193"/>
      <c r="CDE48" s="193"/>
      <c r="CDF48" s="193"/>
      <c r="CDG48" s="193"/>
      <c r="CDH48" s="193"/>
      <c r="CDI48" s="193"/>
      <c r="CDJ48" s="193"/>
      <c r="CDK48" s="193"/>
      <c r="CDL48" s="193"/>
      <c r="CDM48" s="193"/>
      <c r="CDN48" s="193"/>
      <c r="CDO48" s="193"/>
      <c r="CDP48" s="193"/>
      <c r="CDQ48" s="193"/>
      <c r="CDR48" s="193"/>
      <c r="CDS48" s="193"/>
      <c r="CDT48" s="193"/>
      <c r="CDU48" s="193"/>
      <c r="CDV48" s="193"/>
      <c r="CDW48" s="193"/>
      <c r="CDX48" s="193"/>
      <c r="CDY48" s="193"/>
      <c r="CDZ48" s="193"/>
      <c r="CEA48" s="193"/>
      <c r="CEB48" s="193"/>
      <c r="CEC48" s="193"/>
      <c r="CED48" s="193"/>
      <c r="CEE48" s="193"/>
      <c r="CEF48" s="193"/>
      <c r="CEG48" s="193"/>
      <c r="CEH48" s="193"/>
      <c r="CEI48" s="193"/>
      <c r="CEJ48" s="193"/>
      <c r="CEK48" s="193"/>
      <c r="CEL48" s="193"/>
      <c r="CEM48" s="193"/>
      <c r="CEN48" s="193"/>
      <c r="CEO48" s="193"/>
      <c r="CEP48" s="193"/>
      <c r="CEQ48" s="193"/>
      <c r="CER48" s="193"/>
      <c r="CES48" s="193"/>
      <c r="CET48" s="193"/>
      <c r="CEU48" s="193"/>
      <c r="CEV48" s="193"/>
      <c r="CEW48" s="193"/>
      <c r="CEX48" s="193"/>
      <c r="CEY48" s="193"/>
      <c r="CEZ48" s="193"/>
      <c r="CFA48" s="193"/>
      <c r="CFB48" s="193"/>
      <c r="CFC48" s="193"/>
      <c r="CFD48" s="193"/>
      <c r="CFE48" s="193"/>
      <c r="CFF48" s="193"/>
      <c r="CFG48" s="193"/>
      <c r="CFH48" s="193"/>
      <c r="CFI48" s="193"/>
      <c r="CFJ48" s="193"/>
      <c r="CFK48" s="193"/>
      <c r="CFL48" s="193"/>
      <c r="CFM48" s="193"/>
      <c r="CFN48" s="193"/>
      <c r="CFO48" s="193"/>
      <c r="CFP48" s="193"/>
      <c r="CFQ48" s="193"/>
      <c r="CFR48" s="193"/>
      <c r="CFS48" s="193"/>
      <c r="CFT48" s="193"/>
      <c r="CFU48" s="193"/>
      <c r="CFV48" s="193"/>
      <c r="CFW48" s="193"/>
      <c r="CFX48" s="193"/>
      <c r="CFY48" s="193"/>
      <c r="CFZ48" s="193"/>
      <c r="CGA48" s="193"/>
      <c r="CGB48" s="193"/>
      <c r="CGC48" s="193"/>
      <c r="CGD48" s="193"/>
      <c r="CGE48" s="193"/>
      <c r="CGF48" s="193"/>
      <c r="CGG48" s="193"/>
      <c r="CGH48" s="193"/>
      <c r="CGI48" s="193"/>
      <c r="CGJ48" s="193"/>
      <c r="CGK48" s="193"/>
      <c r="CGL48" s="193"/>
      <c r="CGM48" s="193"/>
      <c r="CGN48" s="193"/>
      <c r="CGO48" s="193"/>
      <c r="CGP48" s="193"/>
      <c r="CGQ48" s="193"/>
      <c r="CGR48" s="193"/>
      <c r="CGS48" s="193"/>
      <c r="CGT48" s="193"/>
      <c r="CGU48" s="193"/>
      <c r="CGV48" s="193"/>
      <c r="CGW48" s="193"/>
      <c r="CGX48" s="193"/>
      <c r="CGY48" s="193"/>
      <c r="CGZ48" s="193"/>
      <c r="CHA48" s="193"/>
      <c r="CHB48" s="193"/>
      <c r="CHC48" s="193"/>
      <c r="CHD48" s="193"/>
      <c r="CHE48" s="193"/>
      <c r="CHF48" s="193"/>
      <c r="CHG48" s="193"/>
      <c r="CHH48" s="193"/>
      <c r="CHI48" s="193"/>
      <c r="CHJ48" s="193"/>
      <c r="CHK48" s="193"/>
      <c r="CHL48" s="193"/>
      <c r="CHM48" s="193"/>
      <c r="CHN48" s="193"/>
      <c r="CHO48" s="193"/>
      <c r="CHP48" s="193"/>
      <c r="CHQ48" s="193"/>
      <c r="CHR48" s="193"/>
      <c r="CHS48" s="193"/>
      <c r="CHT48" s="193"/>
      <c r="CHU48" s="193"/>
      <c r="CHV48" s="193"/>
      <c r="CHW48" s="193"/>
      <c r="CHX48" s="193"/>
      <c r="CHY48" s="193"/>
      <c r="CHZ48" s="193"/>
      <c r="CIA48" s="193"/>
      <c r="CIB48" s="193"/>
      <c r="CIC48" s="193"/>
      <c r="CID48" s="193"/>
      <c r="CIE48" s="193"/>
      <c r="CIF48" s="193"/>
      <c r="CIG48" s="193"/>
      <c r="CIH48" s="193"/>
      <c r="CII48" s="193"/>
      <c r="CIJ48" s="193"/>
      <c r="CIK48" s="193"/>
      <c r="CIL48" s="193"/>
      <c r="CIM48" s="193"/>
      <c r="CIN48" s="193"/>
      <c r="CIO48" s="193"/>
      <c r="CIP48" s="193"/>
      <c r="CIQ48" s="193"/>
      <c r="CIR48" s="193"/>
      <c r="CIS48" s="193"/>
      <c r="CIT48" s="193"/>
      <c r="CIU48" s="193"/>
      <c r="CIV48" s="193"/>
      <c r="CIW48" s="193"/>
      <c r="CIX48" s="193"/>
      <c r="CIY48" s="193"/>
      <c r="CIZ48" s="193"/>
      <c r="CJA48" s="193"/>
      <c r="CJB48" s="193"/>
      <c r="CJC48" s="193"/>
      <c r="CJD48" s="193"/>
      <c r="CJE48" s="193"/>
      <c r="CJF48" s="193"/>
      <c r="CJG48" s="193"/>
      <c r="CJH48" s="193"/>
      <c r="CJI48" s="193"/>
      <c r="CJJ48" s="193"/>
      <c r="CJK48" s="193"/>
      <c r="CJL48" s="193"/>
      <c r="CJM48" s="193"/>
      <c r="CJN48" s="193"/>
      <c r="CJO48" s="193"/>
      <c r="CJP48" s="193"/>
      <c r="CJQ48" s="193"/>
      <c r="CJR48" s="193"/>
      <c r="CJS48" s="193"/>
      <c r="CJT48" s="193"/>
      <c r="CJU48" s="193"/>
      <c r="CJV48" s="193"/>
      <c r="CJW48" s="193"/>
      <c r="CJX48" s="193"/>
      <c r="CJY48" s="193"/>
      <c r="CJZ48" s="193"/>
      <c r="CKA48" s="193"/>
      <c r="CKB48" s="193"/>
      <c r="CKC48" s="193"/>
      <c r="CKD48" s="193"/>
      <c r="CKE48" s="193"/>
      <c r="CKF48" s="193"/>
      <c r="CKG48" s="193"/>
      <c r="CKH48" s="193"/>
      <c r="CKI48" s="193"/>
      <c r="CKJ48" s="193"/>
      <c r="CKK48" s="193"/>
      <c r="CKL48" s="193"/>
      <c r="CKM48" s="193"/>
      <c r="CKN48" s="193"/>
      <c r="CKO48" s="193"/>
      <c r="CKP48" s="193"/>
      <c r="CKQ48" s="193"/>
      <c r="CKR48" s="193"/>
      <c r="CKS48" s="193"/>
      <c r="CKT48" s="193"/>
      <c r="CKU48" s="193"/>
      <c r="CKV48" s="193"/>
      <c r="CKW48" s="193"/>
      <c r="CKX48" s="193"/>
      <c r="CKY48" s="193"/>
      <c r="CKZ48" s="193"/>
      <c r="CLA48" s="193"/>
      <c r="CLB48" s="193"/>
      <c r="CLC48" s="193"/>
      <c r="CLD48" s="193"/>
      <c r="CLE48" s="193"/>
      <c r="CLF48" s="193"/>
      <c r="CLG48" s="193"/>
      <c r="CLH48" s="193"/>
      <c r="CLI48" s="193"/>
      <c r="CLJ48" s="193"/>
      <c r="CLK48" s="193"/>
      <c r="CLL48" s="193"/>
      <c r="CLM48" s="193"/>
      <c r="CLN48" s="193"/>
      <c r="CLO48" s="193"/>
      <c r="CLP48" s="193"/>
      <c r="CLQ48" s="193"/>
      <c r="CLR48" s="193"/>
      <c r="CLS48" s="193"/>
      <c r="CLT48" s="193"/>
      <c r="CLU48" s="193"/>
      <c r="CLV48" s="193"/>
      <c r="CLW48" s="193"/>
      <c r="CLX48" s="193"/>
      <c r="CLY48" s="193"/>
      <c r="CLZ48" s="193"/>
      <c r="CMA48" s="193"/>
      <c r="CMB48" s="193"/>
      <c r="CMC48" s="193"/>
      <c r="CMD48" s="193"/>
      <c r="CME48" s="193"/>
      <c r="CMF48" s="193"/>
      <c r="CMG48" s="193"/>
      <c r="CMH48" s="193"/>
      <c r="CMI48" s="193"/>
      <c r="CMJ48" s="193"/>
      <c r="CMK48" s="193"/>
      <c r="CML48" s="193"/>
      <c r="CMM48" s="193"/>
      <c r="CMN48" s="193"/>
      <c r="CMO48" s="193"/>
      <c r="CMP48" s="193"/>
      <c r="CMQ48" s="193"/>
      <c r="CMR48" s="193"/>
      <c r="CMS48" s="193"/>
      <c r="CMT48" s="193"/>
      <c r="CMU48" s="193"/>
      <c r="CMV48" s="193"/>
      <c r="CMW48" s="193"/>
      <c r="CMX48" s="193"/>
      <c r="CMY48" s="193"/>
      <c r="CMZ48" s="193"/>
      <c r="CNA48" s="193"/>
      <c r="CNB48" s="193"/>
      <c r="CNC48" s="193"/>
      <c r="CND48" s="193"/>
      <c r="CNE48" s="193"/>
      <c r="CNF48" s="193"/>
      <c r="CNG48" s="193"/>
      <c r="CNH48" s="193"/>
      <c r="CNI48" s="193"/>
      <c r="CNJ48" s="193"/>
      <c r="CNK48" s="193"/>
      <c r="CNL48" s="193"/>
      <c r="CNM48" s="193"/>
      <c r="CNN48" s="193"/>
      <c r="CNO48" s="193"/>
      <c r="CNP48" s="193"/>
      <c r="CNQ48" s="193"/>
      <c r="CNR48" s="193"/>
      <c r="CNS48" s="193"/>
      <c r="CNT48" s="193"/>
      <c r="CNU48" s="193"/>
      <c r="CNV48" s="193"/>
      <c r="CNW48" s="193"/>
      <c r="CNX48" s="193"/>
      <c r="CNY48" s="193"/>
      <c r="CNZ48" s="193"/>
      <c r="COA48" s="193"/>
      <c r="COB48" s="193"/>
      <c r="COC48" s="193"/>
      <c r="COD48" s="193"/>
      <c r="COE48" s="193"/>
      <c r="COF48" s="193"/>
      <c r="COG48" s="193"/>
      <c r="COH48" s="193"/>
      <c r="COI48" s="193"/>
      <c r="COJ48" s="193"/>
      <c r="COK48" s="193"/>
      <c r="COL48" s="193"/>
      <c r="COM48" s="193"/>
      <c r="CON48" s="193"/>
      <c r="COO48" s="193"/>
      <c r="COP48" s="193"/>
      <c r="COQ48" s="193"/>
      <c r="COR48" s="193"/>
      <c r="COS48" s="193"/>
      <c r="COT48" s="193"/>
      <c r="COU48" s="193"/>
      <c r="COV48" s="193"/>
      <c r="COW48" s="193"/>
      <c r="COX48" s="193"/>
      <c r="COY48" s="193"/>
      <c r="COZ48" s="193"/>
      <c r="CPA48" s="193"/>
      <c r="CPB48" s="193"/>
      <c r="CPC48" s="193"/>
      <c r="CPD48" s="193"/>
      <c r="CPE48" s="193"/>
      <c r="CPF48" s="193"/>
      <c r="CPG48" s="193"/>
      <c r="CPH48" s="193"/>
      <c r="CPI48" s="193"/>
      <c r="CPJ48" s="193"/>
      <c r="CPK48" s="193"/>
      <c r="CPL48" s="193"/>
      <c r="CPM48" s="193"/>
      <c r="CPN48" s="193"/>
      <c r="CPO48" s="193"/>
      <c r="CPP48" s="193"/>
      <c r="CPQ48" s="193"/>
      <c r="CPR48" s="193"/>
      <c r="CPS48" s="193"/>
      <c r="CPT48" s="193"/>
      <c r="CPU48" s="193"/>
      <c r="CPV48" s="193"/>
      <c r="CPW48" s="193"/>
      <c r="CPX48" s="193"/>
      <c r="CPY48" s="193"/>
      <c r="CPZ48" s="193"/>
      <c r="CQA48" s="193"/>
      <c r="CQB48" s="193"/>
      <c r="CQC48" s="193"/>
      <c r="CQD48" s="193"/>
      <c r="CQE48" s="193"/>
      <c r="CQF48" s="193"/>
      <c r="CQG48" s="193"/>
      <c r="CQH48" s="193"/>
      <c r="CQI48" s="193"/>
      <c r="CQJ48" s="193"/>
      <c r="CQK48" s="193"/>
      <c r="CQL48" s="193"/>
      <c r="CQM48" s="193"/>
      <c r="CQN48" s="193"/>
      <c r="CQO48" s="193"/>
      <c r="CQP48" s="193"/>
      <c r="CQQ48" s="193"/>
      <c r="CQR48" s="193"/>
      <c r="CQS48" s="193"/>
      <c r="CQT48" s="193"/>
      <c r="CQU48" s="193"/>
      <c r="CQV48" s="193"/>
      <c r="CQW48" s="193"/>
      <c r="CQX48" s="193"/>
      <c r="CQY48" s="193"/>
      <c r="CQZ48" s="193"/>
      <c r="CRA48" s="193"/>
      <c r="CRB48" s="193"/>
      <c r="CRC48" s="193"/>
      <c r="CRD48" s="193"/>
      <c r="CRE48" s="193"/>
      <c r="CRF48" s="193"/>
      <c r="CRG48" s="193"/>
      <c r="CRH48" s="193"/>
      <c r="CRI48" s="193"/>
      <c r="CRJ48" s="193"/>
      <c r="CRK48" s="193"/>
      <c r="CRL48" s="193"/>
      <c r="CRM48" s="193"/>
      <c r="CRN48" s="193"/>
      <c r="CRO48" s="193"/>
      <c r="CRP48" s="193"/>
      <c r="CRQ48" s="193"/>
      <c r="CRR48" s="193"/>
      <c r="CRS48" s="193"/>
      <c r="CRT48" s="193"/>
      <c r="CRU48" s="193"/>
      <c r="CRV48" s="193"/>
      <c r="CRW48" s="193"/>
      <c r="CRX48" s="193"/>
      <c r="CRY48" s="193"/>
      <c r="CRZ48" s="193"/>
      <c r="CSA48" s="193"/>
      <c r="CSB48" s="193"/>
      <c r="CSC48" s="193"/>
      <c r="CSD48" s="193"/>
      <c r="CSE48" s="193"/>
      <c r="CSF48" s="193"/>
      <c r="CSG48" s="193"/>
      <c r="CSH48" s="193"/>
      <c r="CSI48" s="193"/>
      <c r="CSJ48" s="193"/>
      <c r="CSK48" s="193"/>
      <c r="CSL48" s="193"/>
      <c r="CSM48" s="193"/>
      <c r="CSN48" s="193"/>
      <c r="CSO48" s="193"/>
      <c r="CSP48" s="193"/>
      <c r="CSQ48" s="193"/>
      <c r="CSR48" s="193"/>
      <c r="CSS48" s="193"/>
      <c r="CST48" s="193"/>
      <c r="CSU48" s="193"/>
      <c r="CSV48" s="193"/>
      <c r="CSW48" s="193"/>
      <c r="CSX48" s="193"/>
      <c r="CSY48" s="193"/>
      <c r="CSZ48" s="193"/>
      <c r="CTA48" s="193"/>
      <c r="CTB48" s="193"/>
      <c r="CTC48" s="193"/>
      <c r="CTD48" s="193"/>
      <c r="CTE48" s="193"/>
      <c r="CTF48" s="193"/>
      <c r="CTG48" s="193"/>
      <c r="CTH48" s="193"/>
      <c r="CTI48" s="193"/>
      <c r="CTJ48" s="193"/>
      <c r="CTK48" s="193"/>
      <c r="CTL48" s="193"/>
      <c r="CTM48" s="193"/>
      <c r="CTN48" s="193"/>
      <c r="CTO48" s="193"/>
      <c r="CTP48" s="193"/>
      <c r="CTQ48" s="193"/>
      <c r="CTR48" s="193"/>
      <c r="CTS48" s="193"/>
      <c r="CTT48" s="193"/>
      <c r="CTU48" s="193"/>
      <c r="CTV48" s="193"/>
      <c r="CTW48" s="193"/>
      <c r="CTX48" s="193"/>
      <c r="CTY48" s="193"/>
      <c r="CTZ48" s="193"/>
      <c r="CUA48" s="193"/>
    </row>
    <row r="49" s="193" customFormat="1" spans="1:44">
      <c r="A49" s="227" t="s">
        <v>32</v>
      </c>
      <c r="B49" s="228">
        <f t="shared" ref="B49:B58" si="34">B44+1</f>
        <v>11</v>
      </c>
      <c r="C49" s="229">
        <f t="shared" ref="C49:C57" si="35">C44+42</f>
        <v>45601</v>
      </c>
      <c r="D49" s="230">
        <f t="shared" ref="D49:D57" si="36">C49+6</f>
        <v>45607</v>
      </c>
      <c r="E49" s="231">
        <v>1330</v>
      </c>
      <c r="F49" s="232">
        <f t="shared" ref="F49:F57" si="37">D49+14</f>
        <v>45621</v>
      </c>
      <c r="G49" s="231">
        <v>1168</v>
      </c>
      <c r="H49" s="233">
        <f t="shared" si="10"/>
        <v>0.878195488721805</v>
      </c>
      <c r="I49" s="230">
        <f t="shared" ref="I49:I57" si="38">D49+31</f>
        <v>45638</v>
      </c>
      <c r="J49" s="231">
        <v>1100</v>
      </c>
      <c r="K49" s="233">
        <f t="shared" si="0"/>
        <v>0.827067669172932</v>
      </c>
      <c r="L49" s="230">
        <f t="shared" ref="L49:L57" si="39">I49+3</f>
        <v>45641</v>
      </c>
      <c r="M49" s="231">
        <v>1083</v>
      </c>
      <c r="N49" s="231">
        <v>10330</v>
      </c>
      <c r="O49" s="233">
        <f t="shared" si="1"/>
        <v>0.814285714285714</v>
      </c>
      <c r="P49" s="233">
        <f t="shared" si="7"/>
        <v>0.0639097744360902</v>
      </c>
      <c r="Q49" s="234">
        <f t="shared" si="2"/>
        <v>9.53831948291782</v>
      </c>
      <c r="R49" s="230">
        <f t="shared" si="33"/>
        <v>45673</v>
      </c>
      <c r="S49" s="235">
        <v>10048</v>
      </c>
      <c r="T49" s="228">
        <v>946</v>
      </c>
      <c r="U49" s="233">
        <f t="shared" si="3"/>
        <v>0.97270087124879</v>
      </c>
      <c r="V49" s="230">
        <f t="shared" ref="V49:V57" si="40">I49+70</f>
        <v>45708</v>
      </c>
      <c r="W49" s="235">
        <v>9206</v>
      </c>
      <c r="X49" s="233">
        <f t="shared" si="4"/>
        <v>0.916202229299363</v>
      </c>
      <c r="Y49" s="228">
        <v>21790</v>
      </c>
      <c r="Z49" s="236">
        <v>12.8</v>
      </c>
      <c r="AA49" s="236">
        <f t="shared" si="32"/>
        <v>2.36693460786444</v>
      </c>
      <c r="AB49" s="236">
        <f t="shared" si="5"/>
        <v>6.9218045112782</v>
      </c>
      <c r="AC49" s="236">
        <v>3.35</v>
      </c>
      <c r="AD49" s="235">
        <v>3.6</v>
      </c>
      <c r="AE49" s="236">
        <v>58</v>
      </c>
      <c r="AF49" s="235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</row>
    <row r="50" s="188" customFormat="1" spans="1:44">
      <c r="A50" s="216" t="s">
        <v>30</v>
      </c>
      <c r="B50" s="84">
        <f t="shared" si="34"/>
        <v>12</v>
      </c>
      <c r="C50" s="217">
        <f t="shared" si="35"/>
        <v>45608</v>
      </c>
      <c r="D50" s="218">
        <f t="shared" si="36"/>
        <v>45614</v>
      </c>
      <c r="E50" s="219">
        <v>1336</v>
      </c>
      <c r="F50" s="220">
        <f t="shared" si="37"/>
        <v>45628</v>
      </c>
      <c r="G50" s="219">
        <v>1130</v>
      </c>
      <c r="H50" s="54">
        <f t="shared" si="10"/>
        <v>0.845808383233533</v>
      </c>
      <c r="I50" s="218">
        <f t="shared" si="38"/>
        <v>45645</v>
      </c>
      <c r="J50" s="219">
        <v>1086</v>
      </c>
      <c r="K50" s="54">
        <f t="shared" si="0"/>
        <v>0.812874251497006</v>
      </c>
      <c r="L50" s="218">
        <f t="shared" si="39"/>
        <v>45648</v>
      </c>
      <c r="M50" s="219">
        <v>1080</v>
      </c>
      <c r="N50" s="219">
        <v>10375</v>
      </c>
      <c r="O50" s="54">
        <f t="shared" si="1"/>
        <v>0.808383233532934</v>
      </c>
      <c r="P50" s="54">
        <f t="shared" si="7"/>
        <v>0.0374251497005987</v>
      </c>
      <c r="Q50" s="221">
        <f t="shared" si="2"/>
        <v>9.60648148148148</v>
      </c>
      <c r="R50" s="218">
        <f t="shared" si="33"/>
        <v>45680</v>
      </c>
      <c r="S50" s="203">
        <v>9855</v>
      </c>
      <c r="T50" s="84">
        <v>911</v>
      </c>
      <c r="U50" s="54">
        <f t="shared" si="3"/>
        <v>0.949879518072289</v>
      </c>
      <c r="V50" s="218">
        <f t="shared" si="40"/>
        <v>45715</v>
      </c>
      <c r="W50" s="203">
        <v>9031</v>
      </c>
      <c r="X50" s="54">
        <f t="shared" si="4"/>
        <v>0.91638762049721</v>
      </c>
      <c r="Y50" s="84">
        <v>22115</v>
      </c>
      <c r="Z50" s="8">
        <v>13</v>
      </c>
      <c r="AA50" s="8">
        <f t="shared" si="32"/>
        <v>2.44878750968885</v>
      </c>
      <c r="AB50" s="8">
        <f t="shared" si="5"/>
        <v>6.75973053892216</v>
      </c>
      <c r="AC50" s="8">
        <v>3.23</v>
      </c>
      <c r="AD50" s="203">
        <v>3.41</v>
      </c>
      <c r="AE50" s="8">
        <v>58</v>
      </c>
      <c r="AF50" s="203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</row>
    <row r="51" s="194" customFormat="1" spans="1:44">
      <c r="A51" s="216" t="s">
        <v>42</v>
      </c>
      <c r="B51" s="84">
        <f t="shared" si="34"/>
        <v>8</v>
      </c>
      <c r="C51" s="217">
        <f t="shared" si="35"/>
        <v>45615</v>
      </c>
      <c r="D51" s="218">
        <f t="shared" si="36"/>
        <v>45621</v>
      </c>
      <c r="E51" s="219">
        <v>1350</v>
      </c>
      <c r="F51" s="220">
        <f t="shared" si="37"/>
        <v>45635</v>
      </c>
      <c r="G51" s="219">
        <v>1075</v>
      </c>
      <c r="H51" s="54">
        <f>G51/E51+0.05</f>
        <v>0.846296296296296</v>
      </c>
      <c r="I51" s="218">
        <f t="shared" si="38"/>
        <v>45652</v>
      </c>
      <c r="J51" s="219">
        <v>1040</v>
      </c>
      <c r="K51" s="54">
        <f t="shared" si="0"/>
        <v>0.77037037037037</v>
      </c>
      <c r="L51" s="218">
        <f t="shared" si="39"/>
        <v>45655</v>
      </c>
      <c r="M51" s="219">
        <v>1024</v>
      </c>
      <c r="N51" s="219">
        <v>9782</v>
      </c>
      <c r="O51" s="54">
        <f t="shared" si="1"/>
        <v>0.758518518518518</v>
      </c>
      <c r="P51" s="54">
        <f t="shared" si="7"/>
        <v>0.0877777777777775</v>
      </c>
      <c r="Q51" s="221">
        <f t="shared" si="2"/>
        <v>9.552734375</v>
      </c>
      <c r="R51" s="218">
        <f t="shared" si="33"/>
        <v>45687</v>
      </c>
      <c r="S51" s="203">
        <v>9425</v>
      </c>
      <c r="T51" s="84">
        <v>945</v>
      </c>
      <c r="U51" s="54">
        <f t="shared" si="3"/>
        <v>0.963504395829074</v>
      </c>
      <c r="V51" s="218">
        <f t="shared" si="40"/>
        <v>45722</v>
      </c>
      <c r="W51" s="203">
        <v>8668</v>
      </c>
      <c r="X51" s="54">
        <f t="shared" si="4"/>
        <v>0.919681697612732</v>
      </c>
      <c r="Y51" s="84">
        <v>21470.4</v>
      </c>
      <c r="Z51" s="8">
        <v>12.8</v>
      </c>
      <c r="AA51" s="8">
        <f t="shared" si="32"/>
        <v>2.47697277341947</v>
      </c>
      <c r="AB51" s="8">
        <f t="shared" si="5"/>
        <v>6.42074074074074</v>
      </c>
      <c r="AC51" s="8">
        <v>3.39</v>
      </c>
      <c r="AD51" s="203">
        <v>3.66</v>
      </c>
      <c r="AE51" s="8">
        <v>58.2</v>
      </c>
      <c r="AF51" s="203"/>
    </row>
    <row r="52" s="194" customFormat="1" ht="13" customHeight="1" spans="1:44">
      <c r="A52" s="216" t="s">
        <v>37</v>
      </c>
      <c r="B52" s="84">
        <f t="shared" si="34"/>
        <v>11</v>
      </c>
      <c r="C52" s="217">
        <f t="shared" si="35"/>
        <v>45622</v>
      </c>
      <c r="D52" s="218">
        <f t="shared" si="36"/>
        <v>45628</v>
      </c>
      <c r="E52" s="219">
        <v>1347</v>
      </c>
      <c r="F52" s="220">
        <f t="shared" si="37"/>
        <v>45642</v>
      </c>
      <c r="G52" s="219">
        <v>1180</v>
      </c>
      <c r="H52" s="54">
        <f t="shared" si="10"/>
        <v>0.876020786933927</v>
      </c>
      <c r="I52" s="218">
        <f t="shared" si="38"/>
        <v>45659</v>
      </c>
      <c r="J52" s="219">
        <v>1110</v>
      </c>
      <c r="K52" s="54">
        <f t="shared" si="0"/>
        <v>0.824053452115813</v>
      </c>
      <c r="L52" s="218">
        <f t="shared" si="39"/>
        <v>45662</v>
      </c>
      <c r="M52" s="219">
        <v>1107</v>
      </c>
      <c r="N52" s="219">
        <v>10800</v>
      </c>
      <c r="O52" s="54">
        <f t="shared" si="1"/>
        <v>0.821826280623608</v>
      </c>
      <c r="P52" s="54">
        <f t="shared" si="7"/>
        <v>0.0541945063103193</v>
      </c>
      <c r="Q52" s="221">
        <f t="shared" si="2"/>
        <v>9.75609756097561</v>
      </c>
      <c r="R52" s="218">
        <f t="shared" si="33"/>
        <v>45694</v>
      </c>
      <c r="S52" s="203">
        <v>10244</v>
      </c>
      <c r="T52" s="84">
        <v>958</v>
      </c>
      <c r="U52" s="54">
        <f t="shared" si="3"/>
        <v>0.948518518518519</v>
      </c>
      <c r="V52" s="218">
        <f t="shared" si="40"/>
        <v>45729</v>
      </c>
      <c r="W52" s="203">
        <v>9776</v>
      </c>
      <c r="X52" s="54">
        <f t="shared" si="4"/>
        <v>0.954314720812183</v>
      </c>
      <c r="Y52" s="84">
        <v>23887.6</v>
      </c>
      <c r="Z52" s="8">
        <v>12.6</v>
      </c>
      <c r="AA52" s="8">
        <f t="shared" si="32"/>
        <v>2.44349427168576</v>
      </c>
      <c r="AB52" s="8">
        <f t="shared" si="5"/>
        <v>7.25760950259837</v>
      </c>
      <c r="AC52" s="8">
        <v>3.26</v>
      </c>
      <c r="AD52" s="203">
        <v>3.27</v>
      </c>
      <c r="AE52" s="8">
        <v>58.7</v>
      </c>
      <c r="AF52" s="203"/>
    </row>
    <row r="53" s="194" customFormat="1" spans="1:44">
      <c r="A53" s="216" t="s">
        <v>40</v>
      </c>
      <c r="B53" s="84">
        <f t="shared" si="34"/>
        <v>10</v>
      </c>
      <c r="C53" s="217">
        <f t="shared" si="35"/>
        <v>45629</v>
      </c>
      <c r="D53" s="218">
        <f t="shared" si="36"/>
        <v>45635</v>
      </c>
      <c r="E53" s="219">
        <v>1359</v>
      </c>
      <c r="F53" s="220">
        <f t="shared" si="37"/>
        <v>45649</v>
      </c>
      <c r="G53" s="219">
        <v>1188</v>
      </c>
      <c r="H53" s="54">
        <f t="shared" si="10"/>
        <v>0.874172185430464</v>
      </c>
      <c r="I53" s="218">
        <f t="shared" si="38"/>
        <v>45666</v>
      </c>
      <c r="J53" s="219">
        <v>1135</v>
      </c>
      <c r="K53" s="54">
        <f t="shared" si="0"/>
        <v>0.835172921265636</v>
      </c>
      <c r="L53" s="218">
        <f t="shared" si="39"/>
        <v>45669</v>
      </c>
      <c r="M53" s="219">
        <v>1125</v>
      </c>
      <c r="N53" s="219">
        <v>10800</v>
      </c>
      <c r="O53" s="54">
        <f t="shared" si="1"/>
        <v>0.827814569536424</v>
      </c>
      <c r="P53" s="54">
        <f t="shared" si="7"/>
        <v>0.0463576158940397</v>
      </c>
      <c r="Q53" s="221">
        <f t="shared" si="2"/>
        <v>9.6</v>
      </c>
      <c r="R53" s="218">
        <f t="shared" si="33"/>
        <v>45701</v>
      </c>
      <c r="S53" s="203">
        <v>10024</v>
      </c>
      <c r="T53" s="84">
        <v>950</v>
      </c>
      <c r="U53" s="54">
        <f t="shared" si="3"/>
        <v>0.928148148148148</v>
      </c>
      <c r="V53" s="218">
        <f t="shared" si="40"/>
        <v>45736</v>
      </c>
      <c r="W53" s="203">
        <v>9400</v>
      </c>
      <c r="X53" s="54">
        <f t="shared" si="4"/>
        <v>0.937749401436552</v>
      </c>
      <c r="Y53" s="84">
        <v>22704</v>
      </c>
      <c r="Z53" s="8">
        <v>12.4</v>
      </c>
      <c r="AA53" s="8">
        <f t="shared" si="32"/>
        <v>2.41531914893617</v>
      </c>
      <c r="AB53" s="8">
        <f t="shared" si="5"/>
        <v>6.9168506254599</v>
      </c>
      <c r="AC53" s="8">
        <v>3.39</v>
      </c>
      <c r="AD53" s="203">
        <v>3.47</v>
      </c>
      <c r="AE53" s="8">
        <v>58</v>
      </c>
      <c r="AF53" s="203"/>
    </row>
    <row r="54" s="194" customFormat="1" spans="1:44">
      <c r="A54" s="216" t="s">
        <v>32</v>
      </c>
      <c r="B54" s="84">
        <f t="shared" si="34"/>
        <v>12</v>
      </c>
      <c r="C54" s="217">
        <f t="shared" si="35"/>
        <v>45643</v>
      </c>
      <c r="D54" s="218">
        <f t="shared" si="36"/>
        <v>45649</v>
      </c>
      <c r="E54" s="219">
        <v>1310</v>
      </c>
      <c r="F54" s="220">
        <f t="shared" si="37"/>
        <v>45663</v>
      </c>
      <c r="G54" s="219">
        <v>1173</v>
      </c>
      <c r="H54" s="54">
        <f t="shared" si="10"/>
        <v>0.895419847328244</v>
      </c>
      <c r="I54" s="218">
        <f t="shared" si="38"/>
        <v>45680</v>
      </c>
      <c r="J54" s="219">
        <v>1106</v>
      </c>
      <c r="K54" s="54">
        <f t="shared" si="0"/>
        <v>0.844274809160305</v>
      </c>
      <c r="L54" s="218">
        <f t="shared" si="39"/>
        <v>45683</v>
      </c>
      <c r="M54" s="219">
        <v>1082</v>
      </c>
      <c r="N54" s="219">
        <v>10312</v>
      </c>
      <c r="O54" s="54">
        <f t="shared" si="1"/>
        <v>0.825954198473282</v>
      </c>
      <c r="P54" s="54">
        <f t="shared" si="7"/>
        <v>0.0694656488549619</v>
      </c>
      <c r="Q54" s="221">
        <f t="shared" si="2"/>
        <v>9.53049907578558</v>
      </c>
      <c r="R54" s="218">
        <f t="shared" si="33"/>
        <v>45715</v>
      </c>
      <c r="S54" s="203">
        <v>9811</v>
      </c>
      <c r="T54" s="84">
        <v>921</v>
      </c>
      <c r="U54" s="54">
        <f t="shared" si="3"/>
        <v>0.951415826221877</v>
      </c>
      <c r="V54" s="218">
        <f t="shared" si="40"/>
        <v>45750</v>
      </c>
      <c r="W54" s="203">
        <v>8858</v>
      </c>
      <c r="X54" s="54">
        <f t="shared" si="4"/>
        <v>0.902864132096626</v>
      </c>
      <c r="Y54" s="8">
        <v>16835</v>
      </c>
      <c r="Z54" s="8">
        <v>13</v>
      </c>
      <c r="AA54" s="8">
        <f t="shared" ref="AA54:AA76" si="41">Y54/W54</f>
        <v>1.90054188304358</v>
      </c>
      <c r="AB54" s="8">
        <f t="shared" si="5"/>
        <v>6.7618320610687</v>
      </c>
      <c r="AC54" s="8">
        <v>3.22417582417582</v>
      </c>
      <c r="AD54" s="208" t="s">
        <v>57</v>
      </c>
      <c r="AE54" s="14">
        <v>54</v>
      </c>
      <c r="AF54" s="203"/>
    </row>
    <row r="55" s="194" customFormat="1" spans="1:44">
      <c r="A55" s="216" t="s">
        <v>30</v>
      </c>
      <c r="B55" s="84">
        <f t="shared" si="34"/>
        <v>13</v>
      </c>
      <c r="C55" s="217">
        <f t="shared" si="35"/>
        <v>45650</v>
      </c>
      <c r="D55" s="218">
        <f t="shared" si="36"/>
        <v>45656</v>
      </c>
      <c r="E55" s="219">
        <v>1325</v>
      </c>
      <c r="F55" s="220">
        <f t="shared" si="37"/>
        <v>45670</v>
      </c>
      <c r="G55" s="219">
        <v>1072</v>
      </c>
      <c r="H55" s="54">
        <f t="shared" si="10"/>
        <v>0.809056603773585</v>
      </c>
      <c r="I55" s="218">
        <f t="shared" si="38"/>
        <v>45687</v>
      </c>
      <c r="J55" s="219">
        <v>1062</v>
      </c>
      <c r="K55" s="54">
        <f t="shared" si="0"/>
        <v>0.801509433962264</v>
      </c>
      <c r="L55" s="218">
        <f t="shared" si="39"/>
        <v>45690</v>
      </c>
      <c r="M55" s="219">
        <v>1040</v>
      </c>
      <c r="N55" s="219">
        <v>10016</v>
      </c>
      <c r="O55" s="54">
        <f t="shared" si="1"/>
        <v>0.784905660377359</v>
      </c>
      <c r="P55" s="54">
        <f t="shared" si="7"/>
        <v>0.0241509433962264</v>
      </c>
      <c r="Q55" s="221">
        <f t="shared" si="2"/>
        <v>9.63076923076923</v>
      </c>
      <c r="R55" s="218">
        <f t="shared" si="33"/>
        <v>45722</v>
      </c>
      <c r="S55" s="203">
        <v>9795</v>
      </c>
      <c r="T55" s="84">
        <v>971</v>
      </c>
      <c r="U55" s="54">
        <f t="shared" si="3"/>
        <v>0.977935303514377</v>
      </c>
      <c r="V55" s="218">
        <f t="shared" si="40"/>
        <v>45757</v>
      </c>
      <c r="W55" s="203">
        <v>9242</v>
      </c>
      <c r="X55" s="54">
        <f t="shared" si="4"/>
        <v>0.943542623787647</v>
      </c>
      <c r="Y55" s="8">
        <v>23415.5</v>
      </c>
      <c r="Z55" s="8">
        <v>13.1</v>
      </c>
      <c r="AA55" s="8">
        <f t="shared" si="41"/>
        <v>2.53359662410734</v>
      </c>
      <c r="AB55" s="8">
        <f t="shared" si="5"/>
        <v>6.97509433962264</v>
      </c>
      <c r="AC55" s="8">
        <v>3.12113770792851</v>
      </c>
      <c r="AD55" s="8">
        <v>3.18960225623905</v>
      </c>
      <c r="AE55" s="14">
        <v>58.06</v>
      </c>
      <c r="AF55" s="203"/>
    </row>
    <row r="56" s="194" customFormat="1" spans="1:44">
      <c r="A56" s="216" t="s">
        <v>42</v>
      </c>
      <c r="B56" s="84">
        <f t="shared" si="34"/>
        <v>9</v>
      </c>
      <c r="C56" s="217">
        <f t="shared" si="35"/>
        <v>45657</v>
      </c>
      <c r="D56" s="218">
        <f t="shared" si="36"/>
        <v>45663</v>
      </c>
      <c r="E56" s="219">
        <v>1316</v>
      </c>
      <c r="F56" s="220">
        <f t="shared" ref="F56:F64" si="42">D56+14</f>
        <v>45677</v>
      </c>
      <c r="G56" s="219">
        <v>1106</v>
      </c>
      <c r="H56" s="54">
        <f t="shared" si="10"/>
        <v>0.840425531914894</v>
      </c>
      <c r="I56" s="218">
        <f t="shared" si="38"/>
        <v>45694</v>
      </c>
      <c r="J56" s="219">
        <v>1088</v>
      </c>
      <c r="K56" s="54">
        <f t="shared" si="0"/>
        <v>0.826747720364742</v>
      </c>
      <c r="L56" s="218">
        <f t="shared" si="39"/>
        <v>45697</v>
      </c>
      <c r="M56" s="219">
        <v>1074</v>
      </c>
      <c r="N56" s="219">
        <v>10286</v>
      </c>
      <c r="O56" s="54">
        <f t="shared" si="1"/>
        <v>0.816109422492401</v>
      </c>
      <c r="P56" s="54">
        <f t="shared" si="7"/>
        <v>0.0243161094224924</v>
      </c>
      <c r="Q56" s="221">
        <f t="shared" si="2"/>
        <v>9.57728119180633</v>
      </c>
      <c r="R56" s="218">
        <f t="shared" si="33"/>
        <v>45729</v>
      </c>
      <c r="S56" s="203">
        <v>10031</v>
      </c>
      <c r="T56" s="84">
        <v>991</v>
      </c>
      <c r="U56" s="54">
        <f t="shared" si="3"/>
        <v>0.975209021971612</v>
      </c>
      <c r="V56" s="218">
        <f t="shared" si="40"/>
        <v>45764</v>
      </c>
      <c r="W56" s="203">
        <v>9661</v>
      </c>
      <c r="X56" s="54">
        <f t="shared" si="4"/>
        <v>0.963114345528861</v>
      </c>
      <c r="Y56" s="8">
        <v>23118.6</v>
      </c>
      <c r="Z56" s="8">
        <v>13.4</v>
      </c>
      <c r="AA56" s="8">
        <f t="shared" si="41"/>
        <v>2.39298209295104</v>
      </c>
      <c r="AB56" s="8">
        <f t="shared" si="5"/>
        <v>7.34118541033435</v>
      </c>
      <c r="AC56" s="8">
        <v>3.33454447933698</v>
      </c>
      <c r="AD56" s="8">
        <v>3.61363160186855</v>
      </c>
      <c r="AE56" s="14">
        <v>58.4</v>
      </c>
      <c r="AF56" s="203"/>
    </row>
    <row r="57" s="194" customFormat="1" ht="13" customHeight="1" spans="1:44">
      <c r="A57" s="216" t="s">
        <v>37</v>
      </c>
      <c r="B57" s="84">
        <f t="shared" si="34"/>
        <v>12</v>
      </c>
      <c r="C57" s="217">
        <f t="shared" si="35"/>
        <v>45664</v>
      </c>
      <c r="D57" s="218">
        <f t="shared" si="36"/>
        <v>45670</v>
      </c>
      <c r="E57" s="219">
        <v>1313</v>
      </c>
      <c r="F57" s="220">
        <f t="shared" si="42"/>
        <v>45684</v>
      </c>
      <c r="G57" s="219">
        <v>1159</v>
      </c>
      <c r="H57" s="54">
        <f t="shared" si="10"/>
        <v>0.882711348057883</v>
      </c>
      <c r="I57" s="218">
        <f t="shared" si="38"/>
        <v>45701</v>
      </c>
      <c r="J57" s="219">
        <v>1005</v>
      </c>
      <c r="K57" s="54">
        <f t="shared" si="0"/>
        <v>0.765422696115765</v>
      </c>
      <c r="L57" s="218">
        <f t="shared" si="39"/>
        <v>45704</v>
      </c>
      <c r="M57" s="219">
        <v>955</v>
      </c>
      <c r="N57" s="219">
        <v>9057</v>
      </c>
      <c r="O57" s="54">
        <f t="shared" si="1"/>
        <v>0.727341964965727</v>
      </c>
      <c r="P57" s="54">
        <f t="shared" si="7"/>
        <v>0.155369383092155</v>
      </c>
      <c r="Q57" s="221">
        <f t="shared" si="2"/>
        <v>9.48376963350785</v>
      </c>
      <c r="R57" s="218">
        <f t="shared" si="33"/>
        <v>45736</v>
      </c>
      <c r="S57" s="203">
        <v>8763</v>
      </c>
      <c r="T57" s="84">
        <v>1000</v>
      </c>
      <c r="U57" s="54">
        <f t="shared" si="3"/>
        <v>0.967538920172242</v>
      </c>
      <c r="V57" s="218">
        <f t="shared" si="40"/>
        <v>45771</v>
      </c>
      <c r="W57" s="203">
        <v>8007</v>
      </c>
      <c r="X57" s="54">
        <f t="shared" si="4"/>
        <v>0.913728175282438</v>
      </c>
      <c r="Y57" s="8">
        <v>18144</v>
      </c>
      <c r="Z57" s="8">
        <v>13.4</v>
      </c>
      <c r="AA57" s="8">
        <f t="shared" si="41"/>
        <v>2.26601723491945</v>
      </c>
      <c r="AB57" s="8">
        <f t="shared" si="5"/>
        <v>6.0982482863671</v>
      </c>
      <c r="AC57" s="8">
        <v>3.79161155202822</v>
      </c>
      <c r="AD57" s="8">
        <v>4.13167074214142</v>
      </c>
      <c r="AE57" s="14">
        <v>58.35</v>
      </c>
      <c r="AF57" s="203"/>
    </row>
    <row r="58" s="194" customFormat="1" spans="1:44">
      <c r="A58" s="216" t="s">
        <v>40</v>
      </c>
      <c r="B58" s="84">
        <f t="shared" si="34"/>
        <v>11</v>
      </c>
      <c r="C58" s="217">
        <v>45671</v>
      </c>
      <c r="D58" s="218">
        <v>45677</v>
      </c>
      <c r="E58" s="219">
        <v>1358</v>
      </c>
      <c r="F58" s="220">
        <f t="shared" si="42"/>
        <v>45691</v>
      </c>
      <c r="G58" s="219">
        <v>1176</v>
      </c>
      <c r="H58" s="54">
        <f t="shared" si="10"/>
        <v>0.865979381443299</v>
      </c>
      <c r="I58" s="218">
        <f t="shared" ref="I58:I64" si="43">D58+31</f>
        <v>45708</v>
      </c>
      <c r="J58" s="219">
        <v>827</v>
      </c>
      <c r="K58" s="54">
        <f t="shared" si="0"/>
        <v>0.608983799705449</v>
      </c>
      <c r="L58" s="218">
        <f t="shared" ref="L58:L64" si="44">I58+3</f>
        <v>45711</v>
      </c>
      <c r="M58" s="219">
        <v>814</v>
      </c>
      <c r="N58" s="219">
        <v>6410</v>
      </c>
      <c r="O58" s="54">
        <f t="shared" si="1"/>
        <v>0.599410898379971</v>
      </c>
      <c r="P58" s="54">
        <f t="shared" si="7"/>
        <v>0.266568483063328</v>
      </c>
      <c r="Q58" s="221">
        <f t="shared" si="2"/>
        <v>7.87469287469288</v>
      </c>
      <c r="R58" s="218">
        <f t="shared" ref="R58:R64" si="45">I58+35</f>
        <v>45743</v>
      </c>
      <c r="S58" s="203">
        <v>6191</v>
      </c>
      <c r="T58" s="84">
        <v>1020</v>
      </c>
      <c r="U58" s="54">
        <f t="shared" si="3"/>
        <v>0.965834633385335</v>
      </c>
      <c r="V58" s="218">
        <f t="shared" ref="V58:V64" si="46">I58+70</f>
        <v>45778</v>
      </c>
      <c r="W58" s="203">
        <v>5776</v>
      </c>
      <c r="X58" s="54">
        <f t="shared" si="4"/>
        <v>0.932967210466807</v>
      </c>
      <c r="Y58" s="8">
        <v>13478</v>
      </c>
      <c r="Z58" s="8">
        <v>13</v>
      </c>
      <c r="AA58" s="8">
        <f t="shared" si="41"/>
        <v>2.3334487534626</v>
      </c>
      <c r="AB58" s="8">
        <f t="shared" si="5"/>
        <v>4.25331369661267</v>
      </c>
      <c r="AC58" s="8">
        <v>3.32304496216056</v>
      </c>
      <c r="AD58" s="8">
        <v>3.2591461624288</v>
      </c>
      <c r="AE58" s="14">
        <v>57.1</v>
      </c>
      <c r="AF58" s="203"/>
    </row>
    <row r="59" s="194" customFormat="1" spans="1:44">
      <c r="A59" s="216" t="s">
        <v>43</v>
      </c>
      <c r="B59" s="84">
        <v>1</v>
      </c>
      <c r="C59" s="217">
        <v>45678</v>
      </c>
      <c r="D59" s="218">
        <v>45684</v>
      </c>
      <c r="E59" s="219">
        <v>983</v>
      </c>
      <c r="F59" s="220">
        <f t="shared" si="42"/>
        <v>45698</v>
      </c>
      <c r="G59" s="219">
        <v>920</v>
      </c>
      <c r="H59" s="54">
        <f t="shared" si="10"/>
        <v>0.935910478128179</v>
      </c>
      <c r="I59" s="218">
        <f t="shared" si="43"/>
        <v>45715</v>
      </c>
      <c r="J59" s="219">
        <v>955</v>
      </c>
      <c r="K59" s="54">
        <f t="shared" si="0"/>
        <v>0.971515768056968</v>
      </c>
      <c r="L59" s="218">
        <f t="shared" si="44"/>
        <v>45718</v>
      </c>
      <c r="M59" s="219">
        <v>946</v>
      </c>
      <c r="N59" s="219">
        <v>7650</v>
      </c>
      <c r="O59" s="54">
        <f t="shared" si="1"/>
        <v>0.96236012207528</v>
      </c>
      <c r="P59" s="54">
        <f t="shared" si="7"/>
        <v>-0.0264496439471007</v>
      </c>
      <c r="Q59" s="221">
        <f t="shared" si="2"/>
        <v>8.08668076109937</v>
      </c>
      <c r="R59" s="218">
        <f t="shared" si="45"/>
        <v>45750</v>
      </c>
      <c r="S59" s="203">
        <v>7560</v>
      </c>
      <c r="T59" s="84">
        <v>1024</v>
      </c>
      <c r="U59" s="54">
        <f t="shared" si="3"/>
        <v>0.988235294117647</v>
      </c>
      <c r="V59" s="218">
        <f t="shared" si="46"/>
        <v>45785</v>
      </c>
      <c r="W59" s="203">
        <v>7192</v>
      </c>
      <c r="X59" s="54">
        <f t="shared" si="4"/>
        <v>0.951322751322751</v>
      </c>
      <c r="Y59" s="8">
        <v>17508.2</v>
      </c>
      <c r="Z59" s="8">
        <v>12.75</v>
      </c>
      <c r="AA59" s="8">
        <f t="shared" si="41"/>
        <v>2.43439933259177</v>
      </c>
      <c r="AB59" s="8">
        <f t="shared" si="5"/>
        <v>7.31637843336724</v>
      </c>
      <c r="AC59" s="8">
        <v>3.12510709267657</v>
      </c>
      <c r="AD59" s="8">
        <v>3.06160711670101</v>
      </c>
      <c r="AE59" s="14">
        <v>57.8</v>
      </c>
      <c r="AF59" s="203"/>
    </row>
    <row r="60" s="194" customFormat="1" spans="1:44">
      <c r="A60" s="216" t="s">
        <v>32</v>
      </c>
      <c r="B60" s="84">
        <f>B54+1</f>
        <v>13</v>
      </c>
      <c r="C60" s="217">
        <v>45685</v>
      </c>
      <c r="D60" s="218">
        <v>45691</v>
      </c>
      <c r="E60" s="219">
        <v>1225</v>
      </c>
      <c r="F60" s="220">
        <f t="shared" si="42"/>
        <v>45705</v>
      </c>
      <c r="G60" s="219">
        <v>1088</v>
      </c>
      <c r="H60" s="54">
        <f t="shared" si="10"/>
        <v>0.888163265306122</v>
      </c>
      <c r="I60" s="218">
        <f t="shared" si="43"/>
        <v>45722</v>
      </c>
      <c r="J60" s="219">
        <v>1080</v>
      </c>
      <c r="K60" s="54">
        <f t="shared" si="0"/>
        <v>0.881632653061225</v>
      </c>
      <c r="L60" s="218">
        <f t="shared" si="44"/>
        <v>45725</v>
      </c>
      <c r="M60" s="219">
        <v>1064</v>
      </c>
      <c r="N60" s="219">
        <v>10160</v>
      </c>
      <c r="O60" s="54">
        <f t="shared" si="1"/>
        <v>0.868571428571429</v>
      </c>
      <c r="P60" s="54">
        <f t="shared" si="7"/>
        <v>0.0195918367346939</v>
      </c>
      <c r="Q60" s="221">
        <f t="shared" si="2"/>
        <v>9.54887218045113</v>
      </c>
      <c r="R60" s="218">
        <f t="shared" si="45"/>
        <v>45757</v>
      </c>
      <c r="S60" s="203">
        <v>9855</v>
      </c>
      <c r="T60" s="84">
        <v>947</v>
      </c>
      <c r="U60" s="54">
        <f t="shared" si="3"/>
        <v>0.96998031496063</v>
      </c>
      <c r="V60" s="218">
        <f t="shared" si="46"/>
        <v>45792</v>
      </c>
      <c r="W60" s="203">
        <v>8954</v>
      </c>
      <c r="X60" s="54">
        <f t="shared" si="4"/>
        <v>0.90857432775241</v>
      </c>
      <c r="Y60" s="8">
        <v>20125.2</v>
      </c>
      <c r="Z60" s="8">
        <v>12.5</v>
      </c>
      <c r="AA60" s="8">
        <f t="shared" si="41"/>
        <v>2.2476211748939</v>
      </c>
      <c r="AB60" s="8">
        <f t="shared" si="5"/>
        <v>7.30938775510204</v>
      </c>
      <c r="AC60" s="8">
        <v>3.2237195158309</v>
      </c>
      <c r="AD60" s="8">
        <v>3.41394012424351</v>
      </c>
      <c r="AE60" s="14">
        <v>56.7</v>
      </c>
      <c r="AF60" s="203"/>
    </row>
    <row r="61" s="194" customFormat="1" ht="13" customHeight="1" spans="1:44">
      <c r="A61" s="216" t="s">
        <v>30</v>
      </c>
      <c r="B61" s="84">
        <f>B55+1</f>
        <v>14</v>
      </c>
      <c r="C61" s="217">
        <v>45692</v>
      </c>
      <c r="D61" s="218">
        <v>45698</v>
      </c>
      <c r="E61" s="219">
        <v>1258</v>
      </c>
      <c r="F61" s="220">
        <f t="shared" si="42"/>
        <v>45712</v>
      </c>
      <c r="G61" s="219">
        <v>1142</v>
      </c>
      <c r="H61" s="54">
        <f t="shared" si="10"/>
        <v>0.907790143084261</v>
      </c>
      <c r="I61" s="218">
        <f t="shared" si="43"/>
        <v>45729</v>
      </c>
      <c r="J61" s="219">
        <v>1102</v>
      </c>
      <c r="K61" s="54">
        <f t="shared" si="0"/>
        <v>0.875993640699523</v>
      </c>
      <c r="L61" s="218">
        <f t="shared" si="44"/>
        <v>45732</v>
      </c>
      <c r="M61" s="219">
        <v>1087</v>
      </c>
      <c r="N61" s="219">
        <v>10330</v>
      </c>
      <c r="O61" s="54">
        <f t="shared" si="1"/>
        <v>0.864069952305246</v>
      </c>
      <c r="P61" s="54">
        <f t="shared" si="7"/>
        <v>0.0437201907790143</v>
      </c>
      <c r="Q61" s="221">
        <f t="shared" si="2"/>
        <v>9.50321987120515</v>
      </c>
      <c r="R61" s="218">
        <f t="shared" si="45"/>
        <v>45764</v>
      </c>
      <c r="S61" s="203">
        <v>9897</v>
      </c>
      <c r="T61" s="84">
        <v>863</v>
      </c>
      <c r="U61" s="54">
        <f t="shared" si="3"/>
        <v>0.958083252662149</v>
      </c>
      <c r="V61" s="218">
        <f t="shared" si="46"/>
        <v>45799</v>
      </c>
      <c r="W61" s="203">
        <v>9306</v>
      </c>
      <c r="X61" s="54">
        <f t="shared" si="4"/>
        <v>0.940284934828736</v>
      </c>
      <c r="Y61" s="8">
        <v>20588</v>
      </c>
      <c r="Z61" s="8">
        <v>12.4</v>
      </c>
      <c r="AA61" s="8">
        <f t="shared" si="41"/>
        <v>2.21233612722974</v>
      </c>
      <c r="AB61" s="8">
        <f t="shared" si="5"/>
        <v>7.39745627980922</v>
      </c>
      <c r="AC61" s="8">
        <v>3.21191956479503</v>
      </c>
      <c r="AD61" s="8">
        <v>3.16419735593626</v>
      </c>
      <c r="AE61" s="14">
        <v>57.3</v>
      </c>
      <c r="AF61" s="203"/>
    </row>
    <row r="62" s="194" customFormat="1" spans="1:44">
      <c r="A62" s="216" t="s">
        <v>42</v>
      </c>
      <c r="B62" s="84">
        <f>B56+1</f>
        <v>10</v>
      </c>
      <c r="C62" s="217">
        <v>45699</v>
      </c>
      <c r="D62" s="218">
        <v>45705</v>
      </c>
      <c r="E62" s="219">
        <v>1339</v>
      </c>
      <c r="F62" s="220">
        <f t="shared" si="42"/>
        <v>45719</v>
      </c>
      <c r="G62" s="219">
        <v>1148</v>
      </c>
      <c r="H62" s="54">
        <f t="shared" si="10"/>
        <v>0.857356235997013</v>
      </c>
      <c r="I62" s="218">
        <f t="shared" si="43"/>
        <v>45736</v>
      </c>
      <c r="J62" s="219">
        <v>1102</v>
      </c>
      <c r="K62" s="54">
        <f t="shared" si="0"/>
        <v>0.823002240477969</v>
      </c>
      <c r="L62" s="218">
        <f t="shared" si="44"/>
        <v>45739</v>
      </c>
      <c r="M62" s="219">
        <v>1100</v>
      </c>
      <c r="N62" s="219">
        <v>10385</v>
      </c>
      <c r="O62" s="54">
        <f t="shared" si="1"/>
        <v>0.82150858849888</v>
      </c>
      <c r="P62" s="54">
        <f t="shared" si="7"/>
        <v>0.035847647498133</v>
      </c>
      <c r="Q62" s="221">
        <f t="shared" si="2"/>
        <v>9.44090909090909</v>
      </c>
      <c r="R62" s="218">
        <f t="shared" si="45"/>
        <v>45771</v>
      </c>
      <c r="S62" s="203">
        <v>10136</v>
      </c>
      <c r="T62" s="84">
        <v>985</v>
      </c>
      <c r="U62" s="54">
        <f t="shared" si="3"/>
        <v>0.976023110255176</v>
      </c>
      <c r="V62" s="218">
        <f t="shared" si="46"/>
        <v>45806</v>
      </c>
      <c r="W62" s="203">
        <v>9561</v>
      </c>
      <c r="X62" s="54">
        <f t="shared" si="4"/>
        <v>0.943271507498027</v>
      </c>
      <c r="Y62" s="8">
        <v>21702</v>
      </c>
      <c r="Z62" s="8">
        <v>12.4</v>
      </c>
      <c r="AA62" s="8">
        <f t="shared" si="41"/>
        <v>2.26984625039222</v>
      </c>
      <c r="AB62" s="8">
        <f t="shared" si="5"/>
        <v>7.14040328603435</v>
      </c>
      <c r="AC62" s="8">
        <v>3.25546032623721</v>
      </c>
      <c r="AD62" s="8">
        <v>3.38099610528364</v>
      </c>
      <c r="AE62" s="14">
        <v>56.9</v>
      </c>
      <c r="AF62" s="203"/>
    </row>
    <row r="63" s="194" customFormat="1" spans="1:44">
      <c r="A63" s="216" t="s">
        <v>37</v>
      </c>
      <c r="B63" s="84">
        <f t="shared" ref="B63:B82" si="47">B57+1</f>
        <v>13</v>
      </c>
      <c r="C63" s="217">
        <v>45706</v>
      </c>
      <c r="D63" s="218">
        <v>45712</v>
      </c>
      <c r="E63" s="219">
        <v>1325</v>
      </c>
      <c r="F63" s="220">
        <f t="shared" si="42"/>
        <v>45726</v>
      </c>
      <c r="G63" s="219">
        <v>1189</v>
      </c>
      <c r="H63" s="54">
        <f t="shared" si="10"/>
        <v>0.897358490566038</v>
      </c>
      <c r="I63" s="218">
        <f t="shared" si="43"/>
        <v>45743</v>
      </c>
      <c r="J63" s="219">
        <v>1112</v>
      </c>
      <c r="K63" s="54">
        <f t="shared" si="0"/>
        <v>0.839245283018868</v>
      </c>
      <c r="L63" s="218">
        <f t="shared" si="44"/>
        <v>45746</v>
      </c>
      <c r="M63" s="219">
        <v>1088</v>
      </c>
      <c r="N63" s="219">
        <v>10180</v>
      </c>
      <c r="O63" s="54">
        <f t="shared" si="1"/>
        <v>0.821132075471698</v>
      </c>
      <c r="P63" s="54">
        <f t="shared" si="7"/>
        <v>0.0762264150943397</v>
      </c>
      <c r="Q63" s="221">
        <f t="shared" si="2"/>
        <v>9.35661764705882</v>
      </c>
      <c r="R63" s="218">
        <f t="shared" si="45"/>
        <v>45778</v>
      </c>
      <c r="S63" s="203">
        <v>9621</v>
      </c>
      <c r="T63" s="84">
        <v>880</v>
      </c>
      <c r="U63" s="54">
        <f t="shared" si="3"/>
        <v>0.945088408644401</v>
      </c>
      <c r="V63" s="218">
        <f t="shared" si="46"/>
        <v>45813</v>
      </c>
      <c r="W63" s="203">
        <v>8988</v>
      </c>
      <c r="X63" s="54">
        <f t="shared" si="4"/>
        <v>0.934206423448706</v>
      </c>
      <c r="Y63" s="8">
        <v>19089.1</v>
      </c>
      <c r="Z63" s="8">
        <v>12.2</v>
      </c>
      <c r="AA63" s="8">
        <f t="shared" si="41"/>
        <v>2.12384290164664</v>
      </c>
      <c r="AB63" s="8">
        <f t="shared" si="5"/>
        <v>6.78339622641509</v>
      </c>
      <c r="AC63" s="8">
        <v>3.38517792876563</v>
      </c>
      <c r="AD63" s="8">
        <v>3.51843518830571</v>
      </c>
      <c r="AE63" s="14">
        <v>57.4</v>
      </c>
      <c r="AF63" s="203"/>
    </row>
    <row r="64" s="194" customFormat="1" ht="13" customHeight="1" spans="1:44">
      <c r="A64" s="216" t="s">
        <v>40</v>
      </c>
      <c r="B64" s="84">
        <f t="shared" si="47"/>
        <v>12</v>
      </c>
      <c r="C64" s="217">
        <v>45713</v>
      </c>
      <c r="D64" s="218">
        <v>45719</v>
      </c>
      <c r="E64" s="219">
        <v>1267</v>
      </c>
      <c r="F64" s="220">
        <f t="shared" si="42"/>
        <v>45733</v>
      </c>
      <c r="G64" s="219">
        <v>1100</v>
      </c>
      <c r="H64" s="54">
        <f t="shared" si="10"/>
        <v>0.868192580899763</v>
      </c>
      <c r="I64" s="218">
        <f t="shared" si="43"/>
        <v>45750</v>
      </c>
      <c r="J64" s="219">
        <v>1050</v>
      </c>
      <c r="K64" s="54">
        <f t="shared" si="0"/>
        <v>0.828729281767956</v>
      </c>
      <c r="L64" s="218">
        <f t="shared" si="44"/>
        <v>45753</v>
      </c>
      <c r="M64" s="219">
        <v>1040</v>
      </c>
      <c r="N64" s="219">
        <v>9770</v>
      </c>
      <c r="O64" s="54">
        <f t="shared" si="1"/>
        <v>0.820836621941594</v>
      </c>
      <c r="P64" s="54">
        <f t="shared" si="7"/>
        <v>0.0473559589581689</v>
      </c>
      <c r="Q64" s="221">
        <f t="shared" si="2"/>
        <v>9.39423076923077</v>
      </c>
      <c r="R64" s="218">
        <f t="shared" si="45"/>
        <v>45785</v>
      </c>
      <c r="S64" s="203">
        <v>9480</v>
      </c>
      <c r="T64" s="84">
        <v>890</v>
      </c>
      <c r="U64" s="54">
        <f t="shared" si="3"/>
        <v>0.970317297850563</v>
      </c>
      <c r="V64" s="218">
        <f t="shared" si="46"/>
        <v>45820</v>
      </c>
      <c r="W64" s="203">
        <v>8733</v>
      </c>
      <c r="X64" s="54">
        <f t="shared" si="4"/>
        <v>0.92120253164557</v>
      </c>
      <c r="Y64" s="8">
        <v>19225.4</v>
      </c>
      <c r="Z64" s="8">
        <v>12</v>
      </c>
      <c r="AA64" s="8">
        <f t="shared" si="41"/>
        <v>2.20146570479789</v>
      </c>
      <c r="AB64" s="8">
        <f t="shared" si="5"/>
        <v>6.89265982636148</v>
      </c>
      <c r="AC64" s="8">
        <v>3.11057247183414</v>
      </c>
      <c r="AD64" s="8">
        <v>3.15205502308077</v>
      </c>
      <c r="AE64" s="14">
        <v>58.2</v>
      </c>
      <c r="AF64" s="203"/>
    </row>
    <row r="65" s="188" customFormat="1" spans="1:44">
      <c r="A65" s="216" t="s">
        <v>43</v>
      </c>
      <c r="B65" s="84">
        <f t="shared" si="47"/>
        <v>2</v>
      </c>
      <c r="C65" s="217">
        <v>45720</v>
      </c>
      <c r="D65" s="218">
        <v>45726</v>
      </c>
      <c r="E65" s="219">
        <v>1160</v>
      </c>
      <c r="F65" s="220">
        <f t="shared" ref="F65:F88" si="48">D65+14</f>
        <v>45740</v>
      </c>
      <c r="G65" s="219">
        <v>986</v>
      </c>
      <c r="H65" s="54">
        <f t="shared" si="10"/>
        <v>0.85</v>
      </c>
      <c r="I65" s="218">
        <f t="shared" ref="I65:I87" si="49">D65+31</f>
        <v>45757</v>
      </c>
      <c r="J65" s="219">
        <v>912</v>
      </c>
      <c r="K65" s="54">
        <f t="shared" si="0"/>
        <v>0.786206896551724</v>
      </c>
      <c r="L65" s="218">
        <f t="shared" ref="L65:L96" si="50">I65+3</f>
        <v>45760</v>
      </c>
      <c r="M65" s="219">
        <v>906</v>
      </c>
      <c r="N65" s="219">
        <v>8355</v>
      </c>
      <c r="O65" s="54">
        <f t="shared" si="1"/>
        <v>0.781034482758621</v>
      </c>
      <c r="P65" s="54">
        <f t="shared" si="7"/>
        <v>0.0689655172413793</v>
      </c>
      <c r="Q65" s="221">
        <f t="shared" si="2"/>
        <v>9.22185430463576</v>
      </c>
      <c r="R65" s="218">
        <f t="shared" ref="R65:R96" si="51">I65+35</f>
        <v>45792</v>
      </c>
      <c r="S65" s="203">
        <v>8229</v>
      </c>
      <c r="T65" s="84">
        <v>960</v>
      </c>
      <c r="U65" s="54">
        <f t="shared" si="3"/>
        <v>0.98491921005386</v>
      </c>
      <c r="V65" s="218">
        <f t="shared" ref="V65:V96" si="52">I65+70</f>
        <v>45827</v>
      </c>
      <c r="W65" s="203">
        <v>7916</v>
      </c>
      <c r="X65" s="54">
        <f t="shared" si="4"/>
        <v>0.961963786608336</v>
      </c>
      <c r="Y65" s="8">
        <v>17835</v>
      </c>
      <c r="Z65" s="8">
        <v>11.8</v>
      </c>
      <c r="AA65" s="8">
        <f t="shared" si="41"/>
        <v>2.25303183425973</v>
      </c>
      <c r="AB65" s="8">
        <f t="shared" si="5"/>
        <v>6.82413793103448</v>
      </c>
      <c r="AC65" s="8">
        <v>3.08</v>
      </c>
      <c r="AD65" s="203">
        <v>3.08</v>
      </c>
      <c r="AE65" s="8"/>
      <c r="AF65" s="203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</row>
    <row r="66" s="188" customFormat="1" spans="1:44">
      <c r="A66" s="216" t="s">
        <v>32</v>
      </c>
      <c r="B66" s="84">
        <f t="shared" si="47"/>
        <v>14</v>
      </c>
      <c r="C66" s="217">
        <v>45727</v>
      </c>
      <c r="D66" s="218">
        <v>45733</v>
      </c>
      <c r="E66" s="219">
        <v>1270</v>
      </c>
      <c r="F66" s="220">
        <f t="shared" si="48"/>
        <v>45747</v>
      </c>
      <c r="G66" s="219">
        <v>1167</v>
      </c>
      <c r="H66" s="54">
        <f t="shared" si="10"/>
        <v>0.918897637795276</v>
      </c>
      <c r="I66" s="218">
        <f t="shared" si="49"/>
        <v>45764</v>
      </c>
      <c r="J66" s="219">
        <v>1100</v>
      </c>
      <c r="K66" s="54">
        <f t="shared" ref="K66:K110" si="53">J66/E66</f>
        <v>0.866141732283465</v>
      </c>
      <c r="L66" s="218">
        <f t="shared" si="50"/>
        <v>45767</v>
      </c>
      <c r="M66" s="219">
        <v>1082</v>
      </c>
      <c r="N66" s="219">
        <v>10225</v>
      </c>
      <c r="O66" s="54">
        <f t="shared" ref="O66:O110" si="54">M66/E66</f>
        <v>0.851968503937008</v>
      </c>
      <c r="P66" s="54">
        <f t="shared" si="7"/>
        <v>0.0669291338582682</v>
      </c>
      <c r="Q66" s="221">
        <f t="shared" si="2"/>
        <v>9.45009242144177</v>
      </c>
      <c r="R66" s="218">
        <f t="shared" si="51"/>
        <v>45799</v>
      </c>
      <c r="S66" s="203">
        <v>9795</v>
      </c>
      <c r="T66" s="84">
        <v>930</v>
      </c>
      <c r="U66" s="54">
        <f t="shared" ref="U66:U78" si="55">S66/N66</f>
        <v>0.957946210268949</v>
      </c>
      <c r="V66" s="218">
        <f t="shared" si="52"/>
        <v>45834</v>
      </c>
      <c r="W66" s="203">
        <v>8922</v>
      </c>
      <c r="X66" s="54">
        <f t="shared" ref="X66:X73" si="56">W66/S66</f>
        <v>0.910872894333844</v>
      </c>
      <c r="Y66" s="14">
        <v>19078</v>
      </c>
      <c r="Z66" s="8">
        <v>11.8</v>
      </c>
      <c r="AA66" s="8">
        <f t="shared" si="41"/>
        <v>2.13830979600986</v>
      </c>
      <c r="AB66" s="8">
        <f t="shared" ref="AB66:AB73" si="57">W66/E66</f>
        <v>7.0251968503937</v>
      </c>
      <c r="AC66" s="8">
        <v>3.14</v>
      </c>
      <c r="AD66" s="203">
        <v>3.35</v>
      </c>
      <c r="AE66" s="8"/>
      <c r="AF66" s="203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</row>
    <row r="67" s="188" customFormat="1" spans="1:44">
      <c r="A67" s="216" t="s">
        <v>30</v>
      </c>
      <c r="B67" s="84">
        <f t="shared" si="47"/>
        <v>15</v>
      </c>
      <c r="C67" s="217">
        <v>45734</v>
      </c>
      <c r="D67" s="218">
        <v>45740</v>
      </c>
      <c r="E67" s="219">
        <v>1348</v>
      </c>
      <c r="F67" s="220">
        <f t="shared" si="48"/>
        <v>45754</v>
      </c>
      <c r="G67" s="219">
        <v>1163</v>
      </c>
      <c r="H67" s="54">
        <f t="shared" si="10"/>
        <v>0.862759643916914</v>
      </c>
      <c r="I67" s="218">
        <f t="shared" si="49"/>
        <v>45771</v>
      </c>
      <c r="J67" s="219">
        <v>1122</v>
      </c>
      <c r="K67" s="54">
        <f t="shared" si="53"/>
        <v>0.832344213649852</v>
      </c>
      <c r="L67" s="218">
        <f t="shared" si="50"/>
        <v>45774</v>
      </c>
      <c r="M67" s="219">
        <v>1110</v>
      </c>
      <c r="N67" s="219">
        <v>10440</v>
      </c>
      <c r="O67" s="54">
        <f t="shared" si="54"/>
        <v>0.823442136498516</v>
      </c>
      <c r="P67" s="54">
        <f t="shared" ref="P67:P109" si="58">H67-O67</f>
        <v>0.0393175074183977</v>
      </c>
      <c r="Q67" s="221">
        <f t="shared" ref="Q67:Q95" si="59">N67/M67</f>
        <v>9.40540540540541</v>
      </c>
      <c r="R67" s="218">
        <f t="shared" si="51"/>
        <v>45806</v>
      </c>
      <c r="S67" s="203">
        <v>10036</v>
      </c>
      <c r="T67" s="84">
        <v>880</v>
      </c>
      <c r="U67" s="54">
        <f t="shared" si="55"/>
        <v>0.961302681992337</v>
      </c>
      <c r="V67" s="218">
        <f t="shared" si="52"/>
        <v>45841</v>
      </c>
      <c r="W67" s="203">
        <v>9669</v>
      </c>
      <c r="X67" s="54">
        <f t="shared" si="56"/>
        <v>0.963431646074133</v>
      </c>
      <c r="Y67" s="14">
        <v>19884.4</v>
      </c>
      <c r="Z67" s="8">
        <v>11.8</v>
      </c>
      <c r="AA67" s="8">
        <f t="shared" si="41"/>
        <v>2.05651049746613</v>
      </c>
      <c r="AB67" s="8">
        <f t="shared" si="57"/>
        <v>7.17284866468843</v>
      </c>
      <c r="AC67" s="8">
        <v>3.15</v>
      </c>
      <c r="AD67" s="203">
        <v>3.3</v>
      </c>
      <c r="AE67" s="8"/>
      <c r="AF67" s="203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</row>
    <row r="68" s="188" customFormat="1" spans="1:44">
      <c r="A68" s="216" t="s">
        <v>42</v>
      </c>
      <c r="B68" s="84">
        <f t="shared" si="47"/>
        <v>11</v>
      </c>
      <c r="C68" s="217">
        <v>45741</v>
      </c>
      <c r="D68" s="218">
        <v>45747</v>
      </c>
      <c r="E68" s="219">
        <v>1348</v>
      </c>
      <c r="F68" s="220">
        <f t="shared" si="48"/>
        <v>45761</v>
      </c>
      <c r="G68" s="219">
        <v>1175</v>
      </c>
      <c r="H68" s="54">
        <f t="shared" si="10"/>
        <v>0.871661721068249</v>
      </c>
      <c r="I68" s="218">
        <f t="shared" si="49"/>
        <v>45778</v>
      </c>
      <c r="J68" s="219">
        <v>1135</v>
      </c>
      <c r="K68" s="54">
        <f t="shared" si="53"/>
        <v>0.841988130563798</v>
      </c>
      <c r="L68" s="218">
        <f t="shared" si="50"/>
        <v>45781</v>
      </c>
      <c r="M68" s="219">
        <v>1131</v>
      </c>
      <c r="N68" s="219">
        <v>10672</v>
      </c>
      <c r="O68" s="54">
        <f t="shared" si="54"/>
        <v>0.839020771513353</v>
      </c>
      <c r="P68" s="54">
        <f t="shared" si="58"/>
        <v>0.0326409495548959</v>
      </c>
      <c r="Q68" s="221">
        <f t="shared" si="59"/>
        <v>9.43589743589744</v>
      </c>
      <c r="R68" s="218">
        <f t="shared" si="51"/>
        <v>45813</v>
      </c>
      <c r="S68" s="203">
        <v>10245</v>
      </c>
      <c r="T68" s="84">
        <v>930</v>
      </c>
      <c r="U68" s="54">
        <f t="shared" si="55"/>
        <v>0.959988755622189</v>
      </c>
      <c r="V68" s="218">
        <f t="shared" si="52"/>
        <v>45848</v>
      </c>
      <c r="W68" s="203">
        <v>9314</v>
      </c>
      <c r="X68" s="54">
        <f t="shared" si="56"/>
        <v>0.909126403123475</v>
      </c>
      <c r="Y68" s="8">
        <v>18643.3</v>
      </c>
      <c r="Z68" s="8">
        <v>11.8</v>
      </c>
      <c r="AA68" s="8">
        <f t="shared" si="41"/>
        <v>2.00164268842603</v>
      </c>
      <c r="AB68" s="8">
        <f t="shared" si="57"/>
        <v>6.90949554896142</v>
      </c>
      <c r="AC68" s="8">
        <v>3.24969291917203</v>
      </c>
      <c r="AD68" s="203">
        <v>3.71</v>
      </c>
      <c r="AE68" s="8"/>
      <c r="AF68" s="203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</row>
    <row r="69" s="188" customFormat="1" spans="1:44">
      <c r="A69" s="216" t="s">
        <v>37</v>
      </c>
      <c r="B69" s="84">
        <f t="shared" si="47"/>
        <v>14</v>
      </c>
      <c r="C69" s="217">
        <v>45748</v>
      </c>
      <c r="D69" s="218">
        <v>45754</v>
      </c>
      <c r="E69" s="219">
        <v>1320</v>
      </c>
      <c r="F69" s="220">
        <f t="shared" si="48"/>
        <v>45768</v>
      </c>
      <c r="G69" s="219">
        <v>1168</v>
      </c>
      <c r="H69" s="54">
        <f t="shared" si="10"/>
        <v>0.884848484848485</v>
      </c>
      <c r="I69" s="218">
        <f t="shared" si="49"/>
        <v>45785</v>
      </c>
      <c r="J69" s="219">
        <v>1102</v>
      </c>
      <c r="K69" s="54">
        <f t="shared" si="53"/>
        <v>0.834848484848485</v>
      </c>
      <c r="L69" s="218">
        <f t="shared" si="50"/>
        <v>45788</v>
      </c>
      <c r="M69" s="219">
        <v>1095</v>
      </c>
      <c r="N69" s="219">
        <v>10010</v>
      </c>
      <c r="O69" s="54">
        <f t="shared" si="54"/>
        <v>0.829545454545455</v>
      </c>
      <c r="P69" s="54">
        <f t="shared" si="58"/>
        <v>0.0553030303030304</v>
      </c>
      <c r="Q69" s="221">
        <f t="shared" si="59"/>
        <v>9.14155251141553</v>
      </c>
      <c r="R69" s="218">
        <f t="shared" si="51"/>
        <v>45820</v>
      </c>
      <c r="S69" s="203">
        <v>9567</v>
      </c>
      <c r="T69" s="84">
        <v>890</v>
      </c>
      <c r="U69" s="54">
        <f t="shared" si="55"/>
        <v>0.955744255744256</v>
      </c>
      <c r="V69" s="218">
        <f t="shared" si="52"/>
        <v>45855</v>
      </c>
      <c r="W69" s="203">
        <v>9023</v>
      </c>
      <c r="X69" s="54">
        <f t="shared" si="56"/>
        <v>0.943137869760636</v>
      </c>
      <c r="Y69" s="8">
        <v>18082.5</v>
      </c>
      <c r="Z69" s="8">
        <v>11.8</v>
      </c>
      <c r="AA69" s="8">
        <f t="shared" si="41"/>
        <v>2.00404521777679</v>
      </c>
      <c r="AB69" s="8">
        <f t="shared" si="57"/>
        <v>6.83560606060606</v>
      </c>
      <c r="AC69" s="8">
        <v>3.20835061523573</v>
      </c>
      <c r="AD69" s="203">
        <v>3.46</v>
      </c>
      <c r="AE69" s="8"/>
      <c r="AF69" s="203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</row>
    <row r="70" s="188" customFormat="1" spans="1:44">
      <c r="A70" s="216" t="s">
        <v>40</v>
      </c>
      <c r="B70" s="84">
        <f t="shared" si="47"/>
        <v>13</v>
      </c>
      <c r="C70" s="217">
        <v>45755</v>
      </c>
      <c r="D70" s="218">
        <v>45761</v>
      </c>
      <c r="E70" s="219">
        <v>1332</v>
      </c>
      <c r="F70" s="220">
        <f t="shared" si="48"/>
        <v>45775</v>
      </c>
      <c r="G70" s="219">
        <v>1146</v>
      </c>
      <c r="H70" s="54">
        <f t="shared" si="10"/>
        <v>0.86036036036036</v>
      </c>
      <c r="I70" s="218">
        <f t="shared" si="49"/>
        <v>45792</v>
      </c>
      <c r="J70" s="219">
        <v>1070</v>
      </c>
      <c r="K70" s="54">
        <f t="shared" si="53"/>
        <v>0.803303303303303</v>
      </c>
      <c r="L70" s="218">
        <f t="shared" si="50"/>
        <v>45795</v>
      </c>
      <c r="M70" s="219">
        <v>1062</v>
      </c>
      <c r="N70" s="219">
        <v>9451</v>
      </c>
      <c r="O70" s="54">
        <f t="shared" si="54"/>
        <v>0.797297297297297</v>
      </c>
      <c r="P70" s="54">
        <f t="shared" si="58"/>
        <v>0.0630630630630628</v>
      </c>
      <c r="Q70" s="221">
        <f t="shared" si="59"/>
        <v>8.89924670433145</v>
      </c>
      <c r="R70" s="218">
        <f t="shared" si="51"/>
        <v>45827</v>
      </c>
      <c r="S70" s="203">
        <v>9152</v>
      </c>
      <c r="T70" s="84">
        <v>870</v>
      </c>
      <c r="U70" s="54">
        <f t="shared" si="55"/>
        <v>0.968363136176066</v>
      </c>
      <c r="V70" s="218">
        <f t="shared" si="52"/>
        <v>45862</v>
      </c>
      <c r="W70" s="203">
        <v>8448</v>
      </c>
      <c r="X70" s="54">
        <f t="shared" si="56"/>
        <v>0.923076923076923</v>
      </c>
      <c r="Y70" s="8">
        <v>16807.2</v>
      </c>
      <c r="Z70" s="8">
        <v>12.2</v>
      </c>
      <c r="AA70" s="8">
        <f t="shared" si="41"/>
        <v>1.98948863636364</v>
      </c>
      <c r="AB70" s="8">
        <f t="shared" si="57"/>
        <v>6.34234234234234</v>
      </c>
      <c r="AC70" s="8">
        <v>3.2</v>
      </c>
      <c r="AD70" s="203">
        <v>3.37</v>
      </c>
      <c r="AE70" s="8"/>
      <c r="AF70" s="203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</row>
    <row r="71" s="188" customFormat="1" spans="1:44">
      <c r="A71" s="216" t="s">
        <v>43</v>
      </c>
      <c r="B71" s="84">
        <f t="shared" si="47"/>
        <v>3</v>
      </c>
      <c r="C71" s="217">
        <v>45762</v>
      </c>
      <c r="D71" s="218">
        <v>45768</v>
      </c>
      <c r="E71" s="219">
        <v>1315</v>
      </c>
      <c r="F71" s="220">
        <f t="shared" si="48"/>
        <v>45782</v>
      </c>
      <c r="G71" s="219">
        <v>1191</v>
      </c>
      <c r="H71" s="54">
        <f t="shared" ref="H71:H113" si="60">G71/E71</f>
        <v>0.905703422053232</v>
      </c>
      <c r="I71" s="218">
        <f t="shared" si="49"/>
        <v>45799</v>
      </c>
      <c r="J71" s="219">
        <v>1109</v>
      </c>
      <c r="K71" s="54">
        <f t="shared" si="53"/>
        <v>0.843346007604563</v>
      </c>
      <c r="L71" s="218">
        <f t="shared" si="50"/>
        <v>45802</v>
      </c>
      <c r="M71" s="219">
        <v>1099</v>
      </c>
      <c r="N71" s="219">
        <v>10150</v>
      </c>
      <c r="O71" s="54">
        <f t="shared" si="54"/>
        <v>0.83574144486692</v>
      </c>
      <c r="P71" s="54">
        <f t="shared" si="58"/>
        <v>0.0699619771863118</v>
      </c>
      <c r="Q71" s="221">
        <f t="shared" si="59"/>
        <v>9.23566878980892</v>
      </c>
      <c r="R71" s="218">
        <f t="shared" si="51"/>
        <v>45834</v>
      </c>
      <c r="S71" s="203">
        <f>9904-36</f>
        <v>9868</v>
      </c>
      <c r="T71" s="84">
        <v>800</v>
      </c>
      <c r="U71" s="54">
        <f t="shared" si="55"/>
        <v>0.972216748768473</v>
      </c>
      <c r="V71" s="218">
        <f t="shared" si="52"/>
        <v>45869</v>
      </c>
      <c r="W71" s="203">
        <v>9224</v>
      </c>
      <c r="X71" s="54">
        <f t="shared" si="56"/>
        <v>0.934738548844751</v>
      </c>
      <c r="Y71" s="14">
        <v>18068</v>
      </c>
      <c r="Z71" s="8">
        <v>13</v>
      </c>
      <c r="AA71" s="8">
        <f t="shared" si="41"/>
        <v>1.95880312228968</v>
      </c>
      <c r="AB71" s="8">
        <f t="shared" si="57"/>
        <v>7.01444866920152</v>
      </c>
      <c r="AC71" s="8">
        <v>2.91</v>
      </c>
      <c r="AD71" s="8">
        <v>2.88422790757104</v>
      </c>
      <c r="AE71" s="8"/>
      <c r="AF71" s="203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</row>
    <row r="72" s="188" customFormat="1" spans="1:44">
      <c r="A72" s="216" t="s">
        <v>32</v>
      </c>
      <c r="B72" s="84">
        <f t="shared" si="47"/>
        <v>15</v>
      </c>
      <c r="C72" s="217">
        <v>45769</v>
      </c>
      <c r="D72" s="218">
        <v>45775</v>
      </c>
      <c r="E72" s="219">
        <v>1316</v>
      </c>
      <c r="F72" s="220">
        <f t="shared" si="48"/>
        <v>45789</v>
      </c>
      <c r="G72" s="219">
        <v>1198</v>
      </c>
      <c r="H72" s="54">
        <f t="shared" si="60"/>
        <v>0.910334346504559</v>
      </c>
      <c r="I72" s="218">
        <f t="shared" si="49"/>
        <v>45806</v>
      </c>
      <c r="J72" s="219">
        <v>1103</v>
      </c>
      <c r="K72" s="54">
        <f t="shared" si="53"/>
        <v>0.838145896656535</v>
      </c>
      <c r="L72" s="218">
        <f t="shared" si="50"/>
        <v>45809</v>
      </c>
      <c r="M72" s="219">
        <v>1084</v>
      </c>
      <c r="N72" s="219">
        <v>9670</v>
      </c>
      <c r="O72" s="54">
        <f t="shared" si="54"/>
        <v>0.82370820668693</v>
      </c>
      <c r="P72" s="54">
        <f t="shared" si="58"/>
        <v>0.0866261398176289</v>
      </c>
      <c r="Q72" s="221">
        <f t="shared" si="59"/>
        <v>8.92066420664207</v>
      </c>
      <c r="R72" s="218">
        <f t="shared" si="51"/>
        <v>45841</v>
      </c>
      <c r="S72" s="203">
        <v>9140</v>
      </c>
      <c r="T72" s="84">
        <v>870</v>
      </c>
      <c r="U72" s="54">
        <f t="shared" si="55"/>
        <v>0.945191313340228</v>
      </c>
      <c r="V72" s="218">
        <f t="shared" si="52"/>
        <v>45876</v>
      </c>
      <c r="W72" s="203">
        <v>8334</v>
      </c>
      <c r="X72" s="54">
        <f t="shared" si="56"/>
        <v>0.911816192560175</v>
      </c>
      <c r="Y72" s="14">
        <v>16312.4</v>
      </c>
      <c r="Z72" s="8">
        <v>13.2</v>
      </c>
      <c r="AA72" s="8">
        <f t="shared" si="41"/>
        <v>1.95733141348692</v>
      </c>
      <c r="AB72" s="8">
        <f t="shared" si="57"/>
        <v>6.33282674772036</v>
      </c>
      <c r="AC72" s="8">
        <v>3.19</v>
      </c>
      <c r="AD72" s="8">
        <v>3.43068337763788</v>
      </c>
      <c r="AE72" s="8"/>
      <c r="AF72" s="203"/>
      <c r="AG72" s="194">
        <f>Y73*Z73</f>
        <v>280512.4</v>
      </c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</row>
    <row r="73" s="188" customFormat="1" spans="1:44">
      <c r="A73" s="216" t="s">
        <v>30</v>
      </c>
      <c r="B73" s="84">
        <f t="shared" si="47"/>
        <v>16</v>
      </c>
      <c r="C73" s="217">
        <v>45776</v>
      </c>
      <c r="D73" s="218">
        <v>45782</v>
      </c>
      <c r="E73" s="219">
        <v>1409</v>
      </c>
      <c r="F73" s="220">
        <f t="shared" si="48"/>
        <v>45796</v>
      </c>
      <c r="G73" s="219">
        <v>1237</v>
      </c>
      <c r="H73" s="54">
        <f t="shared" si="60"/>
        <v>0.877927608232789</v>
      </c>
      <c r="I73" s="218">
        <f t="shared" si="49"/>
        <v>45813</v>
      </c>
      <c r="J73" s="219">
        <v>1207</v>
      </c>
      <c r="K73" s="54">
        <f t="shared" si="53"/>
        <v>0.856635911994322</v>
      </c>
      <c r="L73" s="218">
        <f t="shared" si="50"/>
        <v>45816</v>
      </c>
      <c r="M73" s="219">
        <v>1192</v>
      </c>
      <c r="N73" s="219">
        <v>10919</v>
      </c>
      <c r="O73" s="54">
        <f t="shared" si="54"/>
        <v>0.845990063875089</v>
      </c>
      <c r="P73" s="54">
        <f t="shared" si="58"/>
        <v>0.0319375443577004</v>
      </c>
      <c r="Q73" s="221">
        <f t="shared" si="59"/>
        <v>9.16023489932886</v>
      </c>
      <c r="R73" s="218">
        <f t="shared" si="51"/>
        <v>45848</v>
      </c>
      <c r="S73" s="203">
        <v>10593</v>
      </c>
      <c r="T73" s="84">
        <v>880</v>
      </c>
      <c r="U73" s="54">
        <f t="shared" si="55"/>
        <v>0.970143786060995</v>
      </c>
      <c r="V73" s="218">
        <f t="shared" si="52"/>
        <v>45883</v>
      </c>
      <c r="W73" s="203">
        <v>10116</v>
      </c>
      <c r="X73" s="54">
        <f t="shared" si="56"/>
        <v>0.954970263381478</v>
      </c>
      <c r="Y73" s="14">
        <v>20036.6</v>
      </c>
      <c r="Z73" s="8">
        <v>14</v>
      </c>
      <c r="AA73" s="8">
        <f t="shared" si="41"/>
        <v>1.98068406484777</v>
      </c>
      <c r="AB73" s="8">
        <f t="shared" si="57"/>
        <v>7.17955997161107</v>
      </c>
      <c r="AC73" s="8">
        <v>2.99</v>
      </c>
      <c r="AD73" s="203">
        <v>3.28</v>
      </c>
      <c r="AE73" s="8">
        <v>58.1</v>
      </c>
      <c r="AF73" s="203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</row>
    <row r="74" s="188" customFormat="1" spans="1:44">
      <c r="A74" s="216" t="s">
        <v>42</v>
      </c>
      <c r="B74" s="84">
        <f t="shared" si="47"/>
        <v>12</v>
      </c>
      <c r="C74" s="217">
        <v>45783</v>
      </c>
      <c r="D74" s="218">
        <v>45789</v>
      </c>
      <c r="E74" s="219">
        <v>1351</v>
      </c>
      <c r="F74" s="220">
        <f t="shared" si="48"/>
        <v>45803</v>
      </c>
      <c r="G74" s="219">
        <v>1150</v>
      </c>
      <c r="H74" s="54">
        <f t="shared" si="60"/>
        <v>0.851221317542561</v>
      </c>
      <c r="I74" s="218">
        <f t="shared" si="49"/>
        <v>45820</v>
      </c>
      <c r="J74" s="219">
        <v>1128</v>
      </c>
      <c r="K74" s="54">
        <f t="shared" si="53"/>
        <v>0.834937083641747</v>
      </c>
      <c r="L74" s="218">
        <f t="shared" si="50"/>
        <v>45823</v>
      </c>
      <c r="M74" s="219">
        <v>1108</v>
      </c>
      <c r="N74" s="219">
        <v>9448</v>
      </c>
      <c r="O74" s="54">
        <f t="shared" si="54"/>
        <v>0.820133234641007</v>
      </c>
      <c r="P74" s="54">
        <f t="shared" si="58"/>
        <v>0.0310880829015544</v>
      </c>
      <c r="Q74" s="221">
        <f t="shared" si="59"/>
        <v>8.52707581227437</v>
      </c>
      <c r="R74" s="218">
        <f t="shared" si="51"/>
        <v>45855</v>
      </c>
      <c r="S74" s="203">
        <v>9105</v>
      </c>
      <c r="T74" s="84">
        <v>730</v>
      </c>
      <c r="U74" s="54">
        <f t="shared" si="55"/>
        <v>0.963696020321761</v>
      </c>
      <c r="V74" s="218">
        <f t="shared" si="52"/>
        <v>45890</v>
      </c>
      <c r="W74" s="203">
        <v>8316</v>
      </c>
      <c r="X74" s="54">
        <f t="shared" ref="X74:X96" si="61">W74/S74</f>
        <v>0.91334431630972</v>
      </c>
      <c r="Y74" s="14">
        <v>15743.6</v>
      </c>
      <c r="Z74" s="8">
        <v>14.1</v>
      </c>
      <c r="AA74" s="8">
        <f t="shared" si="41"/>
        <v>1.89316979316979</v>
      </c>
      <c r="AB74" s="8">
        <f t="shared" ref="AB74:AB87" si="62">W74/E74</f>
        <v>6.15544041450777</v>
      </c>
      <c r="AC74" s="8">
        <v>3.06</v>
      </c>
      <c r="AD74" s="203">
        <v>2.98</v>
      </c>
      <c r="AE74" s="8">
        <v>58.7</v>
      </c>
      <c r="AF74" s="203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</row>
    <row r="75" s="188" customFormat="1" spans="1:44">
      <c r="A75" s="216" t="s">
        <v>37</v>
      </c>
      <c r="B75" s="84">
        <f t="shared" si="47"/>
        <v>15</v>
      </c>
      <c r="C75" s="217">
        <v>45790</v>
      </c>
      <c r="D75" s="218">
        <v>45796</v>
      </c>
      <c r="E75" s="219">
        <v>1395</v>
      </c>
      <c r="F75" s="220">
        <f t="shared" si="48"/>
        <v>45810</v>
      </c>
      <c r="G75" s="219">
        <v>1216</v>
      </c>
      <c r="H75" s="54">
        <f t="shared" si="60"/>
        <v>0.87168458781362</v>
      </c>
      <c r="I75" s="218">
        <f t="shared" si="49"/>
        <v>45827</v>
      </c>
      <c r="J75" s="219">
        <v>1133</v>
      </c>
      <c r="K75" s="54">
        <f t="shared" si="53"/>
        <v>0.812186379928315</v>
      </c>
      <c r="L75" s="218">
        <f t="shared" si="50"/>
        <v>45830</v>
      </c>
      <c r="M75" s="219">
        <v>1117</v>
      </c>
      <c r="N75" s="219">
        <v>8850</v>
      </c>
      <c r="O75" s="54">
        <f t="shared" si="54"/>
        <v>0.800716845878136</v>
      </c>
      <c r="P75" s="54">
        <f t="shared" si="58"/>
        <v>0.0709677419354838</v>
      </c>
      <c r="Q75" s="221">
        <f t="shared" si="59"/>
        <v>7.92300805729633</v>
      </c>
      <c r="R75" s="218">
        <f t="shared" si="51"/>
        <v>45862</v>
      </c>
      <c r="S75" s="203">
        <v>8221</v>
      </c>
      <c r="T75" s="84">
        <v>750</v>
      </c>
      <c r="U75" s="54">
        <f t="shared" si="55"/>
        <v>0.928926553672316</v>
      </c>
      <c r="V75" s="218">
        <f t="shared" si="52"/>
        <v>45897</v>
      </c>
      <c r="W75" s="203">
        <v>7607</v>
      </c>
      <c r="X75" s="54">
        <f t="shared" si="61"/>
        <v>0.925313222235738</v>
      </c>
      <c r="Y75" s="8">
        <v>14492.1</v>
      </c>
      <c r="Z75" s="8">
        <v>14.4</v>
      </c>
      <c r="AA75" s="8">
        <f t="shared" si="41"/>
        <v>1.90510056526883</v>
      </c>
      <c r="AB75" s="8">
        <f t="shared" si="62"/>
        <v>5.45304659498208</v>
      </c>
      <c r="AC75" s="8">
        <v>3.16793287377261</v>
      </c>
      <c r="AD75" s="8">
        <v>3.21986283590526</v>
      </c>
      <c r="AE75" s="8"/>
      <c r="AF75" s="203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</row>
    <row r="76" s="188" customFormat="1" spans="1:44">
      <c r="A76" s="216" t="s">
        <v>40</v>
      </c>
      <c r="B76" s="84">
        <f t="shared" si="47"/>
        <v>14</v>
      </c>
      <c r="C76" s="217">
        <v>45797</v>
      </c>
      <c r="D76" s="218">
        <v>45803</v>
      </c>
      <c r="E76" s="219">
        <v>1315</v>
      </c>
      <c r="F76" s="220">
        <f t="shared" si="48"/>
        <v>45817</v>
      </c>
      <c r="G76" s="219">
        <v>1171</v>
      </c>
      <c r="H76" s="54">
        <f t="shared" si="60"/>
        <v>0.890494296577947</v>
      </c>
      <c r="I76" s="218">
        <f t="shared" si="49"/>
        <v>45834</v>
      </c>
      <c r="J76" s="219">
        <v>1090</v>
      </c>
      <c r="K76" s="54">
        <f t="shared" si="53"/>
        <v>0.828897338403042</v>
      </c>
      <c r="L76" s="218">
        <f t="shared" si="50"/>
        <v>45837</v>
      </c>
      <c r="M76" s="219">
        <v>1080</v>
      </c>
      <c r="N76" s="219">
        <v>8540</v>
      </c>
      <c r="O76" s="54">
        <f t="shared" si="54"/>
        <v>0.821292775665399</v>
      </c>
      <c r="P76" s="54">
        <f t="shared" si="58"/>
        <v>0.0692015209125477</v>
      </c>
      <c r="Q76" s="221">
        <f t="shared" si="59"/>
        <v>7.90740740740741</v>
      </c>
      <c r="R76" s="218">
        <f t="shared" si="51"/>
        <v>45869</v>
      </c>
      <c r="S76" s="203">
        <v>7549</v>
      </c>
      <c r="T76" s="84">
        <v>800</v>
      </c>
      <c r="U76" s="54">
        <f t="shared" si="55"/>
        <v>0.883957845433255</v>
      </c>
      <c r="V76" s="218">
        <f t="shared" si="52"/>
        <v>45904</v>
      </c>
      <c r="W76" s="203">
        <v>7271</v>
      </c>
      <c r="X76" s="54">
        <f t="shared" si="61"/>
        <v>0.963173930321897</v>
      </c>
      <c r="Y76" s="8">
        <v>14566.9</v>
      </c>
      <c r="Z76" s="8">
        <v>14</v>
      </c>
      <c r="AA76" s="8">
        <f t="shared" si="41"/>
        <v>2.00342456333379</v>
      </c>
      <c r="AB76" s="8">
        <f t="shared" si="62"/>
        <v>5.52927756653992</v>
      </c>
      <c r="AC76" s="8">
        <v>3.10395485655836</v>
      </c>
      <c r="AD76" s="8">
        <v>3.21036725190211</v>
      </c>
      <c r="AE76" s="8"/>
      <c r="AF76" s="203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</row>
    <row r="77" s="188" customFormat="1" spans="1:44">
      <c r="A77" s="216" t="s">
        <v>50</v>
      </c>
      <c r="B77" s="84">
        <f t="shared" si="47"/>
        <v>4</v>
      </c>
      <c r="C77" s="217">
        <v>45804</v>
      </c>
      <c r="D77" s="218">
        <v>45810</v>
      </c>
      <c r="E77" s="219">
        <v>1360</v>
      </c>
      <c r="F77" s="220">
        <f t="shared" si="48"/>
        <v>45824</v>
      </c>
      <c r="G77" s="219">
        <v>1186</v>
      </c>
      <c r="H77" s="54">
        <f t="shared" si="60"/>
        <v>0.872058823529412</v>
      </c>
      <c r="I77" s="218">
        <f t="shared" si="49"/>
        <v>45841</v>
      </c>
      <c r="J77" s="219">
        <v>944</v>
      </c>
      <c r="K77" s="54">
        <f t="shared" si="53"/>
        <v>0.694117647058824</v>
      </c>
      <c r="L77" s="218">
        <f t="shared" si="50"/>
        <v>45844</v>
      </c>
      <c r="M77" s="203">
        <v>903</v>
      </c>
      <c r="N77" s="203">
        <v>6070</v>
      </c>
      <c r="O77" s="54">
        <f t="shared" si="54"/>
        <v>0.663970588235294</v>
      </c>
      <c r="P77" s="54">
        <f t="shared" si="58"/>
        <v>0.208088235294118</v>
      </c>
      <c r="Q77" s="221">
        <f t="shared" si="59"/>
        <v>6.72203765227021</v>
      </c>
      <c r="R77" s="218">
        <f t="shared" si="51"/>
        <v>45876</v>
      </c>
      <c r="S77" s="203">
        <v>5973</v>
      </c>
      <c r="T77" s="84">
        <v>850</v>
      </c>
      <c r="U77" s="54">
        <f t="shared" si="55"/>
        <v>0.984019769357496</v>
      </c>
      <c r="V77" s="218">
        <f t="shared" si="52"/>
        <v>45911</v>
      </c>
      <c r="W77" s="203">
        <v>5767</v>
      </c>
      <c r="X77" s="54">
        <f t="shared" si="61"/>
        <v>0.965511468273899</v>
      </c>
      <c r="Y77" s="8">
        <v>12300.2</v>
      </c>
      <c r="Z77" s="8">
        <v>14</v>
      </c>
      <c r="AA77" s="14">
        <v>2.20824763471822</v>
      </c>
      <c r="AB77" s="8">
        <f t="shared" si="62"/>
        <v>4.24044117647059</v>
      </c>
      <c r="AC77" s="8">
        <v>3.17255003983675</v>
      </c>
      <c r="AD77" s="14">
        <v>3.02748800730983</v>
      </c>
      <c r="AE77" s="8"/>
      <c r="AF77" s="203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</row>
    <row r="78" s="188" customFormat="1" spans="1:44">
      <c r="A78" s="216" t="s">
        <v>32</v>
      </c>
      <c r="B78" s="84">
        <f t="shared" si="47"/>
        <v>16</v>
      </c>
      <c r="C78" s="217">
        <v>45811</v>
      </c>
      <c r="D78" s="218">
        <v>45817</v>
      </c>
      <c r="E78" s="219">
        <v>1365</v>
      </c>
      <c r="F78" s="220">
        <f t="shared" si="48"/>
        <v>45831</v>
      </c>
      <c r="G78" s="219">
        <v>1212</v>
      </c>
      <c r="H78" s="54">
        <f t="shared" si="60"/>
        <v>0.887912087912088</v>
      </c>
      <c r="I78" s="218">
        <f t="shared" si="49"/>
        <v>45848</v>
      </c>
      <c r="J78" s="219">
        <v>1117</v>
      </c>
      <c r="K78" s="54">
        <f t="shared" si="53"/>
        <v>0.818315018315018</v>
      </c>
      <c r="L78" s="218">
        <f t="shared" si="50"/>
        <v>45851</v>
      </c>
      <c r="M78" s="203">
        <v>1080</v>
      </c>
      <c r="N78" s="203">
        <v>6925</v>
      </c>
      <c r="O78" s="54">
        <f t="shared" si="54"/>
        <v>0.791208791208791</v>
      </c>
      <c r="P78" s="54">
        <f t="shared" si="58"/>
        <v>0.0967032967032968</v>
      </c>
      <c r="Q78" s="221">
        <f t="shared" si="59"/>
        <v>6.41203703703704</v>
      </c>
      <c r="R78" s="218">
        <f t="shared" si="51"/>
        <v>45883</v>
      </c>
      <c r="S78" s="203">
        <v>6473</v>
      </c>
      <c r="T78" s="84">
        <v>820</v>
      </c>
      <c r="U78" s="54">
        <f t="shared" si="55"/>
        <v>0.934729241877256</v>
      </c>
      <c r="V78" s="218">
        <f t="shared" si="52"/>
        <v>45918</v>
      </c>
      <c r="W78" s="203">
        <v>6092</v>
      </c>
      <c r="X78" s="54">
        <f t="shared" si="61"/>
        <v>0.941140120500541</v>
      </c>
      <c r="Y78" s="8">
        <v>12604</v>
      </c>
      <c r="Z78" s="8">
        <v>14.2</v>
      </c>
      <c r="AA78" s="14">
        <v>2.07639141506002</v>
      </c>
      <c r="AB78" s="8">
        <f t="shared" si="62"/>
        <v>4.46300366300366</v>
      </c>
      <c r="AC78" s="8">
        <v>3.31363059346239</v>
      </c>
      <c r="AD78" s="14">
        <v>3.25747403611652</v>
      </c>
      <c r="AE78" s="8"/>
      <c r="AF78" s="203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</row>
    <row r="79" s="188" customFormat="1" ht="13" customHeight="1" spans="1:44">
      <c r="A79" s="216" t="s">
        <v>30</v>
      </c>
      <c r="B79" s="84">
        <f t="shared" si="47"/>
        <v>17</v>
      </c>
      <c r="C79" s="217">
        <v>45818</v>
      </c>
      <c r="D79" s="218">
        <v>45824</v>
      </c>
      <c r="E79" s="219">
        <v>1412</v>
      </c>
      <c r="F79" s="220">
        <f t="shared" si="48"/>
        <v>45838</v>
      </c>
      <c r="G79" s="219">
        <v>1179</v>
      </c>
      <c r="H79" s="54">
        <f t="shared" si="60"/>
        <v>0.834985835694051</v>
      </c>
      <c r="I79" s="218">
        <f t="shared" si="49"/>
        <v>45855</v>
      </c>
      <c r="J79" s="219">
        <v>1130</v>
      </c>
      <c r="K79" s="54">
        <f t="shared" si="53"/>
        <v>0.80028328611898</v>
      </c>
      <c r="L79" s="218">
        <f t="shared" si="50"/>
        <v>45858</v>
      </c>
      <c r="M79" s="219">
        <v>1103</v>
      </c>
      <c r="N79" s="219">
        <v>8260</v>
      </c>
      <c r="O79" s="54">
        <f t="shared" si="54"/>
        <v>0.781161473087819</v>
      </c>
      <c r="P79" s="54">
        <f t="shared" si="58"/>
        <v>0.0538243626062324</v>
      </c>
      <c r="Q79" s="221">
        <f t="shared" si="59"/>
        <v>7.48866727107888</v>
      </c>
      <c r="R79" s="218">
        <f t="shared" si="51"/>
        <v>45890</v>
      </c>
      <c r="S79" s="203">
        <v>7816</v>
      </c>
      <c r="T79" s="84">
        <v>760</v>
      </c>
      <c r="U79" s="54">
        <f t="shared" ref="U79:U102" si="63">S79/N79</f>
        <v>0.946246973365617</v>
      </c>
      <c r="V79" s="218">
        <f t="shared" si="52"/>
        <v>45925</v>
      </c>
      <c r="W79" s="203">
        <v>7462</v>
      </c>
      <c r="X79" s="54">
        <f t="shared" si="61"/>
        <v>0.954708290685773</v>
      </c>
      <c r="Y79" s="8">
        <v>15525.9</v>
      </c>
      <c r="Z79" s="8">
        <v>14.4</v>
      </c>
      <c r="AA79" s="8">
        <v>2.11</v>
      </c>
      <c r="AB79" s="8">
        <f t="shared" si="62"/>
        <v>5.28470254957507</v>
      </c>
      <c r="AC79" s="8">
        <v>3.19</v>
      </c>
      <c r="AD79" s="203">
        <v>3.13</v>
      </c>
      <c r="AE79" s="8"/>
      <c r="AF79" s="203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</row>
    <row r="80" s="188" customFormat="1" ht="13" customHeight="1" spans="1:44">
      <c r="A80" s="216" t="s">
        <v>42</v>
      </c>
      <c r="B80" s="84">
        <f t="shared" si="47"/>
        <v>13</v>
      </c>
      <c r="C80" s="217">
        <v>45825</v>
      </c>
      <c r="D80" s="218">
        <v>45831</v>
      </c>
      <c r="E80" s="219">
        <v>1339</v>
      </c>
      <c r="F80" s="220">
        <f t="shared" si="48"/>
        <v>45845</v>
      </c>
      <c r="G80" s="219">
        <v>1074</v>
      </c>
      <c r="H80" s="54">
        <f t="shared" si="60"/>
        <v>0.802091112770724</v>
      </c>
      <c r="I80" s="218">
        <f t="shared" si="49"/>
        <v>45862</v>
      </c>
      <c r="J80" s="219">
        <v>1023</v>
      </c>
      <c r="K80" s="54">
        <f t="shared" si="53"/>
        <v>0.764002987303958</v>
      </c>
      <c r="L80" s="218">
        <f t="shared" si="50"/>
        <v>45865</v>
      </c>
      <c r="M80" s="219">
        <v>994</v>
      </c>
      <c r="N80" s="219">
        <v>6809</v>
      </c>
      <c r="O80" s="54">
        <f t="shared" si="54"/>
        <v>0.74234503360717</v>
      </c>
      <c r="P80" s="54">
        <f t="shared" si="58"/>
        <v>0.0597460791635545</v>
      </c>
      <c r="Q80" s="221">
        <f t="shared" si="59"/>
        <v>6.85010060362173</v>
      </c>
      <c r="R80" s="218">
        <f t="shared" si="51"/>
        <v>45897</v>
      </c>
      <c r="S80" s="203">
        <v>6376</v>
      </c>
      <c r="T80" s="84">
        <v>760</v>
      </c>
      <c r="U80" s="54">
        <f t="shared" si="63"/>
        <v>0.936407695696872</v>
      </c>
      <c r="V80" s="218">
        <f t="shared" si="52"/>
        <v>45932</v>
      </c>
      <c r="W80" s="248">
        <v>6188</v>
      </c>
      <c r="X80" s="54">
        <f t="shared" si="61"/>
        <v>0.970514429109159</v>
      </c>
      <c r="Y80" s="8">
        <v>13667.4</v>
      </c>
      <c r="Z80" s="8">
        <v>14.4</v>
      </c>
      <c r="AA80" s="8">
        <f t="shared" ref="AA80:AA87" si="64">Y80/W80</f>
        <v>2.20869424692954</v>
      </c>
      <c r="AB80" s="8">
        <f t="shared" si="62"/>
        <v>4.62135922330097</v>
      </c>
      <c r="AC80" s="8">
        <v>3.21275443756676</v>
      </c>
      <c r="AD80" s="14">
        <v>2.93584866306038</v>
      </c>
      <c r="AE80" s="8"/>
      <c r="AF80" s="203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</row>
    <row r="81" s="188" customFormat="1" spans="1:44">
      <c r="A81" s="216" t="s">
        <v>37</v>
      </c>
      <c r="B81" s="84">
        <f t="shared" si="47"/>
        <v>16</v>
      </c>
      <c r="C81" s="217">
        <v>45832</v>
      </c>
      <c r="D81" s="218">
        <v>45838</v>
      </c>
      <c r="E81" s="219">
        <v>1363</v>
      </c>
      <c r="F81" s="220">
        <f t="shared" si="48"/>
        <v>45852</v>
      </c>
      <c r="G81" s="219">
        <v>993</v>
      </c>
      <c r="H81" s="54">
        <f t="shared" si="60"/>
        <v>0.728539985326486</v>
      </c>
      <c r="I81" s="218">
        <f t="shared" si="49"/>
        <v>45869</v>
      </c>
      <c r="J81" s="219">
        <v>882</v>
      </c>
      <c r="K81" s="54">
        <f t="shared" si="53"/>
        <v>0.647101980924431</v>
      </c>
      <c r="L81" s="218">
        <f t="shared" si="50"/>
        <v>45872</v>
      </c>
      <c r="M81" s="219">
        <v>879</v>
      </c>
      <c r="N81" s="219">
        <v>5763</v>
      </c>
      <c r="O81" s="54">
        <f t="shared" si="54"/>
        <v>0.64490095377843</v>
      </c>
      <c r="P81" s="54">
        <f t="shared" si="58"/>
        <v>0.0836390315480561</v>
      </c>
      <c r="Q81" s="221">
        <f t="shared" si="59"/>
        <v>6.55631399317406</v>
      </c>
      <c r="R81" s="218">
        <f t="shared" si="51"/>
        <v>45904</v>
      </c>
      <c r="S81" s="203">
        <v>5479</v>
      </c>
      <c r="T81" s="84">
        <v>763</v>
      </c>
      <c r="U81" s="54">
        <f t="shared" si="63"/>
        <v>0.950720111053271</v>
      </c>
      <c r="V81" s="218">
        <f t="shared" si="52"/>
        <v>45939</v>
      </c>
      <c r="W81" s="248">
        <v>5343</v>
      </c>
      <c r="X81" s="54">
        <f t="shared" si="61"/>
        <v>0.975177952181055</v>
      </c>
      <c r="Y81" s="8">
        <v>11763</v>
      </c>
      <c r="Z81" s="8">
        <v>14.4</v>
      </c>
      <c r="AA81" s="8">
        <f t="shared" si="64"/>
        <v>2.20157215047726</v>
      </c>
      <c r="AB81" s="8">
        <f t="shared" si="62"/>
        <v>3.92002934702861</v>
      </c>
      <c r="AC81" s="8">
        <v>3.19722859814673</v>
      </c>
      <c r="AD81" s="14">
        <v>2.76229094089991</v>
      </c>
      <c r="AE81" s="8"/>
      <c r="AF81" s="203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</row>
    <row r="82" s="188" customFormat="1" ht="15" customHeight="1" spans="1:44">
      <c r="A82" s="216" t="s">
        <v>40</v>
      </c>
      <c r="B82" s="84">
        <f t="shared" si="47"/>
        <v>15</v>
      </c>
      <c r="C82" s="217">
        <v>45839</v>
      </c>
      <c r="D82" s="218">
        <v>45845</v>
      </c>
      <c r="E82" s="219">
        <v>1318</v>
      </c>
      <c r="F82" s="220">
        <f t="shared" si="48"/>
        <v>45859</v>
      </c>
      <c r="G82" s="219">
        <v>1002</v>
      </c>
      <c r="H82" s="54">
        <f t="shared" si="60"/>
        <v>0.760242792109256</v>
      </c>
      <c r="I82" s="218">
        <f t="shared" si="49"/>
        <v>45876</v>
      </c>
      <c r="J82" s="219">
        <v>870</v>
      </c>
      <c r="K82" s="54">
        <f t="shared" si="53"/>
        <v>0.660091047040971</v>
      </c>
      <c r="L82" s="218">
        <f t="shared" si="50"/>
        <v>45879</v>
      </c>
      <c r="M82" s="219">
        <v>864</v>
      </c>
      <c r="N82" s="219">
        <v>5720</v>
      </c>
      <c r="O82" s="54">
        <f t="shared" si="54"/>
        <v>0.655538694992413</v>
      </c>
      <c r="P82" s="54">
        <f t="shared" si="58"/>
        <v>0.104704097116843</v>
      </c>
      <c r="Q82" s="221">
        <f t="shared" si="59"/>
        <v>6.62037037037037</v>
      </c>
      <c r="R82" s="218">
        <f t="shared" si="51"/>
        <v>45911</v>
      </c>
      <c r="S82" s="203">
        <v>5372</v>
      </c>
      <c r="T82" s="84">
        <v>810</v>
      </c>
      <c r="U82" s="54">
        <f t="shared" si="63"/>
        <v>0.939160839160839</v>
      </c>
      <c r="V82" s="218">
        <f t="shared" si="52"/>
        <v>45946</v>
      </c>
      <c r="W82" s="203">
        <v>4972</v>
      </c>
      <c r="X82" s="54">
        <f t="shared" si="61"/>
        <v>0.92553983618764</v>
      </c>
      <c r="Y82" s="8">
        <v>11113</v>
      </c>
      <c r="Z82" s="8">
        <v>14.4</v>
      </c>
      <c r="AA82" s="8">
        <f t="shared" si="64"/>
        <v>2.23511665325825</v>
      </c>
      <c r="AB82" s="8">
        <f t="shared" si="62"/>
        <v>3.77238239757208</v>
      </c>
      <c r="AC82" s="8">
        <v>3.36</v>
      </c>
      <c r="AD82" s="203">
        <v>3.17</v>
      </c>
      <c r="AE82" s="8"/>
      <c r="AF82" s="203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</row>
    <row r="83" s="188" customFormat="1" spans="1:44">
      <c r="A83" s="216" t="s">
        <v>46</v>
      </c>
      <c r="B83" s="84">
        <v>1</v>
      </c>
      <c r="C83" s="217">
        <f>D83-6</f>
        <v>45842</v>
      </c>
      <c r="D83" s="218">
        <v>45848</v>
      </c>
      <c r="E83" s="219">
        <v>979</v>
      </c>
      <c r="F83" s="220">
        <f t="shared" si="48"/>
        <v>45862</v>
      </c>
      <c r="G83" s="219">
        <v>899</v>
      </c>
      <c r="H83" s="54">
        <f t="shared" si="60"/>
        <v>0.918283963227783</v>
      </c>
      <c r="I83" s="218">
        <f t="shared" si="49"/>
        <v>45879</v>
      </c>
      <c r="J83" s="219">
        <v>874</v>
      </c>
      <c r="K83" s="54">
        <f t="shared" si="53"/>
        <v>0.892747701736466</v>
      </c>
      <c r="L83" s="218">
        <f t="shared" si="50"/>
        <v>45882</v>
      </c>
      <c r="M83" s="219">
        <v>871</v>
      </c>
      <c r="N83" s="219">
        <v>6874</v>
      </c>
      <c r="O83" s="54">
        <f t="shared" si="54"/>
        <v>0.889683350357508</v>
      </c>
      <c r="P83" s="54">
        <f t="shared" si="58"/>
        <v>0.0286006128702754</v>
      </c>
      <c r="Q83" s="221">
        <f t="shared" si="59"/>
        <v>7.89207807118255</v>
      </c>
      <c r="R83" s="218">
        <f t="shared" si="51"/>
        <v>45914</v>
      </c>
      <c r="S83" s="203">
        <v>6250</v>
      </c>
      <c r="T83" s="84">
        <v>795</v>
      </c>
      <c r="U83" s="54">
        <f t="shared" si="63"/>
        <v>0.909223159732325</v>
      </c>
      <c r="V83" s="218">
        <f t="shared" si="52"/>
        <v>45949</v>
      </c>
      <c r="W83" s="203">
        <v>6114</v>
      </c>
      <c r="X83" s="54">
        <f t="shared" si="61"/>
        <v>0.97824</v>
      </c>
      <c r="Y83" s="14">
        <v>13631.1</v>
      </c>
      <c r="Z83" s="8">
        <v>14.4</v>
      </c>
      <c r="AA83" s="8">
        <f t="shared" si="64"/>
        <v>2.22948969578018</v>
      </c>
      <c r="AB83" s="8">
        <f t="shared" si="62"/>
        <v>6.24514811031665</v>
      </c>
      <c r="AC83" s="8">
        <v>2.91</v>
      </c>
      <c r="AD83" s="203">
        <v>2.97</v>
      </c>
      <c r="AE83" s="8"/>
      <c r="AF83" s="203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</row>
    <row r="84" s="188" customFormat="1" spans="1:44">
      <c r="A84" s="216" t="s">
        <v>50</v>
      </c>
      <c r="B84" s="84">
        <f>B77+1</f>
        <v>5</v>
      </c>
      <c r="C84" s="217">
        <v>45846</v>
      </c>
      <c r="D84" s="218">
        <v>45852</v>
      </c>
      <c r="E84" s="219">
        <v>1272</v>
      </c>
      <c r="F84" s="220">
        <f t="shared" si="48"/>
        <v>45866</v>
      </c>
      <c r="G84" s="219">
        <v>1073</v>
      </c>
      <c r="H84" s="54">
        <f t="shared" si="60"/>
        <v>0.843553459119497</v>
      </c>
      <c r="I84" s="218">
        <f t="shared" si="49"/>
        <v>45883</v>
      </c>
      <c r="J84" s="219">
        <v>1018</v>
      </c>
      <c r="K84" s="54">
        <f t="shared" si="53"/>
        <v>0.800314465408805</v>
      </c>
      <c r="L84" s="218">
        <f t="shared" si="50"/>
        <v>45886</v>
      </c>
      <c r="M84" s="219">
        <v>1008</v>
      </c>
      <c r="N84" s="219">
        <v>7300</v>
      </c>
      <c r="O84" s="54">
        <f t="shared" si="54"/>
        <v>0.792452830188679</v>
      </c>
      <c r="P84" s="54">
        <f t="shared" si="58"/>
        <v>0.0511006289308177</v>
      </c>
      <c r="Q84" s="221">
        <f t="shared" si="59"/>
        <v>7.24206349206349</v>
      </c>
      <c r="R84" s="218">
        <f t="shared" si="51"/>
        <v>45918</v>
      </c>
      <c r="S84" s="203">
        <v>6529</v>
      </c>
      <c r="T84" s="84">
        <v>810</v>
      </c>
      <c r="U84" s="54">
        <f t="shared" si="63"/>
        <v>0.894383561643836</v>
      </c>
      <c r="V84" s="218">
        <f t="shared" si="52"/>
        <v>45953</v>
      </c>
      <c r="W84" s="203">
        <v>6193</v>
      </c>
      <c r="X84" s="54">
        <f t="shared" si="61"/>
        <v>0.948537295144739</v>
      </c>
      <c r="Y84" s="8">
        <v>13771.2</v>
      </c>
      <c r="Z84" s="8">
        <v>14.4</v>
      </c>
      <c r="AA84" s="8">
        <f t="shared" si="64"/>
        <v>2.22367188761505</v>
      </c>
      <c r="AB84" s="8">
        <f t="shared" si="62"/>
        <v>4.8687106918239</v>
      </c>
      <c r="AC84" s="8"/>
      <c r="AD84" s="203"/>
      <c r="AE84" s="8"/>
      <c r="AF84" s="203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</row>
    <row r="85" s="188" customFormat="1" spans="1:44">
      <c r="A85" s="216" t="s">
        <v>32</v>
      </c>
      <c r="B85" s="84">
        <f>B78+1</f>
        <v>17</v>
      </c>
      <c r="C85" s="217">
        <v>45853</v>
      </c>
      <c r="D85" s="218">
        <v>45859</v>
      </c>
      <c r="E85" s="219">
        <v>1367</v>
      </c>
      <c r="F85" s="220">
        <f t="shared" si="48"/>
        <v>45873</v>
      </c>
      <c r="G85" s="219">
        <v>1071</v>
      </c>
      <c r="H85" s="54">
        <f t="shared" si="60"/>
        <v>0.783467446964155</v>
      </c>
      <c r="I85" s="218">
        <f t="shared" si="49"/>
        <v>45890</v>
      </c>
      <c r="J85" s="219">
        <v>866</v>
      </c>
      <c r="K85" s="54">
        <f t="shared" si="53"/>
        <v>0.633504023408925</v>
      </c>
      <c r="L85" s="218">
        <f t="shared" si="50"/>
        <v>45893</v>
      </c>
      <c r="M85" s="219">
        <v>814</v>
      </c>
      <c r="N85" s="219">
        <v>4884</v>
      </c>
      <c r="O85" s="54">
        <f t="shared" si="54"/>
        <v>0.595464520848573</v>
      </c>
      <c r="P85" s="54">
        <f t="shared" si="58"/>
        <v>0.188002926115582</v>
      </c>
      <c r="Q85" s="221">
        <f t="shared" si="59"/>
        <v>6</v>
      </c>
      <c r="R85" s="218">
        <f t="shared" ref="R85:R130" si="65">I85+35</f>
        <v>45925</v>
      </c>
      <c r="S85" s="203">
        <v>4631</v>
      </c>
      <c r="T85" s="84">
        <v>960</v>
      </c>
      <c r="U85" s="54">
        <f t="shared" si="63"/>
        <v>0.948198198198198</v>
      </c>
      <c r="V85" s="218">
        <f t="shared" ref="V85:V116" si="66">I85+70</f>
        <v>45960</v>
      </c>
      <c r="W85" s="203">
        <v>4393</v>
      </c>
      <c r="X85" s="54">
        <f t="shared" si="61"/>
        <v>0.94860721226517</v>
      </c>
      <c r="Y85" s="8">
        <v>10156.2</v>
      </c>
      <c r="Z85" s="8">
        <v>15.2</v>
      </c>
      <c r="AA85" s="8">
        <f t="shared" si="64"/>
        <v>2.31190530389256</v>
      </c>
      <c r="AB85" s="8">
        <f t="shared" si="62"/>
        <v>3.21360643745428</v>
      </c>
      <c r="AC85" s="8">
        <v>3.65441799098088</v>
      </c>
      <c r="AD85" s="8">
        <v>3.29484242895469</v>
      </c>
      <c r="AE85" s="8"/>
      <c r="AF85" s="203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</row>
    <row r="86" s="188" customFormat="1" spans="1:44">
      <c r="A86" s="216" t="s">
        <v>30</v>
      </c>
      <c r="B86" s="84">
        <f>B79+1</f>
        <v>18</v>
      </c>
      <c r="C86" s="217">
        <v>45860</v>
      </c>
      <c r="D86" s="218">
        <v>45866</v>
      </c>
      <c r="E86" s="219">
        <v>1372</v>
      </c>
      <c r="F86" s="220">
        <f t="shared" si="48"/>
        <v>45880</v>
      </c>
      <c r="G86" s="219">
        <v>965</v>
      </c>
      <c r="H86" s="54">
        <f t="shared" si="60"/>
        <v>0.7033527696793</v>
      </c>
      <c r="I86" s="218">
        <f t="shared" si="49"/>
        <v>45897</v>
      </c>
      <c r="J86" s="219">
        <v>874</v>
      </c>
      <c r="K86" s="54">
        <f t="shared" si="53"/>
        <v>0.637026239067055</v>
      </c>
      <c r="L86" s="218">
        <f t="shared" ref="L86:L130" si="67">I86+3</f>
        <v>45900</v>
      </c>
      <c r="M86" s="219">
        <v>870</v>
      </c>
      <c r="N86" s="219">
        <v>5788</v>
      </c>
      <c r="O86" s="54">
        <f t="shared" si="54"/>
        <v>0.634110787172012</v>
      </c>
      <c r="P86" s="54">
        <f t="shared" si="58"/>
        <v>0.0692419825072884</v>
      </c>
      <c r="Q86" s="221">
        <f t="shared" si="59"/>
        <v>6.65287356321839</v>
      </c>
      <c r="R86" s="218">
        <f t="shared" si="65"/>
        <v>45932</v>
      </c>
      <c r="S86" s="203">
        <v>5413</v>
      </c>
      <c r="T86" s="84">
        <v>842</v>
      </c>
      <c r="U86" s="54">
        <f t="shared" si="63"/>
        <v>0.935210780926054</v>
      </c>
      <c r="V86" s="218">
        <f t="shared" si="66"/>
        <v>45967</v>
      </c>
      <c r="W86" s="203">
        <v>5252</v>
      </c>
      <c r="X86" s="54">
        <f t="shared" si="61"/>
        <v>0.970256789211158</v>
      </c>
      <c r="Y86" s="8">
        <v>12462.95</v>
      </c>
      <c r="Z86" s="8">
        <v>15.2</v>
      </c>
      <c r="AA86" s="8">
        <f t="shared" si="64"/>
        <v>2.37299124143184</v>
      </c>
      <c r="AB86" s="8">
        <f t="shared" si="62"/>
        <v>3.82798833819242</v>
      </c>
      <c r="AC86" s="8">
        <v>3.45792930245247</v>
      </c>
      <c r="AD86" s="8">
        <v>2.85761126468084</v>
      </c>
      <c r="AE86" s="8"/>
      <c r="AF86" s="203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</row>
    <row r="87" s="188" customFormat="1" ht="13" customHeight="1" spans="1:44">
      <c r="A87" s="216" t="s">
        <v>42</v>
      </c>
      <c r="B87" s="84">
        <f>B80+1</f>
        <v>14</v>
      </c>
      <c r="C87" s="217">
        <v>45867</v>
      </c>
      <c r="D87" s="218">
        <v>45873</v>
      </c>
      <c r="E87" s="219">
        <v>1355</v>
      </c>
      <c r="F87" s="220">
        <f t="shared" si="48"/>
        <v>45887</v>
      </c>
      <c r="G87" s="219">
        <v>960</v>
      </c>
      <c r="H87" s="54">
        <f t="shared" si="60"/>
        <v>0.708487084870849</v>
      </c>
      <c r="I87" s="218">
        <f t="shared" si="49"/>
        <v>45904</v>
      </c>
      <c r="J87" s="219">
        <v>912</v>
      </c>
      <c r="K87" s="54">
        <f t="shared" si="53"/>
        <v>0.673062730627306</v>
      </c>
      <c r="L87" s="218">
        <f t="shared" si="67"/>
        <v>45907</v>
      </c>
      <c r="M87" s="219">
        <v>907</v>
      </c>
      <c r="N87" s="219">
        <v>6572</v>
      </c>
      <c r="O87" s="54">
        <f t="shared" si="54"/>
        <v>0.669372693726937</v>
      </c>
      <c r="P87" s="54">
        <f t="shared" si="58"/>
        <v>0.0391143911439117</v>
      </c>
      <c r="Q87" s="221">
        <f t="shared" si="59"/>
        <v>7.24586549062845</v>
      </c>
      <c r="R87" s="218">
        <f t="shared" si="65"/>
        <v>45939</v>
      </c>
      <c r="S87" s="203">
        <v>6159</v>
      </c>
      <c r="T87" s="84">
        <v>930</v>
      </c>
      <c r="U87" s="54">
        <f t="shared" si="63"/>
        <v>0.93715763846622</v>
      </c>
      <c r="V87" s="218">
        <f t="shared" si="66"/>
        <v>45974</v>
      </c>
      <c r="W87" s="203">
        <v>5775</v>
      </c>
      <c r="X87" s="54">
        <f t="shared" si="61"/>
        <v>0.937652216268875</v>
      </c>
      <c r="Y87" s="8">
        <v>14118.45</v>
      </c>
      <c r="Z87" s="8">
        <v>13.2</v>
      </c>
      <c r="AA87" s="8">
        <f t="shared" si="64"/>
        <v>2.44475324675325</v>
      </c>
      <c r="AB87" s="8">
        <f t="shared" si="62"/>
        <v>4.2619926199262</v>
      </c>
      <c r="AC87" s="8">
        <v>3.53424065672931</v>
      </c>
      <c r="AD87" s="8">
        <v>3.41804321753591</v>
      </c>
      <c r="AE87" s="8"/>
      <c r="AF87" s="203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</row>
    <row r="88" s="188" customFormat="1" spans="1:44">
      <c r="A88" s="216" t="s">
        <v>37</v>
      </c>
      <c r="B88" s="84">
        <f>B81+1</f>
        <v>17</v>
      </c>
      <c r="C88" s="217">
        <v>45874</v>
      </c>
      <c r="D88" s="218">
        <v>45880</v>
      </c>
      <c r="E88" s="219">
        <v>1332</v>
      </c>
      <c r="F88" s="220">
        <f t="shared" si="48"/>
        <v>45894</v>
      </c>
      <c r="G88" s="219">
        <v>1100</v>
      </c>
      <c r="H88" s="54">
        <f t="shared" si="60"/>
        <v>0.825825825825826</v>
      </c>
      <c r="I88" s="218">
        <f t="shared" ref="I88:I130" si="68">D88+31</f>
        <v>45911</v>
      </c>
      <c r="J88" s="219">
        <v>987</v>
      </c>
      <c r="K88" s="54">
        <f t="shared" si="53"/>
        <v>0.740990990990991</v>
      </c>
      <c r="L88" s="218">
        <f t="shared" si="67"/>
        <v>45914</v>
      </c>
      <c r="M88" s="219">
        <v>991</v>
      </c>
      <c r="N88" s="219">
        <v>7250</v>
      </c>
      <c r="O88" s="54">
        <f t="shared" si="54"/>
        <v>0.743993993993994</v>
      </c>
      <c r="P88" s="54">
        <f t="shared" si="58"/>
        <v>0.081831831831832</v>
      </c>
      <c r="Q88" s="221">
        <f t="shared" si="59"/>
        <v>7.31584258324924</v>
      </c>
      <c r="R88" s="218">
        <f t="shared" si="65"/>
        <v>45946</v>
      </c>
      <c r="S88" s="203">
        <v>6573</v>
      </c>
      <c r="T88" s="84">
        <v>950</v>
      </c>
      <c r="U88" s="54">
        <f t="shared" si="63"/>
        <v>0.906620689655172</v>
      </c>
      <c r="V88" s="218">
        <f t="shared" si="66"/>
        <v>45981</v>
      </c>
      <c r="W88" s="203">
        <v>6395</v>
      </c>
      <c r="X88" s="54">
        <f t="shared" si="61"/>
        <v>0.972919519245398</v>
      </c>
      <c r="Y88" s="8">
        <v>15576.45</v>
      </c>
      <c r="Z88" s="8">
        <v>13.4</v>
      </c>
      <c r="AA88" s="8">
        <f t="shared" ref="AA88:AA94" si="69">Y88/W88</f>
        <v>2.43572322126661</v>
      </c>
      <c r="AB88" s="8">
        <f t="shared" ref="AB86:AB91" si="70">W88/E88</f>
        <v>4.80105105105105</v>
      </c>
      <c r="AC88" s="8">
        <v>3.49437773048416</v>
      </c>
      <c r="AD88" s="8">
        <v>3.33258323421309</v>
      </c>
      <c r="AE88" s="8"/>
      <c r="AF88" s="203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</row>
    <row r="89" s="188" customFormat="1" spans="1:44">
      <c r="A89" s="216" t="s">
        <v>54</v>
      </c>
      <c r="B89" s="84">
        <v>1</v>
      </c>
      <c r="C89" s="217">
        <f>D89-6</f>
        <v>45877</v>
      </c>
      <c r="D89" s="218">
        <v>45883</v>
      </c>
      <c r="E89" s="219">
        <v>1000</v>
      </c>
      <c r="F89" s="220">
        <f t="shared" ref="F89:F120" si="71">D89+14</f>
        <v>45897</v>
      </c>
      <c r="G89" s="219">
        <v>931</v>
      </c>
      <c r="H89" s="54">
        <f t="shared" si="60"/>
        <v>0.931</v>
      </c>
      <c r="I89" s="218">
        <f t="shared" si="68"/>
        <v>45914</v>
      </c>
      <c r="J89" s="219">
        <v>876</v>
      </c>
      <c r="K89" s="54">
        <f t="shared" si="53"/>
        <v>0.876</v>
      </c>
      <c r="L89" s="218">
        <f t="shared" si="67"/>
        <v>45917</v>
      </c>
      <c r="M89" s="219">
        <v>792</v>
      </c>
      <c r="N89" s="219">
        <v>5713</v>
      </c>
      <c r="O89" s="54">
        <f t="shared" si="54"/>
        <v>0.792</v>
      </c>
      <c r="P89" s="54">
        <f t="shared" si="58"/>
        <v>0.139</v>
      </c>
      <c r="Q89" s="221">
        <f t="shared" si="59"/>
        <v>7.21338383838384</v>
      </c>
      <c r="R89" s="218">
        <f t="shared" si="65"/>
        <v>45949</v>
      </c>
      <c r="S89" s="203">
        <v>3252</v>
      </c>
      <c r="T89" s="84">
        <v>1000</v>
      </c>
      <c r="U89" s="54">
        <f t="shared" si="63"/>
        <v>0.569228076317171</v>
      </c>
      <c r="V89" s="218">
        <f t="shared" si="66"/>
        <v>45984</v>
      </c>
      <c r="W89" s="203">
        <v>3012</v>
      </c>
      <c r="X89" s="54">
        <f t="shared" si="61"/>
        <v>0.92619926199262</v>
      </c>
      <c r="Y89" s="8">
        <v>7510.7</v>
      </c>
      <c r="Z89" s="8">
        <v>13.4</v>
      </c>
      <c r="AA89" s="8">
        <f t="shared" si="69"/>
        <v>2.49359229747676</v>
      </c>
      <c r="AB89" s="8">
        <f t="shared" si="70"/>
        <v>3.012</v>
      </c>
      <c r="AC89" s="8">
        <v>4.01294153674092</v>
      </c>
      <c r="AD89" s="8">
        <v>3.44119097377134</v>
      </c>
      <c r="AE89" s="8"/>
      <c r="AF89" s="203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</row>
    <row r="90" s="188" customFormat="1" spans="1:44">
      <c r="A90" s="216" t="s">
        <v>40</v>
      </c>
      <c r="B90" s="84">
        <f t="shared" ref="B90:B95" si="72">B82+1</f>
        <v>16</v>
      </c>
      <c r="C90" s="217">
        <v>45881</v>
      </c>
      <c r="D90" s="218">
        <v>45887</v>
      </c>
      <c r="E90" s="219">
        <v>1296</v>
      </c>
      <c r="F90" s="220">
        <f t="shared" si="71"/>
        <v>45901</v>
      </c>
      <c r="G90" s="219">
        <v>954</v>
      </c>
      <c r="H90" s="54">
        <f t="shared" si="60"/>
        <v>0.736111111111111</v>
      </c>
      <c r="I90" s="218">
        <f t="shared" si="68"/>
        <v>45918</v>
      </c>
      <c r="J90" s="219">
        <v>870</v>
      </c>
      <c r="K90" s="54">
        <f t="shared" si="53"/>
        <v>0.671296296296296</v>
      </c>
      <c r="L90" s="218">
        <f t="shared" si="67"/>
        <v>45921</v>
      </c>
      <c r="M90" s="219">
        <v>831</v>
      </c>
      <c r="N90" s="219">
        <v>5900</v>
      </c>
      <c r="O90" s="54">
        <f t="shared" si="54"/>
        <v>0.641203703703704</v>
      </c>
      <c r="P90" s="54">
        <f t="shared" si="58"/>
        <v>0.0949074074074073</v>
      </c>
      <c r="Q90" s="221">
        <f t="shared" si="59"/>
        <v>7.09987966305656</v>
      </c>
      <c r="R90" s="218">
        <f t="shared" si="65"/>
        <v>45953</v>
      </c>
      <c r="S90" s="203">
        <v>4956</v>
      </c>
      <c r="T90" s="84">
        <v>1000</v>
      </c>
      <c r="U90" s="54">
        <f t="shared" si="63"/>
        <v>0.84</v>
      </c>
      <c r="V90" s="218">
        <f t="shared" si="66"/>
        <v>45988</v>
      </c>
      <c r="W90" s="203">
        <v>4715</v>
      </c>
      <c r="X90" s="54">
        <f t="shared" si="61"/>
        <v>0.95137207425343</v>
      </c>
      <c r="Y90" s="8">
        <v>12053.6</v>
      </c>
      <c r="Z90" s="8">
        <v>13.4</v>
      </c>
      <c r="AA90" s="8">
        <f t="shared" si="69"/>
        <v>2.55643690349947</v>
      </c>
      <c r="AB90" s="8">
        <f t="shared" si="70"/>
        <v>3.63811728395062</v>
      </c>
      <c r="AC90" s="8">
        <v>3.78807990973651</v>
      </c>
      <c r="AD90" s="8">
        <v>3.3870604147881</v>
      </c>
      <c r="AE90" s="8"/>
      <c r="AF90" s="203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</row>
    <row r="91" s="188" customFormat="1" ht="13" customHeight="1" spans="1:44">
      <c r="A91" s="216" t="s">
        <v>46</v>
      </c>
      <c r="B91" s="84">
        <f t="shared" si="72"/>
        <v>2</v>
      </c>
      <c r="C91" s="217">
        <f>C83+42</f>
        <v>45884</v>
      </c>
      <c r="D91" s="218">
        <f>D83+42</f>
        <v>45890</v>
      </c>
      <c r="E91" s="219">
        <v>1097</v>
      </c>
      <c r="F91" s="220">
        <f t="shared" si="71"/>
        <v>45904</v>
      </c>
      <c r="G91" s="219">
        <v>773</v>
      </c>
      <c r="H91" s="54">
        <f t="shared" si="60"/>
        <v>0.70464904284412</v>
      </c>
      <c r="I91" s="218">
        <f t="shared" si="68"/>
        <v>45921</v>
      </c>
      <c r="J91" s="219">
        <v>736</v>
      </c>
      <c r="K91" s="54">
        <f t="shared" si="53"/>
        <v>0.670920692798541</v>
      </c>
      <c r="L91" s="218">
        <f t="shared" si="67"/>
        <v>45924</v>
      </c>
      <c r="M91" s="219">
        <v>685</v>
      </c>
      <c r="N91" s="219">
        <v>5965</v>
      </c>
      <c r="O91" s="54">
        <f t="shared" si="54"/>
        <v>0.624430264357338</v>
      </c>
      <c r="P91" s="54">
        <f t="shared" si="58"/>
        <v>0.0802187784867818</v>
      </c>
      <c r="Q91" s="221">
        <f t="shared" si="59"/>
        <v>8.70802919708029</v>
      </c>
      <c r="R91" s="218">
        <f t="shared" si="65"/>
        <v>45956</v>
      </c>
      <c r="S91" s="203">
        <v>4673</v>
      </c>
      <c r="T91" s="84">
        <v>1000</v>
      </c>
      <c r="U91" s="54">
        <f t="shared" si="63"/>
        <v>0.783403185247276</v>
      </c>
      <c r="V91" s="218">
        <f t="shared" si="66"/>
        <v>45991</v>
      </c>
      <c r="W91" s="203">
        <v>4402</v>
      </c>
      <c r="X91" s="54">
        <f t="shared" si="61"/>
        <v>0.942007275839931</v>
      </c>
      <c r="Y91" s="8">
        <v>10948.5</v>
      </c>
      <c r="Z91" s="8">
        <v>12.6</v>
      </c>
      <c r="AA91" s="8">
        <f t="shared" si="69"/>
        <v>2.48716492503408</v>
      </c>
      <c r="AB91" s="8">
        <f t="shared" si="70"/>
        <v>4.01276207839562</v>
      </c>
      <c r="AC91" s="8">
        <v>3.98867424761383</v>
      </c>
      <c r="AD91" s="8">
        <v>3.45868855071309</v>
      </c>
      <c r="AE91" s="8"/>
      <c r="AF91" s="203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</row>
    <row r="92" s="188" customFormat="1" spans="1:44">
      <c r="A92" s="216" t="s">
        <v>50</v>
      </c>
      <c r="B92" s="84">
        <f t="shared" si="72"/>
        <v>6</v>
      </c>
      <c r="C92" s="217">
        <v>45891</v>
      </c>
      <c r="D92" s="218">
        <v>45897</v>
      </c>
      <c r="E92" s="219">
        <v>1302</v>
      </c>
      <c r="F92" s="220">
        <f t="shared" si="71"/>
        <v>45911</v>
      </c>
      <c r="G92" s="219">
        <v>977</v>
      </c>
      <c r="H92" s="54">
        <f t="shared" si="60"/>
        <v>0.750384024577573</v>
      </c>
      <c r="I92" s="218">
        <f t="shared" si="68"/>
        <v>45928</v>
      </c>
      <c r="J92" s="219">
        <v>865</v>
      </c>
      <c r="K92" s="54">
        <f t="shared" si="53"/>
        <v>0.664362519201229</v>
      </c>
      <c r="L92" s="218">
        <f t="shared" si="67"/>
        <v>45931</v>
      </c>
      <c r="M92" s="219">
        <v>872</v>
      </c>
      <c r="N92" s="219">
        <v>6650</v>
      </c>
      <c r="O92" s="54">
        <f t="shared" si="54"/>
        <v>0.66973886328725</v>
      </c>
      <c r="P92" s="54">
        <f t="shared" si="58"/>
        <v>0.0806451612903226</v>
      </c>
      <c r="Q92" s="221">
        <f t="shared" si="59"/>
        <v>7.62614678899083</v>
      </c>
      <c r="R92" s="218">
        <f t="shared" si="65"/>
        <v>45963</v>
      </c>
      <c r="S92" s="203">
        <v>5305</v>
      </c>
      <c r="T92" s="84">
        <v>1000</v>
      </c>
      <c r="U92" s="54">
        <f t="shared" si="63"/>
        <v>0.797744360902256</v>
      </c>
      <c r="V92" s="218">
        <f t="shared" si="66"/>
        <v>45998</v>
      </c>
      <c r="W92" s="248">
        <v>5173</v>
      </c>
      <c r="X92" s="54">
        <f t="shared" si="61"/>
        <v>0.9751178133836</v>
      </c>
      <c r="Y92" s="8">
        <v>13040.3</v>
      </c>
      <c r="Z92" s="8">
        <v>12.6</v>
      </c>
      <c r="AA92" s="8">
        <f t="shared" si="69"/>
        <v>2.52083897158322</v>
      </c>
      <c r="AB92" s="8">
        <f t="shared" ref="AB92:AB97" si="73">W92/E92</f>
        <v>3.97311827956989</v>
      </c>
      <c r="AC92" s="8">
        <v>3.7560485571651</v>
      </c>
      <c r="AD92" s="8">
        <v>3.25349361225758</v>
      </c>
      <c r="AE92" s="8"/>
      <c r="AF92" s="203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</row>
    <row r="93" s="188" customFormat="1" spans="1:44">
      <c r="A93" s="216" t="s">
        <v>32</v>
      </c>
      <c r="B93" s="84">
        <f t="shared" si="72"/>
        <v>18</v>
      </c>
      <c r="C93" s="217">
        <v>45895</v>
      </c>
      <c r="D93" s="218">
        <v>45901</v>
      </c>
      <c r="E93" s="219">
        <v>1369</v>
      </c>
      <c r="F93" s="220">
        <f t="shared" si="71"/>
        <v>45915</v>
      </c>
      <c r="G93" s="219">
        <v>1111</v>
      </c>
      <c r="H93" s="54">
        <f t="shared" si="60"/>
        <v>0.81154127100073</v>
      </c>
      <c r="I93" s="218">
        <f t="shared" si="68"/>
        <v>45932</v>
      </c>
      <c r="J93" s="219">
        <v>975</v>
      </c>
      <c r="K93" s="54">
        <f t="shared" si="53"/>
        <v>0.712198685171658</v>
      </c>
      <c r="L93" s="218">
        <f t="shared" si="67"/>
        <v>45935</v>
      </c>
      <c r="M93" s="219">
        <v>990</v>
      </c>
      <c r="N93" s="219">
        <v>7490</v>
      </c>
      <c r="O93" s="54">
        <f t="shared" si="54"/>
        <v>0.723155588020453</v>
      </c>
      <c r="P93" s="54">
        <f t="shared" si="58"/>
        <v>0.0883856829802772</v>
      </c>
      <c r="Q93" s="221">
        <f t="shared" ref="Q93:Q109" si="74">N93/M93</f>
        <v>7.56565656565657</v>
      </c>
      <c r="R93" s="218">
        <f t="shared" si="65"/>
        <v>45967</v>
      </c>
      <c r="S93" s="203">
        <v>6260</v>
      </c>
      <c r="T93" s="84">
        <v>950</v>
      </c>
      <c r="U93" s="54">
        <f t="shared" si="63"/>
        <v>0.835781041388518</v>
      </c>
      <c r="V93" s="218">
        <f t="shared" si="66"/>
        <v>46002</v>
      </c>
      <c r="W93" s="248">
        <v>6035</v>
      </c>
      <c r="X93" s="54">
        <f t="shared" si="61"/>
        <v>0.96405750798722</v>
      </c>
      <c r="Y93" s="8">
        <v>14802.4</v>
      </c>
      <c r="Z93" s="8">
        <v>12.4</v>
      </c>
      <c r="AA93" s="8">
        <f t="shared" si="69"/>
        <v>2.45275890637945</v>
      </c>
      <c r="AB93" s="8">
        <f t="shared" si="73"/>
        <v>4.40832724616508</v>
      </c>
      <c r="AC93" s="8">
        <v>3.54705993622656</v>
      </c>
      <c r="AD93" s="8">
        <v>3.36734693877551</v>
      </c>
      <c r="AE93" s="8"/>
      <c r="AF93" s="203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</row>
    <row r="94" s="188" customFormat="1" spans="1:44">
      <c r="A94" s="216" t="s">
        <v>30</v>
      </c>
      <c r="B94" s="84">
        <f t="shared" si="72"/>
        <v>19</v>
      </c>
      <c r="C94" s="217">
        <v>45902</v>
      </c>
      <c r="D94" s="218">
        <v>45908</v>
      </c>
      <c r="E94" s="219">
        <v>1341</v>
      </c>
      <c r="F94" s="220">
        <f t="shared" si="71"/>
        <v>45922</v>
      </c>
      <c r="G94" s="219">
        <v>1082</v>
      </c>
      <c r="H94" s="54">
        <f t="shared" si="60"/>
        <v>0.806860551826995</v>
      </c>
      <c r="I94" s="218">
        <f t="shared" si="68"/>
        <v>45939</v>
      </c>
      <c r="J94" s="219">
        <v>1035</v>
      </c>
      <c r="K94" s="54">
        <f t="shared" si="53"/>
        <v>0.771812080536913</v>
      </c>
      <c r="L94" s="218">
        <f t="shared" si="67"/>
        <v>45942</v>
      </c>
      <c r="M94" s="219">
        <v>1030</v>
      </c>
      <c r="N94" s="219">
        <v>8658</v>
      </c>
      <c r="O94" s="54">
        <f t="shared" si="54"/>
        <v>0.768083519761372</v>
      </c>
      <c r="P94" s="54">
        <f t="shared" si="58"/>
        <v>0.0387770320656229</v>
      </c>
      <c r="Q94" s="221">
        <f t="shared" si="74"/>
        <v>8.40582524271845</v>
      </c>
      <c r="R94" s="218">
        <f t="shared" si="65"/>
        <v>45974</v>
      </c>
      <c r="S94" s="203">
        <v>8254</v>
      </c>
      <c r="T94" s="84">
        <v>940</v>
      </c>
      <c r="U94" s="54">
        <f t="shared" si="63"/>
        <v>0.953337953337953</v>
      </c>
      <c r="V94" s="218">
        <f t="shared" si="66"/>
        <v>46009</v>
      </c>
      <c r="W94" s="203">
        <v>7992</v>
      </c>
      <c r="X94" s="54">
        <f t="shared" si="61"/>
        <v>0.968257814393022</v>
      </c>
      <c r="Y94" s="8">
        <v>20050.2</v>
      </c>
      <c r="Z94" s="8">
        <v>12.4</v>
      </c>
      <c r="AA94" s="8">
        <f t="shared" si="69"/>
        <v>2.50878378378378</v>
      </c>
      <c r="AB94" s="8">
        <f t="shared" si="73"/>
        <v>5.95973154362416</v>
      </c>
      <c r="AC94" s="8">
        <v>3.35856998932679</v>
      </c>
      <c r="AD94" s="8">
        <v>3.27989762225739</v>
      </c>
      <c r="AE94" s="8"/>
      <c r="AF94" s="203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</row>
    <row r="95" s="193" customFormat="1" spans="1:44">
      <c r="A95" s="227" t="s">
        <v>42</v>
      </c>
      <c r="B95" s="228">
        <f t="shared" si="72"/>
        <v>15</v>
      </c>
      <c r="C95" s="229">
        <v>45909</v>
      </c>
      <c r="D95" s="230">
        <v>45915</v>
      </c>
      <c r="E95" s="231">
        <v>1365</v>
      </c>
      <c r="F95" s="232">
        <f t="shared" si="71"/>
        <v>45929</v>
      </c>
      <c r="G95" s="231">
        <v>1097</v>
      </c>
      <c r="H95" s="233">
        <f t="shared" si="60"/>
        <v>0.803663003663004</v>
      </c>
      <c r="I95" s="230">
        <f t="shared" si="68"/>
        <v>45946</v>
      </c>
      <c r="J95" s="231">
        <v>1070</v>
      </c>
      <c r="K95" s="233">
        <f t="shared" si="53"/>
        <v>0.783882783882784</v>
      </c>
      <c r="L95" s="230">
        <f t="shared" si="67"/>
        <v>45949</v>
      </c>
      <c r="M95" s="231">
        <v>1070</v>
      </c>
      <c r="N95" s="231">
        <v>8537</v>
      </c>
      <c r="O95" s="233">
        <f t="shared" si="54"/>
        <v>0.783882783882784</v>
      </c>
      <c r="P95" s="233">
        <f t="shared" si="58"/>
        <v>0.0197802197802202</v>
      </c>
      <c r="Q95" s="234">
        <f t="shared" si="74"/>
        <v>7.9785046728972</v>
      </c>
      <c r="R95" s="230">
        <f t="shared" si="65"/>
        <v>45981</v>
      </c>
      <c r="S95" s="235">
        <v>7850</v>
      </c>
      <c r="T95" s="228">
        <v>950</v>
      </c>
      <c r="U95" s="233">
        <f t="shared" si="63"/>
        <v>0.919526765842802</v>
      </c>
      <c r="V95" s="230">
        <f t="shared" si="66"/>
        <v>46016</v>
      </c>
      <c r="W95" s="235">
        <v>7269</v>
      </c>
      <c r="X95" s="233">
        <f t="shared" si="61"/>
        <v>0.925987261146497</v>
      </c>
      <c r="Y95" s="236">
        <v>17976.6</v>
      </c>
      <c r="Z95" s="236">
        <v>12</v>
      </c>
      <c r="AA95" s="249">
        <f>Y95/W95</f>
        <v>2.47304993809327</v>
      </c>
      <c r="AB95" s="236">
        <f>W95/E95</f>
        <v>5.32527472527473</v>
      </c>
      <c r="AC95" s="236">
        <v>3.55601170410422</v>
      </c>
      <c r="AD95" s="236">
        <v>3.3792190863666</v>
      </c>
      <c r="AE95" s="236"/>
      <c r="AF95" s="235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</row>
    <row r="96" s="188" customFormat="1" spans="1:44">
      <c r="A96" s="216" t="s">
        <v>58</v>
      </c>
      <c r="B96" s="84">
        <v>1</v>
      </c>
      <c r="C96" s="217">
        <f>D96-6</f>
        <v>45912</v>
      </c>
      <c r="D96" s="218">
        <v>45918</v>
      </c>
      <c r="E96" s="219">
        <v>1141</v>
      </c>
      <c r="F96" s="220">
        <f t="shared" si="71"/>
        <v>45932</v>
      </c>
      <c r="G96" s="219">
        <v>1020</v>
      </c>
      <c r="H96" s="54">
        <f t="shared" si="60"/>
        <v>0.893952673093777</v>
      </c>
      <c r="I96" s="218">
        <f t="shared" si="68"/>
        <v>45949</v>
      </c>
      <c r="J96" s="219">
        <v>956</v>
      </c>
      <c r="K96" s="54">
        <f t="shared" si="53"/>
        <v>0.837861524978089</v>
      </c>
      <c r="L96" s="218">
        <f t="shared" si="67"/>
        <v>45952</v>
      </c>
      <c r="M96" s="219">
        <v>954</v>
      </c>
      <c r="N96" s="219">
        <v>7688</v>
      </c>
      <c r="O96" s="54">
        <f t="shared" si="54"/>
        <v>0.836108676599474</v>
      </c>
      <c r="P96" s="54">
        <f t="shared" si="58"/>
        <v>0.0578439964943028</v>
      </c>
      <c r="Q96" s="221">
        <f t="shared" si="74"/>
        <v>8.05870020964361</v>
      </c>
      <c r="R96" s="218">
        <f t="shared" si="65"/>
        <v>45984</v>
      </c>
      <c r="S96" s="203">
        <v>7283</v>
      </c>
      <c r="T96" s="84">
        <v>990</v>
      </c>
      <c r="U96" s="54">
        <f t="shared" si="63"/>
        <v>0.947320499479709</v>
      </c>
      <c r="V96" s="218">
        <f t="shared" si="66"/>
        <v>46019</v>
      </c>
      <c r="W96" s="203">
        <v>7154</v>
      </c>
      <c r="X96" s="54">
        <f>W96/S96</f>
        <v>0.982287518879583</v>
      </c>
      <c r="Y96" s="8">
        <v>17966</v>
      </c>
      <c r="Z96" s="8">
        <v>11.8</v>
      </c>
      <c r="AA96" s="8">
        <f>Y96/W96</f>
        <v>2.51132233715404</v>
      </c>
      <c r="AB96" s="8">
        <f>W96/E96</f>
        <v>6.26993865030675</v>
      </c>
      <c r="AC96" s="8">
        <v>3.30067906044751</v>
      </c>
      <c r="AD96" s="8">
        <v>3.54456387400526</v>
      </c>
      <c r="AE96" s="8"/>
      <c r="AF96" s="203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</row>
    <row r="97" s="188" customFormat="1" spans="1:44">
      <c r="A97" s="216" t="s">
        <v>37</v>
      </c>
      <c r="B97" s="84">
        <f t="shared" ref="B97:B111" si="75">B88+1</f>
        <v>18</v>
      </c>
      <c r="C97" s="217">
        <v>45916</v>
      </c>
      <c r="D97" s="218">
        <v>45922</v>
      </c>
      <c r="E97" s="219">
        <v>1369</v>
      </c>
      <c r="F97" s="220">
        <f t="shared" si="71"/>
        <v>45936</v>
      </c>
      <c r="G97" s="219">
        <v>1190</v>
      </c>
      <c r="H97" s="54">
        <f t="shared" si="60"/>
        <v>0.869247626004383</v>
      </c>
      <c r="I97" s="218">
        <f t="shared" si="68"/>
        <v>45953</v>
      </c>
      <c r="J97" s="219">
        <v>1100</v>
      </c>
      <c r="K97" s="54">
        <f t="shared" si="53"/>
        <v>0.803506208911614</v>
      </c>
      <c r="L97" s="218">
        <f t="shared" si="67"/>
        <v>45956</v>
      </c>
      <c r="M97" s="219">
        <v>1096</v>
      </c>
      <c r="N97" s="219">
        <v>9590</v>
      </c>
      <c r="O97" s="54">
        <f t="shared" si="54"/>
        <v>0.800584368151936</v>
      </c>
      <c r="P97" s="54">
        <f t="shared" si="58"/>
        <v>0.0686632578524473</v>
      </c>
      <c r="Q97" s="221">
        <f t="shared" si="74"/>
        <v>8.75</v>
      </c>
      <c r="R97" s="218">
        <f t="shared" si="65"/>
        <v>45988</v>
      </c>
      <c r="S97" s="203">
        <v>9343</v>
      </c>
      <c r="T97" s="84">
        <v>913</v>
      </c>
      <c r="U97" s="54">
        <f t="shared" si="63"/>
        <v>0.974244004171011</v>
      </c>
      <c r="V97" s="218">
        <f t="shared" si="66"/>
        <v>46023</v>
      </c>
      <c r="W97" s="203"/>
      <c r="X97" s="54"/>
      <c r="Y97" s="84"/>
      <c r="Z97" s="8"/>
      <c r="AA97" s="8"/>
      <c r="AB97" s="8"/>
      <c r="AC97" s="8"/>
      <c r="AD97" s="203"/>
      <c r="AE97" s="8"/>
      <c r="AF97" s="203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</row>
    <row r="98" s="188" customFormat="1" spans="1:44">
      <c r="A98" s="216" t="s">
        <v>54</v>
      </c>
      <c r="B98" s="84">
        <f t="shared" si="75"/>
        <v>2</v>
      </c>
      <c r="C98" s="217">
        <f>C89+42</f>
        <v>45919</v>
      </c>
      <c r="D98" s="218">
        <f>D89+42</f>
        <v>45925</v>
      </c>
      <c r="E98" s="219">
        <v>1368</v>
      </c>
      <c r="F98" s="220">
        <f t="shared" si="71"/>
        <v>45939</v>
      </c>
      <c r="G98" s="219">
        <v>1056</v>
      </c>
      <c r="H98" s="54">
        <f t="shared" si="60"/>
        <v>0.771929824561403</v>
      </c>
      <c r="I98" s="218">
        <f t="shared" si="68"/>
        <v>45956</v>
      </c>
      <c r="J98" s="219">
        <v>979</v>
      </c>
      <c r="K98" s="54">
        <f t="shared" si="53"/>
        <v>0.715643274853801</v>
      </c>
      <c r="L98" s="218">
        <f t="shared" si="67"/>
        <v>45959</v>
      </c>
      <c r="M98" s="219">
        <v>987</v>
      </c>
      <c r="N98" s="219">
        <v>8389</v>
      </c>
      <c r="O98" s="54">
        <f t="shared" si="54"/>
        <v>0.721491228070175</v>
      </c>
      <c r="P98" s="54">
        <f t="shared" si="58"/>
        <v>0.0504385964912276</v>
      </c>
      <c r="Q98" s="221">
        <f t="shared" si="74"/>
        <v>8.49949341438703</v>
      </c>
      <c r="R98" s="218">
        <f t="shared" si="65"/>
        <v>45991</v>
      </c>
      <c r="S98" s="203">
        <v>8121</v>
      </c>
      <c r="T98" s="84">
        <v>992</v>
      </c>
      <c r="U98" s="54">
        <f t="shared" si="63"/>
        <v>0.968053403266182</v>
      </c>
      <c r="V98" s="218">
        <f t="shared" si="66"/>
        <v>46026</v>
      </c>
      <c r="W98" s="203"/>
      <c r="X98" s="203"/>
      <c r="Y98" s="84"/>
      <c r="Z98" s="8"/>
      <c r="AA98" s="8"/>
      <c r="AB98" s="8"/>
      <c r="AC98" s="8"/>
      <c r="AD98" s="203"/>
      <c r="AE98" s="8"/>
      <c r="AF98" s="203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</row>
    <row r="99" s="188" customFormat="1" spans="1:44">
      <c r="A99" s="216" t="s">
        <v>40</v>
      </c>
      <c r="B99" s="84">
        <f t="shared" si="75"/>
        <v>17</v>
      </c>
      <c r="C99" s="217">
        <v>45923</v>
      </c>
      <c r="D99" s="218">
        <v>45929</v>
      </c>
      <c r="E99" s="219">
        <v>1296</v>
      </c>
      <c r="F99" s="220">
        <f t="shared" si="71"/>
        <v>45943</v>
      </c>
      <c r="G99" s="219">
        <v>1096</v>
      </c>
      <c r="H99" s="54">
        <f t="shared" si="60"/>
        <v>0.845679012345679</v>
      </c>
      <c r="I99" s="218">
        <f t="shared" si="68"/>
        <v>45960</v>
      </c>
      <c r="J99" s="219">
        <v>1032</v>
      </c>
      <c r="K99" s="54">
        <f t="shared" si="53"/>
        <v>0.796296296296296</v>
      </c>
      <c r="L99" s="218">
        <f t="shared" si="67"/>
        <v>45963</v>
      </c>
      <c r="M99" s="219">
        <v>1031</v>
      </c>
      <c r="N99" s="219">
        <v>9180</v>
      </c>
      <c r="O99" s="54">
        <f t="shared" si="54"/>
        <v>0.795524691358025</v>
      </c>
      <c r="P99" s="54">
        <f t="shared" si="58"/>
        <v>0.0501543209876543</v>
      </c>
      <c r="Q99" s="221">
        <f t="shared" si="74"/>
        <v>8.90397672162949</v>
      </c>
      <c r="R99" s="218">
        <f t="shared" si="65"/>
        <v>45995</v>
      </c>
      <c r="S99" s="203">
        <v>8953</v>
      </c>
      <c r="T99" s="84">
        <v>950</v>
      </c>
      <c r="U99" s="54">
        <f t="shared" si="63"/>
        <v>0.975272331154684</v>
      </c>
      <c r="V99" s="218">
        <f t="shared" si="66"/>
        <v>46030</v>
      </c>
      <c r="W99" s="203"/>
      <c r="X99" s="203"/>
      <c r="Y99" s="84"/>
      <c r="Z99" s="8"/>
      <c r="AA99" s="8"/>
      <c r="AB99" s="8"/>
      <c r="AC99" s="8"/>
      <c r="AD99" s="203"/>
      <c r="AE99" s="8"/>
      <c r="AF99" s="203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</row>
    <row r="100" s="188" customFormat="1" ht="12" customHeight="1" spans="1:44">
      <c r="A100" s="216" t="s">
        <v>46</v>
      </c>
      <c r="B100" s="84">
        <f t="shared" si="75"/>
        <v>3</v>
      </c>
      <c r="C100" s="217">
        <f>C91+42</f>
        <v>45926</v>
      </c>
      <c r="D100" s="218">
        <f>D91+42</f>
        <v>45932</v>
      </c>
      <c r="E100" s="219">
        <v>1343</v>
      </c>
      <c r="F100" s="220">
        <f t="shared" si="71"/>
        <v>45946</v>
      </c>
      <c r="G100" s="219">
        <v>1068</v>
      </c>
      <c r="H100" s="54">
        <f t="shared" si="60"/>
        <v>0.795234549516009</v>
      </c>
      <c r="I100" s="218">
        <f t="shared" si="68"/>
        <v>45963</v>
      </c>
      <c r="J100" s="219">
        <v>1047</v>
      </c>
      <c r="K100" s="54">
        <f t="shared" si="53"/>
        <v>0.779597915115413</v>
      </c>
      <c r="L100" s="218">
        <f t="shared" si="67"/>
        <v>45966</v>
      </c>
      <c r="M100" s="219">
        <v>1047</v>
      </c>
      <c r="N100" s="219">
        <v>9464</v>
      </c>
      <c r="O100" s="54">
        <f t="shared" si="54"/>
        <v>0.779597915115413</v>
      </c>
      <c r="P100" s="54">
        <f t="shared" si="58"/>
        <v>0.0156366344005958</v>
      </c>
      <c r="Q100" s="221">
        <f t="shared" si="74"/>
        <v>9.03915950334289</v>
      </c>
      <c r="R100" s="218">
        <f t="shared" si="65"/>
        <v>45998</v>
      </c>
      <c r="S100" s="203">
        <v>9134</v>
      </c>
      <c r="T100" s="84">
        <v>970</v>
      </c>
      <c r="U100" s="54">
        <f t="shared" si="63"/>
        <v>0.965131022823331</v>
      </c>
      <c r="V100" s="218">
        <f t="shared" si="66"/>
        <v>46033</v>
      </c>
      <c r="W100" s="203"/>
      <c r="X100" s="203"/>
      <c r="Y100" s="84"/>
      <c r="Z100" s="8"/>
      <c r="AA100" s="8"/>
      <c r="AB100" s="8"/>
      <c r="AC100" s="8"/>
      <c r="AD100" s="203"/>
      <c r="AE100" s="8"/>
      <c r="AF100" s="203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</row>
    <row r="101" s="188" customFormat="1" spans="1:44">
      <c r="A101" s="216" t="s">
        <v>50</v>
      </c>
      <c r="B101" s="84">
        <f t="shared" si="75"/>
        <v>7</v>
      </c>
      <c r="C101" s="217">
        <f>C92+42</f>
        <v>45933</v>
      </c>
      <c r="D101" s="218">
        <f>D92+42</f>
        <v>45939</v>
      </c>
      <c r="E101" s="219">
        <v>1360</v>
      </c>
      <c r="F101" s="220">
        <f t="shared" si="71"/>
        <v>45953</v>
      </c>
      <c r="G101" s="219">
        <v>1182</v>
      </c>
      <c r="H101" s="54">
        <f t="shared" si="60"/>
        <v>0.869117647058824</v>
      </c>
      <c r="I101" s="218">
        <f t="shared" si="68"/>
        <v>45970</v>
      </c>
      <c r="J101" s="219">
        <v>1106</v>
      </c>
      <c r="K101" s="54">
        <f t="shared" si="53"/>
        <v>0.813235294117647</v>
      </c>
      <c r="L101" s="218">
        <f t="shared" si="67"/>
        <v>45973</v>
      </c>
      <c r="M101" s="219">
        <v>1106</v>
      </c>
      <c r="N101" s="219">
        <v>9900</v>
      </c>
      <c r="O101" s="54">
        <f t="shared" si="54"/>
        <v>0.813235294117647</v>
      </c>
      <c r="P101" s="54">
        <f t="shared" si="58"/>
        <v>0.0558823529411769</v>
      </c>
      <c r="Q101" s="221">
        <f t="shared" si="74"/>
        <v>8.95117540687161</v>
      </c>
      <c r="R101" s="218">
        <f t="shared" si="65"/>
        <v>46005</v>
      </c>
      <c r="S101" s="203">
        <v>9561</v>
      </c>
      <c r="T101" s="84">
        <v>1000</v>
      </c>
      <c r="U101" s="54">
        <f t="shared" si="63"/>
        <v>0.965757575757576</v>
      </c>
      <c r="V101" s="218">
        <f t="shared" si="66"/>
        <v>46040</v>
      </c>
      <c r="W101" s="203"/>
      <c r="X101" s="203"/>
      <c r="Y101" s="84"/>
      <c r="Z101" s="8"/>
      <c r="AA101" s="8"/>
      <c r="AB101" s="8"/>
      <c r="AC101" s="8"/>
      <c r="AD101" s="203"/>
      <c r="AE101" s="8"/>
      <c r="AF101" s="203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</row>
    <row r="102" s="188" customFormat="1" spans="1:44">
      <c r="A102" s="216" t="s">
        <v>32</v>
      </c>
      <c r="B102" s="84">
        <f t="shared" si="75"/>
        <v>19</v>
      </c>
      <c r="C102" s="217">
        <v>45937</v>
      </c>
      <c r="D102" s="218">
        <v>45943</v>
      </c>
      <c r="E102" s="219">
        <v>1426</v>
      </c>
      <c r="F102" s="220">
        <f t="shared" si="71"/>
        <v>45957</v>
      </c>
      <c r="G102" s="219">
        <v>1130</v>
      </c>
      <c r="H102" s="54">
        <f t="shared" si="60"/>
        <v>0.792426367461431</v>
      </c>
      <c r="I102" s="218">
        <f t="shared" si="68"/>
        <v>45974</v>
      </c>
      <c r="J102" s="219">
        <v>1088</v>
      </c>
      <c r="K102" s="54">
        <f t="shared" si="53"/>
        <v>0.762973352033661</v>
      </c>
      <c r="L102" s="218">
        <f t="shared" si="67"/>
        <v>45977</v>
      </c>
      <c r="M102" s="219">
        <v>1102</v>
      </c>
      <c r="N102" s="219">
        <v>9580</v>
      </c>
      <c r="O102" s="54">
        <f t="shared" si="54"/>
        <v>0.772791023842917</v>
      </c>
      <c r="P102" s="54">
        <f t="shared" si="58"/>
        <v>0.0196353436185138</v>
      </c>
      <c r="Q102" s="221">
        <f t="shared" si="74"/>
        <v>8.69328493647913</v>
      </c>
      <c r="R102" s="218">
        <f t="shared" si="65"/>
        <v>46009</v>
      </c>
      <c r="S102" s="203">
        <v>9430</v>
      </c>
      <c r="T102" s="84">
        <v>1000</v>
      </c>
      <c r="U102" s="54">
        <f t="shared" si="63"/>
        <v>0.984342379958246</v>
      </c>
      <c r="V102" s="218">
        <f t="shared" si="66"/>
        <v>46044</v>
      </c>
      <c r="W102" s="203"/>
      <c r="X102" s="203"/>
      <c r="Y102" s="84"/>
      <c r="Z102" s="8"/>
      <c r="AA102" s="8"/>
      <c r="AB102" s="8"/>
      <c r="AC102" s="8"/>
      <c r="AD102" s="203"/>
      <c r="AE102" s="8"/>
      <c r="AF102" s="203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</row>
    <row r="103" s="188" customFormat="1" spans="1:44">
      <c r="A103" s="216" t="s">
        <v>30</v>
      </c>
      <c r="B103" s="84">
        <f t="shared" si="75"/>
        <v>20</v>
      </c>
      <c r="C103" s="217">
        <v>45944</v>
      </c>
      <c r="D103" s="218">
        <v>45950</v>
      </c>
      <c r="E103" s="219">
        <v>1317</v>
      </c>
      <c r="F103" s="220">
        <f t="shared" si="71"/>
        <v>45964</v>
      </c>
      <c r="G103" s="219">
        <v>1098</v>
      </c>
      <c r="H103" s="54">
        <f t="shared" si="60"/>
        <v>0.83371298405467</v>
      </c>
      <c r="I103" s="218">
        <f t="shared" si="68"/>
        <v>45981</v>
      </c>
      <c r="J103" s="219">
        <v>1072</v>
      </c>
      <c r="K103" s="54">
        <f t="shared" si="53"/>
        <v>0.813971146545178</v>
      </c>
      <c r="L103" s="218">
        <f t="shared" si="67"/>
        <v>45984</v>
      </c>
      <c r="M103" s="219">
        <v>1068</v>
      </c>
      <c r="N103" s="219">
        <v>10248</v>
      </c>
      <c r="O103" s="54">
        <f t="shared" si="54"/>
        <v>0.810933940774487</v>
      </c>
      <c r="P103" s="54">
        <f t="shared" si="58"/>
        <v>0.0227790432801825</v>
      </c>
      <c r="Q103" s="221">
        <f t="shared" si="74"/>
        <v>9.59550561797753</v>
      </c>
      <c r="R103" s="218">
        <f t="shared" si="65"/>
        <v>46016</v>
      </c>
      <c r="S103" s="203">
        <v>9938</v>
      </c>
      <c r="T103" s="84">
        <v>945</v>
      </c>
      <c r="U103" s="54">
        <f>S103/N103</f>
        <v>0.969750195160031</v>
      </c>
      <c r="V103" s="218">
        <f t="shared" si="66"/>
        <v>46051</v>
      </c>
      <c r="W103" s="203"/>
      <c r="X103" s="203"/>
      <c r="Y103" s="84"/>
      <c r="Z103" s="8"/>
      <c r="AA103" s="8"/>
      <c r="AB103" s="8"/>
      <c r="AC103" s="8"/>
      <c r="AD103" s="203"/>
      <c r="AE103" s="8"/>
      <c r="AF103" s="203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</row>
    <row r="104" s="188" customFormat="1" spans="1:44">
      <c r="A104" s="216" t="s">
        <v>42</v>
      </c>
      <c r="B104" s="84">
        <f t="shared" si="75"/>
        <v>16</v>
      </c>
      <c r="C104" s="217">
        <v>45951</v>
      </c>
      <c r="D104" s="218">
        <v>45957</v>
      </c>
      <c r="E104" s="219">
        <v>1380</v>
      </c>
      <c r="F104" s="220">
        <f t="shared" si="71"/>
        <v>45971</v>
      </c>
      <c r="G104" s="219">
        <v>1138</v>
      </c>
      <c r="H104" s="54">
        <f t="shared" si="60"/>
        <v>0.82463768115942</v>
      </c>
      <c r="I104" s="218">
        <f t="shared" si="68"/>
        <v>45988</v>
      </c>
      <c r="J104" s="219">
        <v>1134</v>
      </c>
      <c r="K104" s="54">
        <f t="shared" si="53"/>
        <v>0.821739130434783</v>
      </c>
      <c r="L104" s="218">
        <f t="shared" si="67"/>
        <v>45991</v>
      </c>
      <c r="M104" s="219">
        <v>1128</v>
      </c>
      <c r="N104" s="219">
        <v>10763</v>
      </c>
      <c r="O104" s="54">
        <f t="shared" si="54"/>
        <v>0.817391304347826</v>
      </c>
      <c r="P104" s="54">
        <f t="shared" si="58"/>
        <v>0.0072463768115939</v>
      </c>
      <c r="Q104" s="221">
        <f t="shared" si="74"/>
        <v>9.54166666666667</v>
      </c>
      <c r="R104" s="218">
        <f t="shared" si="65"/>
        <v>46023</v>
      </c>
      <c r="S104" s="203"/>
      <c r="T104" s="84"/>
      <c r="U104" s="54"/>
      <c r="V104" s="218">
        <f t="shared" si="66"/>
        <v>46058</v>
      </c>
      <c r="W104" s="203"/>
      <c r="X104" s="203"/>
      <c r="Y104" s="84"/>
      <c r="Z104" s="8"/>
      <c r="AA104" s="8"/>
      <c r="AB104" s="8"/>
      <c r="AC104" s="8"/>
      <c r="AD104" s="203"/>
      <c r="AE104" s="8"/>
      <c r="AF104" s="203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</row>
    <row r="105" s="188" customFormat="1" spans="1:44">
      <c r="A105" s="216" t="s">
        <v>58</v>
      </c>
      <c r="B105" s="84">
        <f t="shared" si="75"/>
        <v>2</v>
      </c>
      <c r="C105" s="217">
        <f>C96+42</f>
        <v>45954</v>
      </c>
      <c r="D105" s="218">
        <f>D96+42</f>
        <v>45960</v>
      </c>
      <c r="E105" s="219">
        <v>1371</v>
      </c>
      <c r="F105" s="220">
        <f t="shared" si="71"/>
        <v>45974</v>
      </c>
      <c r="G105" s="219">
        <v>1165</v>
      </c>
      <c r="H105" s="54">
        <f t="shared" si="60"/>
        <v>0.849744711889132</v>
      </c>
      <c r="I105" s="218">
        <f t="shared" si="68"/>
        <v>45991</v>
      </c>
      <c r="J105" s="219">
        <v>1074</v>
      </c>
      <c r="K105" s="54">
        <f t="shared" si="53"/>
        <v>0.783369803063457</v>
      </c>
      <c r="L105" s="218">
        <f t="shared" si="67"/>
        <v>45994</v>
      </c>
      <c r="M105" s="219">
        <v>1076</v>
      </c>
      <c r="N105" s="219">
        <v>9715</v>
      </c>
      <c r="O105" s="54">
        <f t="shared" si="54"/>
        <v>0.784828592268417</v>
      </c>
      <c r="P105" s="54">
        <f t="shared" si="58"/>
        <v>0.0649161196207149</v>
      </c>
      <c r="Q105" s="221">
        <f t="shared" si="74"/>
        <v>9.02881040892193</v>
      </c>
      <c r="R105" s="218">
        <f t="shared" si="65"/>
        <v>46026</v>
      </c>
      <c r="S105" s="203"/>
      <c r="T105" s="84"/>
      <c r="U105" s="54"/>
      <c r="V105" s="218">
        <f t="shared" si="66"/>
        <v>46061</v>
      </c>
      <c r="W105" s="203"/>
      <c r="X105" s="203"/>
      <c r="Y105" s="84"/>
      <c r="Z105" s="8"/>
      <c r="AA105" s="8"/>
      <c r="AB105" s="8"/>
      <c r="AC105" s="8"/>
      <c r="AD105" s="203"/>
      <c r="AE105" s="8"/>
      <c r="AF105" s="203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</row>
    <row r="106" s="188" customFormat="1" spans="1:44">
      <c r="A106" s="216" t="s">
        <v>37</v>
      </c>
      <c r="B106" s="84">
        <f t="shared" si="75"/>
        <v>19</v>
      </c>
      <c r="C106" s="217">
        <v>45958</v>
      </c>
      <c r="D106" s="218">
        <v>45964</v>
      </c>
      <c r="E106" s="219">
        <v>1382</v>
      </c>
      <c r="F106" s="220">
        <f t="shared" si="71"/>
        <v>45978</v>
      </c>
      <c r="G106" s="219">
        <v>1191</v>
      </c>
      <c r="H106" s="54">
        <f t="shared" si="60"/>
        <v>0.861794500723589</v>
      </c>
      <c r="I106" s="218">
        <f t="shared" si="68"/>
        <v>45995</v>
      </c>
      <c r="J106" s="219">
        <v>1110</v>
      </c>
      <c r="K106" s="54">
        <f t="shared" si="53"/>
        <v>0.803183791606368</v>
      </c>
      <c r="L106" s="218">
        <f t="shared" si="67"/>
        <v>45998</v>
      </c>
      <c r="M106" s="219">
        <v>1118</v>
      </c>
      <c r="N106" s="219">
        <v>10539</v>
      </c>
      <c r="O106" s="54">
        <f t="shared" si="54"/>
        <v>0.808972503617945</v>
      </c>
      <c r="P106" s="54">
        <f t="shared" si="58"/>
        <v>0.0528219971056439</v>
      </c>
      <c r="Q106" s="221">
        <f t="shared" si="74"/>
        <v>9.42665474060823</v>
      </c>
      <c r="R106" s="218">
        <f t="shared" si="65"/>
        <v>46030</v>
      </c>
      <c r="S106" s="203"/>
      <c r="T106" s="84"/>
      <c r="U106" s="54"/>
      <c r="V106" s="218">
        <f t="shared" si="66"/>
        <v>46065</v>
      </c>
      <c r="W106" s="203"/>
      <c r="X106" s="203"/>
      <c r="Y106" s="84"/>
      <c r="Z106" s="8"/>
      <c r="AA106" s="8"/>
      <c r="AB106" s="8"/>
      <c r="AC106" s="8"/>
      <c r="AD106" s="203"/>
      <c r="AE106" s="8"/>
      <c r="AF106" s="203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</row>
    <row r="107" s="188" customFormat="1" spans="1:44">
      <c r="A107" s="216" t="s">
        <v>54</v>
      </c>
      <c r="B107" s="84">
        <f t="shared" si="75"/>
        <v>3</v>
      </c>
      <c r="C107" s="217">
        <f>C98+42</f>
        <v>45961</v>
      </c>
      <c r="D107" s="218">
        <f>D98+42</f>
        <v>45967</v>
      </c>
      <c r="E107" s="219">
        <v>1361</v>
      </c>
      <c r="F107" s="220">
        <f t="shared" si="71"/>
        <v>45981</v>
      </c>
      <c r="G107" s="219">
        <v>1119</v>
      </c>
      <c r="H107" s="54">
        <f t="shared" si="60"/>
        <v>0.822189566495224</v>
      </c>
      <c r="I107" s="218">
        <f t="shared" si="68"/>
        <v>45998</v>
      </c>
      <c r="J107" s="219">
        <v>1028</v>
      </c>
      <c r="K107" s="54">
        <f t="shared" si="53"/>
        <v>0.755326965466569</v>
      </c>
      <c r="L107" s="218">
        <f t="shared" si="67"/>
        <v>46001</v>
      </c>
      <c r="M107" s="219">
        <v>1039</v>
      </c>
      <c r="N107" s="219">
        <v>10000</v>
      </c>
      <c r="O107" s="54">
        <f t="shared" si="54"/>
        <v>0.763409257898604</v>
      </c>
      <c r="P107" s="54">
        <f t="shared" si="58"/>
        <v>0.0587803085966201</v>
      </c>
      <c r="Q107" s="221">
        <f t="shared" si="74"/>
        <v>9.62463907603465</v>
      </c>
      <c r="R107" s="218">
        <f t="shared" si="65"/>
        <v>46033</v>
      </c>
      <c r="S107" s="203"/>
      <c r="T107" s="84"/>
      <c r="U107" s="54"/>
      <c r="V107" s="218">
        <f t="shared" si="66"/>
        <v>46068</v>
      </c>
      <c r="W107" s="203"/>
      <c r="X107" s="203"/>
      <c r="Y107" s="84"/>
      <c r="Z107" s="8"/>
      <c r="AA107" s="8"/>
      <c r="AB107" s="8"/>
      <c r="AC107" s="8"/>
      <c r="AD107" s="203"/>
      <c r="AE107" s="8"/>
      <c r="AF107" s="203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</row>
    <row r="108" s="188" customFormat="1" spans="1:44">
      <c r="A108" s="216" t="s">
        <v>40</v>
      </c>
      <c r="B108" s="84">
        <f t="shared" si="75"/>
        <v>18</v>
      </c>
      <c r="C108" s="217">
        <f>C99+42</f>
        <v>45965</v>
      </c>
      <c r="D108" s="218">
        <v>45971</v>
      </c>
      <c r="E108" s="219">
        <v>1356</v>
      </c>
      <c r="F108" s="220">
        <f t="shared" si="71"/>
        <v>45985</v>
      </c>
      <c r="G108" s="219">
        <v>1178</v>
      </c>
      <c r="H108" s="54">
        <f t="shared" si="60"/>
        <v>0.868731563421829</v>
      </c>
      <c r="I108" s="218">
        <f t="shared" si="68"/>
        <v>46002</v>
      </c>
      <c r="J108" s="219">
        <v>1118</v>
      </c>
      <c r="K108" s="54">
        <f t="shared" si="53"/>
        <v>0.824483775811209</v>
      </c>
      <c r="L108" s="218">
        <f t="shared" si="67"/>
        <v>46005</v>
      </c>
      <c r="M108" s="219">
        <v>1113</v>
      </c>
      <c r="N108" s="219">
        <v>10270</v>
      </c>
      <c r="O108" s="54">
        <f t="shared" si="54"/>
        <v>0.820796460176991</v>
      </c>
      <c r="P108" s="54">
        <f t="shared" si="58"/>
        <v>0.0479351032448379</v>
      </c>
      <c r="Q108" s="221">
        <f t="shared" si="74"/>
        <v>9.22731356693621</v>
      </c>
      <c r="R108" s="218">
        <f t="shared" si="65"/>
        <v>46037</v>
      </c>
      <c r="S108" s="203"/>
      <c r="T108" s="84"/>
      <c r="U108" s="54"/>
      <c r="V108" s="218">
        <f t="shared" si="66"/>
        <v>46072</v>
      </c>
      <c r="W108" s="203"/>
      <c r="X108" s="203"/>
      <c r="Y108" s="84"/>
      <c r="Z108" s="8"/>
      <c r="AA108" s="8"/>
      <c r="AB108" s="8"/>
      <c r="AC108" s="8"/>
      <c r="AD108" s="203"/>
      <c r="AE108" s="8"/>
      <c r="AF108" s="203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</row>
    <row r="109" s="188" customFormat="1" spans="1:44">
      <c r="A109" s="216" t="s">
        <v>46</v>
      </c>
      <c r="B109" s="84">
        <f t="shared" si="75"/>
        <v>4</v>
      </c>
      <c r="C109" s="217">
        <f>D109-6</f>
        <v>45968</v>
      </c>
      <c r="D109" s="218">
        <f>D100+42</f>
        <v>45974</v>
      </c>
      <c r="E109" s="219">
        <v>1360</v>
      </c>
      <c r="F109" s="220">
        <f t="shared" si="71"/>
        <v>45988</v>
      </c>
      <c r="G109" s="219">
        <v>1133</v>
      </c>
      <c r="H109" s="54">
        <f t="shared" si="60"/>
        <v>0.833088235294118</v>
      </c>
      <c r="I109" s="218">
        <f t="shared" si="68"/>
        <v>46005</v>
      </c>
      <c r="J109" s="219">
        <v>1074</v>
      </c>
      <c r="K109" s="54">
        <f t="shared" si="53"/>
        <v>0.789705882352941</v>
      </c>
      <c r="L109" s="218">
        <f t="shared" si="67"/>
        <v>46008</v>
      </c>
      <c r="M109" s="219">
        <v>1068</v>
      </c>
      <c r="N109" s="219">
        <v>10318</v>
      </c>
      <c r="O109" s="54">
        <f t="shared" si="54"/>
        <v>0.785294117647059</v>
      </c>
      <c r="P109" s="54">
        <f t="shared" si="58"/>
        <v>0.0477941176470592</v>
      </c>
      <c r="Q109" s="221">
        <f t="shared" si="74"/>
        <v>9.66104868913858</v>
      </c>
      <c r="R109" s="218">
        <f t="shared" si="65"/>
        <v>46040</v>
      </c>
      <c r="S109" s="203"/>
      <c r="T109" s="84"/>
      <c r="U109" s="54"/>
      <c r="V109" s="218">
        <f t="shared" si="66"/>
        <v>46075</v>
      </c>
      <c r="W109" s="203"/>
      <c r="X109" s="203"/>
      <c r="Y109" s="84"/>
      <c r="Z109" s="8"/>
      <c r="AA109" s="8"/>
      <c r="AB109" s="8"/>
      <c r="AC109" s="8"/>
      <c r="AD109" s="203"/>
      <c r="AE109" s="8"/>
      <c r="AF109" s="203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</row>
    <row r="110" s="188" customFormat="1" spans="1:44">
      <c r="A110" s="216" t="s">
        <v>50</v>
      </c>
      <c r="B110" s="84">
        <f t="shared" si="75"/>
        <v>8</v>
      </c>
      <c r="C110" s="217">
        <f>C101+42</f>
        <v>45975</v>
      </c>
      <c r="D110" s="218">
        <f>D101+42</f>
        <v>45981</v>
      </c>
      <c r="E110" s="219">
        <v>1345</v>
      </c>
      <c r="F110" s="220">
        <f t="shared" si="71"/>
        <v>45995</v>
      </c>
      <c r="G110" s="219">
        <v>1115</v>
      </c>
      <c r="H110" s="54">
        <f t="shared" si="60"/>
        <v>0.828996282527881</v>
      </c>
      <c r="I110" s="218">
        <f t="shared" si="68"/>
        <v>46012</v>
      </c>
      <c r="J110" s="219">
        <v>996</v>
      </c>
      <c r="K110" s="54">
        <f t="shared" si="53"/>
        <v>0.740520446096654</v>
      </c>
      <c r="L110" s="218">
        <f t="shared" si="67"/>
        <v>46015</v>
      </c>
      <c r="M110" s="219">
        <v>996</v>
      </c>
      <c r="N110" s="219">
        <v>9065</v>
      </c>
      <c r="O110" s="54">
        <f t="shared" si="54"/>
        <v>0.740520446096654</v>
      </c>
      <c r="P110" s="54">
        <f>H110-O110</f>
        <v>0.0884758364312268</v>
      </c>
      <c r="Q110" s="221">
        <f>N110/M110</f>
        <v>9.10140562248996</v>
      </c>
      <c r="R110" s="218">
        <f t="shared" si="65"/>
        <v>46047</v>
      </c>
      <c r="S110" s="203"/>
      <c r="T110" s="84"/>
      <c r="U110" s="54"/>
      <c r="V110" s="218">
        <f t="shared" si="66"/>
        <v>46082</v>
      </c>
      <c r="W110" s="203"/>
      <c r="X110" s="203"/>
      <c r="Y110" s="84"/>
      <c r="Z110" s="8"/>
      <c r="AA110" s="8"/>
      <c r="AB110" s="8"/>
      <c r="AC110" s="8"/>
      <c r="AD110" s="203"/>
      <c r="AE110" s="8"/>
      <c r="AF110" s="203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</row>
    <row r="111" s="188" customFormat="1" spans="1:44">
      <c r="A111" s="216" t="s">
        <v>32</v>
      </c>
      <c r="B111" s="84">
        <f t="shared" si="75"/>
        <v>20</v>
      </c>
      <c r="C111" s="217">
        <f>C102+42</f>
        <v>45979</v>
      </c>
      <c r="D111" s="218">
        <f>C111+6</f>
        <v>45985</v>
      </c>
      <c r="E111" s="219">
        <v>1353</v>
      </c>
      <c r="F111" s="220">
        <f t="shared" si="71"/>
        <v>45999</v>
      </c>
      <c r="G111" s="219">
        <v>955</v>
      </c>
      <c r="H111" s="54">
        <f t="shared" si="60"/>
        <v>0.705838876570584</v>
      </c>
      <c r="I111" s="218">
        <f t="shared" si="68"/>
        <v>46016</v>
      </c>
      <c r="J111" s="219"/>
      <c r="K111" s="54"/>
      <c r="L111" s="218">
        <f t="shared" si="67"/>
        <v>46019</v>
      </c>
      <c r="M111" s="219"/>
      <c r="N111" s="219"/>
      <c r="O111" s="54"/>
      <c r="P111" s="54"/>
      <c r="Q111" s="221"/>
      <c r="R111" s="218">
        <f t="shared" si="65"/>
        <v>46051</v>
      </c>
      <c r="S111" s="203"/>
      <c r="T111" s="84"/>
      <c r="U111" s="54"/>
      <c r="V111" s="218">
        <f t="shared" si="66"/>
        <v>46086</v>
      </c>
      <c r="W111" s="203"/>
      <c r="X111" s="203"/>
      <c r="Y111" s="84"/>
      <c r="Z111" s="8"/>
      <c r="AA111" s="8"/>
      <c r="AB111" s="8"/>
      <c r="AC111" s="8"/>
      <c r="AD111" s="203"/>
      <c r="AE111" s="8"/>
      <c r="AF111" s="203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</row>
    <row r="112" s="188" customFormat="1" spans="1:44">
      <c r="A112" s="216" t="s">
        <v>43</v>
      </c>
      <c r="B112" s="84">
        <v>1</v>
      </c>
      <c r="C112" s="217">
        <f>D112-6</f>
        <v>45984</v>
      </c>
      <c r="D112" s="218">
        <v>45990</v>
      </c>
      <c r="E112" s="219">
        <v>1146</v>
      </c>
      <c r="F112" s="220">
        <f t="shared" si="71"/>
        <v>46004</v>
      </c>
      <c r="G112" s="219">
        <v>1070</v>
      </c>
      <c r="H112" s="54">
        <f t="shared" si="60"/>
        <v>0.933682373472949</v>
      </c>
      <c r="I112" s="218">
        <f t="shared" si="68"/>
        <v>46021</v>
      </c>
      <c r="J112" s="219"/>
      <c r="K112" s="54"/>
      <c r="L112" s="218">
        <f t="shared" si="67"/>
        <v>46024</v>
      </c>
      <c r="M112" s="219"/>
      <c r="N112" s="219"/>
      <c r="O112" s="54"/>
      <c r="P112" s="54"/>
      <c r="Q112" s="221"/>
      <c r="R112" s="218">
        <f t="shared" si="65"/>
        <v>46056</v>
      </c>
      <c r="S112" s="203"/>
      <c r="T112" s="84"/>
      <c r="U112" s="54"/>
      <c r="V112" s="218">
        <f t="shared" si="66"/>
        <v>46091</v>
      </c>
      <c r="W112" s="203"/>
      <c r="X112" s="203"/>
      <c r="Y112" s="84"/>
      <c r="Z112" s="8"/>
      <c r="AA112" s="8"/>
      <c r="AB112" s="8"/>
      <c r="AC112" s="8"/>
      <c r="AD112" s="203"/>
      <c r="AE112" s="8"/>
      <c r="AF112" s="203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</row>
    <row r="113" s="188" customFormat="1" spans="1:44">
      <c r="A113" s="216" t="s">
        <v>30</v>
      </c>
      <c r="B113" s="84">
        <f>B103+1</f>
        <v>21</v>
      </c>
      <c r="C113" s="217">
        <f>C103+42</f>
        <v>45986</v>
      </c>
      <c r="D113" s="218">
        <f>C113+6</f>
        <v>45992</v>
      </c>
      <c r="E113" s="219">
        <v>1366</v>
      </c>
      <c r="F113" s="220">
        <f t="shared" si="71"/>
        <v>46006</v>
      </c>
      <c r="G113" s="219">
        <v>1148</v>
      </c>
      <c r="H113" s="54">
        <f t="shared" si="60"/>
        <v>0.840409956076135</v>
      </c>
      <c r="I113" s="218">
        <f t="shared" si="68"/>
        <v>46023</v>
      </c>
      <c r="J113" s="219"/>
      <c r="K113" s="54"/>
      <c r="L113" s="218">
        <f t="shared" si="67"/>
        <v>46026</v>
      </c>
      <c r="M113" s="219"/>
      <c r="N113" s="219"/>
      <c r="O113" s="54"/>
      <c r="P113" s="54"/>
      <c r="Q113" s="221"/>
      <c r="R113" s="218">
        <f t="shared" si="65"/>
        <v>46058</v>
      </c>
      <c r="S113" s="203"/>
      <c r="T113" s="84"/>
      <c r="U113" s="54"/>
      <c r="V113" s="218">
        <f t="shared" si="66"/>
        <v>46093</v>
      </c>
      <c r="W113" s="203"/>
      <c r="X113" s="203"/>
      <c r="Y113" s="84"/>
      <c r="Z113" s="8"/>
      <c r="AA113" s="8"/>
      <c r="AB113" s="8"/>
      <c r="AC113" s="8"/>
      <c r="AD113" s="203"/>
      <c r="AE113" s="8"/>
      <c r="AF113" s="203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</row>
    <row r="114" s="188" customFormat="1" spans="1:44">
      <c r="A114" s="216" t="s">
        <v>42</v>
      </c>
      <c r="B114" s="84">
        <f>B104+1</f>
        <v>17</v>
      </c>
      <c r="C114" s="217">
        <f>C104+42</f>
        <v>45993</v>
      </c>
      <c r="D114" s="218">
        <f>C114+6</f>
        <v>45999</v>
      </c>
      <c r="E114" s="219">
        <v>1349</v>
      </c>
      <c r="F114" s="220">
        <f t="shared" si="71"/>
        <v>46013</v>
      </c>
      <c r="G114" s="219">
        <v>1156</v>
      </c>
      <c r="H114" s="54">
        <f>G114/E114</f>
        <v>0.856931060044477</v>
      </c>
      <c r="I114" s="218">
        <f t="shared" si="68"/>
        <v>46030</v>
      </c>
      <c r="J114" s="219"/>
      <c r="K114" s="54"/>
      <c r="L114" s="218">
        <f t="shared" si="67"/>
        <v>46033</v>
      </c>
      <c r="M114" s="219"/>
      <c r="N114" s="219"/>
      <c r="O114" s="54"/>
      <c r="P114" s="54"/>
      <c r="Q114" s="221"/>
      <c r="R114" s="218">
        <f t="shared" si="65"/>
        <v>46065</v>
      </c>
      <c r="S114" s="203"/>
      <c r="T114" s="84"/>
      <c r="U114" s="54"/>
      <c r="V114" s="218">
        <f t="shared" si="66"/>
        <v>46100</v>
      </c>
      <c r="W114" s="203"/>
      <c r="X114" s="203"/>
      <c r="Y114" s="84"/>
      <c r="Z114" s="8"/>
      <c r="AA114" s="8"/>
      <c r="AB114" s="8"/>
      <c r="AC114" s="8"/>
      <c r="AD114" s="203"/>
      <c r="AE114" s="8"/>
      <c r="AF114" s="203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</row>
    <row r="115" s="188" customFormat="1" spans="1:44">
      <c r="A115" s="216" t="s">
        <v>58</v>
      </c>
      <c r="B115" s="84">
        <f>B106+1</f>
        <v>20</v>
      </c>
      <c r="C115" s="217">
        <f t="shared" ref="C115:C140" si="76">C105+42</f>
        <v>45996</v>
      </c>
      <c r="D115" s="218">
        <f t="shared" ref="D115:D140" si="77">C115+6</f>
        <v>46002</v>
      </c>
      <c r="E115" s="219">
        <v>1371</v>
      </c>
      <c r="F115" s="220">
        <f t="shared" si="71"/>
        <v>46016</v>
      </c>
      <c r="G115" s="219">
        <v>1079</v>
      </c>
      <c r="H115" s="54">
        <f>G115/E115</f>
        <v>0.787016776075857</v>
      </c>
      <c r="I115" s="218">
        <f t="shared" si="68"/>
        <v>46033</v>
      </c>
      <c r="J115" s="219"/>
      <c r="K115" s="54"/>
      <c r="L115" s="218">
        <f t="shared" si="67"/>
        <v>46036</v>
      </c>
      <c r="M115" s="219"/>
      <c r="N115" s="219"/>
      <c r="O115" s="54"/>
      <c r="P115" s="54"/>
      <c r="Q115" s="221"/>
      <c r="R115" s="218">
        <f t="shared" si="65"/>
        <v>46068</v>
      </c>
      <c r="S115" s="203"/>
      <c r="T115" s="84"/>
      <c r="U115" s="54"/>
      <c r="V115" s="218">
        <f t="shared" si="66"/>
        <v>46103</v>
      </c>
      <c r="W115" s="203"/>
      <c r="X115" s="203"/>
      <c r="Y115" s="84"/>
      <c r="Z115" s="8"/>
      <c r="AA115" s="8"/>
      <c r="AB115" s="8"/>
      <c r="AC115" s="8"/>
      <c r="AD115" s="203"/>
      <c r="AE115" s="8"/>
      <c r="AF115" s="203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</row>
    <row r="116" s="188" customFormat="1" spans="1:44">
      <c r="A116" s="216" t="s">
        <v>37</v>
      </c>
      <c r="B116" s="84">
        <f t="shared" ref="B116:B121" si="78">B106+1</f>
        <v>20</v>
      </c>
      <c r="C116" s="217">
        <f t="shared" si="76"/>
        <v>46000</v>
      </c>
      <c r="D116" s="218">
        <f t="shared" si="77"/>
        <v>46006</v>
      </c>
      <c r="E116" s="219">
        <v>1369</v>
      </c>
      <c r="F116" s="220">
        <f t="shared" si="71"/>
        <v>46020</v>
      </c>
      <c r="G116" s="219"/>
      <c r="H116" s="54"/>
      <c r="I116" s="218">
        <f t="shared" si="68"/>
        <v>46037</v>
      </c>
      <c r="J116" s="219"/>
      <c r="K116" s="54"/>
      <c r="L116" s="218">
        <f t="shared" si="67"/>
        <v>46040</v>
      </c>
      <c r="M116" s="219"/>
      <c r="N116" s="219"/>
      <c r="O116" s="54"/>
      <c r="P116" s="54"/>
      <c r="Q116" s="221"/>
      <c r="R116" s="218">
        <f t="shared" si="65"/>
        <v>46072</v>
      </c>
      <c r="S116" s="203"/>
      <c r="T116" s="84"/>
      <c r="U116" s="54"/>
      <c r="V116" s="218">
        <f t="shared" si="66"/>
        <v>46107</v>
      </c>
      <c r="W116" s="203"/>
      <c r="X116" s="203"/>
      <c r="Y116" s="84"/>
      <c r="Z116" s="8"/>
      <c r="AA116" s="8"/>
      <c r="AB116" s="8"/>
      <c r="AC116" s="8"/>
      <c r="AD116" s="203"/>
      <c r="AE116" s="8"/>
      <c r="AF116" s="203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</row>
    <row r="117" s="188" customFormat="1" spans="1:44">
      <c r="A117" s="216" t="s">
        <v>54</v>
      </c>
      <c r="B117" s="84">
        <f t="shared" si="78"/>
        <v>4</v>
      </c>
      <c r="C117" s="217">
        <f t="shared" si="76"/>
        <v>46003</v>
      </c>
      <c r="D117" s="218">
        <f t="shared" si="77"/>
        <v>46009</v>
      </c>
      <c r="E117" s="219">
        <v>1354</v>
      </c>
      <c r="F117" s="220">
        <f t="shared" si="71"/>
        <v>46023</v>
      </c>
      <c r="G117" s="219"/>
      <c r="H117" s="54"/>
      <c r="I117" s="218">
        <f t="shared" si="68"/>
        <v>46040</v>
      </c>
      <c r="J117" s="219"/>
      <c r="K117" s="54"/>
      <c r="L117" s="218">
        <f t="shared" si="67"/>
        <v>46043</v>
      </c>
      <c r="M117" s="219"/>
      <c r="N117" s="219"/>
      <c r="O117" s="54"/>
      <c r="P117" s="54"/>
      <c r="Q117" s="221"/>
      <c r="R117" s="218">
        <f t="shared" si="65"/>
        <v>46075</v>
      </c>
      <c r="S117" s="203"/>
      <c r="T117" s="84"/>
      <c r="U117" s="54"/>
      <c r="V117" s="218">
        <f t="shared" ref="V117:V133" si="79">I117+70</f>
        <v>46110</v>
      </c>
      <c r="W117" s="203"/>
      <c r="X117" s="203"/>
      <c r="Y117" s="84"/>
      <c r="Z117" s="8"/>
      <c r="AA117" s="8"/>
      <c r="AB117" s="8"/>
      <c r="AC117" s="8"/>
      <c r="AD117" s="203"/>
      <c r="AE117" s="8"/>
      <c r="AF117" s="203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</row>
    <row r="118" s="188" customFormat="1" spans="1:44">
      <c r="A118" s="216" t="s">
        <v>40</v>
      </c>
      <c r="B118" s="84">
        <f t="shared" si="78"/>
        <v>19</v>
      </c>
      <c r="C118" s="217">
        <f t="shared" si="76"/>
        <v>46007</v>
      </c>
      <c r="D118" s="218">
        <f t="shared" si="77"/>
        <v>46013</v>
      </c>
      <c r="E118" s="219">
        <v>1343</v>
      </c>
      <c r="F118" s="220">
        <f t="shared" si="71"/>
        <v>46027</v>
      </c>
      <c r="G118" s="219"/>
      <c r="H118" s="54"/>
      <c r="I118" s="218">
        <f t="shared" si="68"/>
        <v>46044</v>
      </c>
      <c r="J118" s="219"/>
      <c r="K118" s="54"/>
      <c r="L118" s="218">
        <f t="shared" si="67"/>
        <v>46047</v>
      </c>
      <c r="M118" s="219"/>
      <c r="N118" s="219"/>
      <c r="O118" s="54"/>
      <c r="P118" s="54"/>
      <c r="Q118" s="221"/>
      <c r="R118" s="218">
        <f t="shared" si="65"/>
        <v>46079</v>
      </c>
      <c r="S118" s="203"/>
      <c r="T118" s="84"/>
      <c r="U118" s="54"/>
      <c r="V118" s="218">
        <f t="shared" si="79"/>
        <v>46114</v>
      </c>
      <c r="W118" s="203"/>
      <c r="X118" s="203"/>
      <c r="Y118" s="84"/>
      <c r="Z118" s="8"/>
      <c r="AA118" s="8"/>
      <c r="AB118" s="8"/>
      <c r="AC118" s="8"/>
      <c r="AD118" s="203"/>
      <c r="AE118" s="8"/>
      <c r="AF118" s="203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</row>
    <row r="119" s="188" customFormat="1" spans="1:44">
      <c r="A119" s="216" t="s">
        <v>46</v>
      </c>
      <c r="B119" s="84">
        <f t="shared" si="78"/>
        <v>5</v>
      </c>
      <c r="C119" s="217">
        <f t="shared" si="76"/>
        <v>46010</v>
      </c>
      <c r="D119" s="218">
        <f t="shared" si="77"/>
        <v>46016</v>
      </c>
      <c r="E119" s="219">
        <v>1330</v>
      </c>
      <c r="F119" s="220">
        <f t="shared" si="71"/>
        <v>46030</v>
      </c>
      <c r="G119" s="219"/>
      <c r="H119" s="54"/>
      <c r="I119" s="218">
        <f t="shared" si="68"/>
        <v>46047</v>
      </c>
      <c r="J119" s="219"/>
      <c r="K119" s="54"/>
      <c r="L119" s="218">
        <f t="shared" si="67"/>
        <v>46050</v>
      </c>
      <c r="M119" s="219"/>
      <c r="N119" s="219"/>
      <c r="O119" s="54"/>
      <c r="P119" s="54"/>
      <c r="Q119" s="221"/>
      <c r="R119" s="218">
        <f t="shared" si="65"/>
        <v>46082</v>
      </c>
      <c r="S119" s="203"/>
      <c r="T119" s="84"/>
      <c r="U119" s="54"/>
      <c r="V119" s="218">
        <f t="shared" si="79"/>
        <v>46117</v>
      </c>
      <c r="W119" s="203"/>
      <c r="X119" s="203"/>
      <c r="Y119" s="84"/>
      <c r="Z119" s="8"/>
      <c r="AA119" s="8"/>
      <c r="AB119" s="8"/>
      <c r="AC119" s="8"/>
      <c r="AD119" s="203"/>
      <c r="AE119" s="8"/>
      <c r="AF119" s="203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</row>
    <row r="120" s="188" customFormat="1" spans="1:44">
      <c r="A120" s="216" t="s">
        <v>50</v>
      </c>
      <c r="B120" s="84">
        <f t="shared" si="78"/>
        <v>9</v>
      </c>
      <c r="C120" s="217">
        <f t="shared" si="76"/>
        <v>46017</v>
      </c>
      <c r="D120" s="218">
        <f t="shared" si="77"/>
        <v>46023</v>
      </c>
      <c r="E120" s="219"/>
      <c r="F120" s="220">
        <f t="shared" si="71"/>
        <v>46037</v>
      </c>
      <c r="G120" s="219"/>
      <c r="H120" s="54"/>
      <c r="I120" s="218">
        <f t="shared" si="68"/>
        <v>46054</v>
      </c>
      <c r="J120" s="219"/>
      <c r="K120" s="54"/>
      <c r="L120" s="218">
        <f t="shared" si="67"/>
        <v>46057</v>
      </c>
      <c r="M120" s="219"/>
      <c r="N120" s="219"/>
      <c r="O120" s="54"/>
      <c r="P120" s="54"/>
      <c r="Q120" s="221"/>
      <c r="R120" s="218">
        <f t="shared" si="65"/>
        <v>46089</v>
      </c>
      <c r="S120" s="203"/>
      <c r="T120" s="84"/>
      <c r="U120" s="54"/>
      <c r="V120" s="218">
        <f t="shared" si="79"/>
        <v>46124</v>
      </c>
      <c r="W120" s="203"/>
      <c r="X120" s="203"/>
      <c r="Y120" s="84"/>
      <c r="Z120" s="8"/>
      <c r="AA120" s="8"/>
      <c r="AB120" s="8"/>
      <c r="AC120" s="8"/>
      <c r="AD120" s="203"/>
      <c r="AE120" s="8"/>
      <c r="AF120" s="203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</row>
    <row r="121" s="188" customFormat="1" spans="1:44">
      <c r="A121" s="216" t="s">
        <v>32</v>
      </c>
      <c r="B121" s="84">
        <f t="shared" si="78"/>
        <v>21</v>
      </c>
      <c r="C121" s="217">
        <f t="shared" si="76"/>
        <v>46021</v>
      </c>
      <c r="D121" s="218">
        <f t="shared" si="77"/>
        <v>46027</v>
      </c>
      <c r="E121" s="219"/>
      <c r="F121" s="220">
        <f t="shared" ref="F121:F130" si="80">D121+14</f>
        <v>46041</v>
      </c>
      <c r="G121" s="219"/>
      <c r="H121" s="54"/>
      <c r="I121" s="218">
        <f t="shared" si="68"/>
        <v>46058</v>
      </c>
      <c r="J121" s="219"/>
      <c r="K121" s="54"/>
      <c r="L121" s="218">
        <f t="shared" si="67"/>
        <v>46061</v>
      </c>
      <c r="M121" s="219"/>
      <c r="N121" s="219"/>
      <c r="O121" s="54"/>
      <c r="P121" s="54"/>
      <c r="Q121" s="221"/>
      <c r="R121" s="218">
        <f t="shared" si="65"/>
        <v>46093</v>
      </c>
      <c r="S121" s="203"/>
      <c r="T121" s="84"/>
      <c r="U121" s="54"/>
      <c r="V121" s="218">
        <f t="shared" si="79"/>
        <v>46128</v>
      </c>
      <c r="W121" s="203"/>
      <c r="X121" s="203"/>
      <c r="Y121" s="84"/>
      <c r="Z121" s="8"/>
      <c r="AA121" s="8"/>
      <c r="AB121" s="8"/>
      <c r="AC121" s="8"/>
      <c r="AD121" s="203"/>
      <c r="AE121" s="8"/>
      <c r="AF121" s="203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</row>
    <row r="122" s="188" customFormat="1" spans="1:44">
      <c r="A122" s="216" t="s">
        <v>43</v>
      </c>
      <c r="B122" s="84">
        <f t="shared" ref="B122:B130" si="81">B112+1</f>
        <v>2</v>
      </c>
      <c r="C122" s="217">
        <f t="shared" si="76"/>
        <v>46026</v>
      </c>
      <c r="D122" s="218">
        <f t="shared" si="77"/>
        <v>46032</v>
      </c>
      <c r="E122" s="219"/>
      <c r="F122" s="220">
        <f t="shared" si="80"/>
        <v>46046</v>
      </c>
      <c r="G122" s="219"/>
      <c r="H122" s="54"/>
      <c r="I122" s="218">
        <f t="shared" si="68"/>
        <v>46063</v>
      </c>
      <c r="J122" s="219"/>
      <c r="K122" s="54"/>
      <c r="L122" s="218">
        <f t="shared" si="67"/>
        <v>46066</v>
      </c>
      <c r="M122" s="219"/>
      <c r="N122" s="219"/>
      <c r="O122" s="54"/>
      <c r="P122" s="54"/>
      <c r="Q122" s="221"/>
      <c r="R122" s="218">
        <f t="shared" si="65"/>
        <v>46098</v>
      </c>
      <c r="S122" s="203"/>
      <c r="T122" s="84"/>
      <c r="U122" s="54"/>
      <c r="V122" s="218">
        <f t="shared" si="79"/>
        <v>46133</v>
      </c>
      <c r="W122" s="203"/>
      <c r="X122" s="203"/>
      <c r="Y122" s="84"/>
      <c r="Z122" s="8"/>
      <c r="AA122" s="8"/>
      <c r="AB122" s="8"/>
      <c r="AC122" s="8"/>
      <c r="AD122" s="203"/>
      <c r="AE122" s="8"/>
      <c r="AF122" s="203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</row>
    <row r="123" s="188" customFormat="1" spans="1:44">
      <c r="A123" s="216" t="s">
        <v>30</v>
      </c>
      <c r="B123" s="84">
        <f t="shared" si="81"/>
        <v>22</v>
      </c>
      <c r="C123" s="217">
        <f t="shared" si="76"/>
        <v>46028</v>
      </c>
      <c r="D123" s="218">
        <f t="shared" si="77"/>
        <v>46034</v>
      </c>
      <c r="E123" s="219"/>
      <c r="F123" s="220">
        <f t="shared" si="80"/>
        <v>46048</v>
      </c>
      <c r="G123" s="219"/>
      <c r="H123" s="54"/>
      <c r="I123" s="218">
        <f t="shared" si="68"/>
        <v>46065</v>
      </c>
      <c r="J123" s="219"/>
      <c r="K123" s="54"/>
      <c r="L123" s="218">
        <f t="shared" si="67"/>
        <v>46068</v>
      </c>
      <c r="M123" s="219"/>
      <c r="N123" s="219"/>
      <c r="O123" s="54"/>
      <c r="P123" s="54"/>
      <c r="Q123" s="221"/>
      <c r="R123" s="218">
        <f t="shared" si="65"/>
        <v>46100</v>
      </c>
      <c r="S123" s="203"/>
      <c r="T123" s="84"/>
      <c r="U123" s="54"/>
      <c r="V123" s="218">
        <f t="shared" si="79"/>
        <v>46135</v>
      </c>
      <c r="W123" s="203"/>
      <c r="X123" s="203"/>
      <c r="Y123" s="84"/>
      <c r="Z123" s="8"/>
      <c r="AA123" s="8"/>
      <c r="AB123" s="8"/>
      <c r="AC123" s="8"/>
      <c r="AD123" s="203"/>
      <c r="AE123" s="8"/>
      <c r="AF123" s="203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</row>
    <row r="124" s="188" customFormat="1" spans="1:44">
      <c r="A124" s="216" t="s">
        <v>42</v>
      </c>
      <c r="B124" s="84">
        <f t="shared" si="81"/>
        <v>18</v>
      </c>
      <c r="C124" s="217">
        <f t="shared" si="76"/>
        <v>46035</v>
      </c>
      <c r="D124" s="218">
        <f t="shared" si="77"/>
        <v>46041</v>
      </c>
      <c r="E124" s="219"/>
      <c r="F124" s="220">
        <f t="shared" si="80"/>
        <v>46055</v>
      </c>
      <c r="G124" s="219"/>
      <c r="H124" s="54"/>
      <c r="I124" s="218">
        <f t="shared" si="68"/>
        <v>46072</v>
      </c>
      <c r="J124" s="219"/>
      <c r="K124" s="54"/>
      <c r="L124" s="218">
        <f t="shared" si="67"/>
        <v>46075</v>
      </c>
      <c r="M124" s="219"/>
      <c r="N124" s="219"/>
      <c r="O124" s="54"/>
      <c r="P124" s="54"/>
      <c r="Q124" s="221"/>
      <c r="R124" s="218">
        <f t="shared" si="65"/>
        <v>46107</v>
      </c>
      <c r="S124" s="203"/>
      <c r="T124" s="84"/>
      <c r="U124" s="54"/>
      <c r="V124" s="218">
        <f t="shared" si="79"/>
        <v>46142</v>
      </c>
      <c r="W124" s="203"/>
      <c r="X124" s="203"/>
      <c r="Y124" s="84"/>
      <c r="Z124" s="8"/>
      <c r="AA124" s="8"/>
      <c r="AB124" s="8"/>
      <c r="AC124" s="8"/>
      <c r="AD124" s="203"/>
      <c r="AE124" s="8"/>
      <c r="AF124" s="203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</row>
    <row r="125" s="188" customFormat="1" spans="1:44">
      <c r="A125" s="216" t="s">
        <v>58</v>
      </c>
      <c r="B125" s="84">
        <f t="shared" si="81"/>
        <v>21</v>
      </c>
      <c r="C125" s="217">
        <f t="shared" si="76"/>
        <v>46038</v>
      </c>
      <c r="D125" s="218">
        <f t="shared" si="77"/>
        <v>46044</v>
      </c>
      <c r="E125" s="219"/>
      <c r="F125" s="220">
        <f t="shared" si="80"/>
        <v>46058</v>
      </c>
      <c r="G125" s="219"/>
      <c r="H125" s="54"/>
      <c r="I125" s="218">
        <f t="shared" si="68"/>
        <v>46075</v>
      </c>
      <c r="J125" s="219"/>
      <c r="K125" s="54"/>
      <c r="L125" s="218">
        <f t="shared" si="67"/>
        <v>46078</v>
      </c>
      <c r="M125" s="219"/>
      <c r="N125" s="219"/>
      <c r="O125" s="54"/>
      <c r="P125" s="54"/>
      <c r="Q125" s="221"/>
      <c r="R125" s="218">
        <f t="shared" si="65"/>
        <v>46110</v>
      </c>
      <c r="S125" s="203"/>
      <c r="T125" s="84"/>
      <c r="U125" s="54"/>
      <c r="V125" s="218">
        <f t="shared" si="79"/>
        <v>46145</v>
      </c>
      <c r="W125" s="203"/>
      <c r="X125" s="203"/>
      <c r="Y125" s="84"/>
      <c r="Z125" s="8"/>
      <c r="AA125" s="8"/>
      <c r="AB125" s="8"/>
      <c r="AC125" s="8"/>
      <c r="AD125" s="203"/>
      <c r="AE125" s="8"/>
      <c r="AF125" s="203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</row>
    <row r="126" s="188" customFormat="1" spans="1:44">
      <c r="A126" s="216" t="s">
        <v>37</v>
      </c>
      <c r="B126" s="84">
        <f t="shared" si="81"/>
        <v>21</v>
      </c>
      <c r="C126" s="217">
        <f t="shared" si="76"/>
        <v>46042</v>
      </c>
      <c r="D126" s="218">
        <f t="shared" si="77"/>
        <v>46048</v>
      </c>
      <c r="E126" s="219"/>
      <c r="F126" s="220">
        <f t="shared" si="80"/>
        <v>46062</v>
      </c>
      <c r="G126" s="219"/>
      <c r="H126" s="54"/>
      <c r="I126" s="218">
        <f t="shared" si="68"/>
        <v>46079</v>
      </c>
      <c r="J126" s="219"/>
      <c r="K126" s="54"/>
      <c r="L126" s="218">
        <f t="shared" si="67"/>
        <v>46082</v>
      </c>
      <c r="M126" s="219"/>
      <c r="N126" s="219"/>
      <c r="O126" s="54"/>
      <c r="P126" s="54"/>
      <c r="Q126" s="221"/>
      <c r="R126" s="218">
        <f t="shared" si="65"/>
        <v>46114</v>
      </c>
      <c r="S126" s="203"/>
      <c r="T126" s="84"/>
      <c r="U126" s="54"/>
      <c r="V126" s="218">
        <f t="shared" si="79"/>
        <v>46149</v>
      </c>
      <c r="W126" s="203"/>
      <c r="X126" s="203"/>
      <c r="Y126" s="84"/>
      <c r="Z126" s="8"/>
      <c r="AA126" s="8"/>
      <c r="AB126" s="8"/>
      <c r="AC126" s="8"/>
      <c r="AD126" s="203"/>
      <c r="AE126" s="8"/>
      <c r="AF126" s="203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</row>
    <row r="127" s="188" customFormat="1" spans="1:44">
      <c r="A127" s="216" t="s">
        <v>54</v>
      </c>
      <c r="B127" s="84">
        <f t="shared" si="81"/>
        <v>5</v>
      </c>
      <c r="C127" s="217">
        <f t="shared" si="76"/>
        <v>46045</v>
      </c>
      <c r="D127" s="218">
        <f t="shared" si="77"/>
        <v>46051</v>
      </c>
      <c r="E127" s="219"/>
      <c r="F127" s="220">
        <f t="shared" si="80"/>
        <v>46065</v>
      </c>
      <c r="G127" s="219"/>
      <c r="H127" s="54"/>
      <c r="I127" s="218">
        <f t="shared" si="68"/>
        <v>46082</v>
      </c>
      <c r="J127" s="219"/>
      <c r="K127" s="54"/>
      <c r="L127" s="218">
        <f t="shared" si="67"/>
        <v>46085</v>
      </c>
      <c r="M127" s="219"/>
      <c r="N127" s="219"/>
      <c r="O127" s="54"/>
      <c r="P127" s="54"/>
      <c r="Q127" s="221"/>
      <c r="R127" s="218">
        <f t="shared" si="65"/>
        <v>46117</v>
      </c>
      <c r="S127" s="203"/>
      <c r="T127" s="84"/>
      <c r="U127" s="54"/>
      <c r="V127" s="218">
        <f t="shared" si="79"/>
        <v>46152</v>
      </c>
      <c r="W127" s="203"/>
      <c r="X127" s="203"/>
      <c r="Y127" s="84"/>
      <c r="Z127" s="8"/>
      <c r="AA127" s="8"/>
      <c r="AB127" s="8"/>
      <c r="AC127" s="8"/>
      <c r="AD127" s="203"/>
      <c r="AE127" s="8"/>
      <c r="AF127" s="203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</row>
    <row r="128" s="188" customFormat="1" spans="1:44">
      <c r="A128" s="216" t="s">
        <v>40</v>
      </c>
      <c r="B128" s="84">
        <f t="shared" si="81"/>
        <v>20</v>
      </c>
      <c r="C128" s="217">
        <f t="shared" si="76"/>
        <v>46049</v>
      </c>
      <c r="D128" s="218">
        <f t="shared" si="77"/>
        <v>46055</v>
      </c>
      <c r="E128" s="219"/>
      <c r="F128" s="220">
        <f t="shared" si="80"/>
        <v>46069</v>
      </c>
      <c r="G128" s="219"/>
      <c r="H128" s="54"/>
      <c r="I128" s="218">
        <f t="shared" si="68"/>
        <v>46086</v>
      </c>
      <c r="J128" s="219"/>
      <c r="K128" s="54"/>
      <c r="L128" s="218">
        <f t="shared" si="67"/>
        <v>46089</v>
      </c>
      <c r="M128" s="219"/>
      <c r="N128" s="219"/>
      <c r="O128" s="54"/>
      <c r="P128" s="54"/>
      <c r="Q128" s="221"/>
      <c r="R128" s="218">
        <f t="shared" si="65"/>
        <v>46121</v>
      </c>
      <c r="S128" s="203"/>
      <c r="T128" s="84"/>
      <c r="U128" s="54"/>
      <c r="V128" s="218">
        <f t="shared" si="79"/>
        <v>46156</v>
      </c>
      <c r="W128" s="203"/>
      <c r="X128" s="203"/>
      <c r="Y128" s="84"/>
      <c r="Z128" s="8"/>
      <c r="AA128" s="8"/>
      <c r="AB128" s="8"/>
      <c r="AC128" s="8"/>
      <c r="AD128" s="203"/>
      <c r="AE128" s="8"/>
      <c r="AF128" s="203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</row>
    <row r="129" s="188" customFormat="1" spans="1:44">
      <c r="A129" s="216" t="s">
        <v>46</v>
      </c>
      <c r="B129" s="84">
        <f t="shared" si="81"/>
        <v>6</v>
      </c>
      <c r="C129" s="217">
        <f t="shared" si="76"/>
        <v>46052</v>
      </c>
      <c r="D129" s="218">
        <f t="shared" si="77"/>
        <v>46058</v>
      </c>
      <c r="E129" s="219"/>
      <c r="F129" s="220">
        <f t="shared" si="80"/>
        <v>46072</v>
      </c>
      <c r="G129" s="219"/>
      <c r="H129" s="54"/>
      <c r="I129" s="218">
        <f t="shared" si="68"/>
        <v>46089</v>
      </c>
      <c r="J129" s="219"/>
      <c r="K129" s="54"/>
      <c r="L129" s="218">
        <f t="shared" si="67"/>
        <v>46092</v>
      </c>
      <c r="M129" s="219"/>
      <c r="N129" s="219"/>
      <c r="O129" s="54"/>
      <c r="P129" s="54"/>
      <c r="Q129" s="221"/>
      <c r="R129" s="218">
        <f t="shared" si="65"/>
        <v>46124</v>
      </c>
      <c r="S129" s="203"/>
      <c r="T129" s="84"/>
      <c r="U129" s="54"/>
      <c r="V129" s="218">
        <f t="shared" si="79"/>
        <v>46159</v>
      </c>
      <c r="W129" s="203"/>
      <c r="X129" s="203"/>
      <c r="Y129" s="84"/>
      <c r="Z129" s="8"/>
      <c r="AA129" s="8"/>
      <c r="AB129" s="8"/>
      <c r="AC129" s="8"/>
      <c r="AD129" s="203"/>
      <c r="AE129" s="8"/>
      <c r="AF129" s="203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</row>
    <row r="130" spans="1:44">
      <c r="A130" s="216" t="s">
        <v>50</v>
      </c>
      <c r="B130" s="84">
        <f t="shared" si="81"/>
        <v>10</v>
      </c>
      <c r="C130" s="217">
        <f t="shared" si="76"/>
        <v>46059</v>
      </c>
      <c r="D130" s="218">
        <f t="shared" si="77"/>
        <v>46065</v>
      </c>
      <c r="F130" s="220">
        <f t="shared" si="80"/>
        <v>46079</v>
      </c>
      <c r="I130" s="218">
        <f t="shared" si="68"/>
        <v>46096</v>
      </c>
      <c r="L130" s="218">
        <f t="shared" si="67"/>
        <v>46099</v>
      </c>
      <c r="R130" s="218">
        <f t="shared" si="65"/>
        <v>46131</v>
      </c>
      <c r="V130" s="218">
        <f t="shared" si="79"/>
        <v>46166</v>
      </c>
      <c r="AC130" s="250"/>
      <c r="AD130" s="251"/>
      <c r="AE130" s="250"/>
      <c r="AF130" s="203"/>
    </row>
    <row r="131" spans="1:44">
      <c r="A131" s="216" t="s">
        <v>32</v>
      </c>
      <c r="B131" s="84">
        <f t="shared" ref="B131:B140" si="82">B121+1</f>
        <v>22</v>
      </c>
      <c r="C131" s="217">
        <f t="shared" si="76"/>
        <v>46063</v>
      </c>
      <c r="D131" s="218">
        <f t="shared" si="77"/>
        <v>46069</v>
      </c>
      <c r="E131" s="219"/>
      <c r="F131" s="220">
        <f t="shared" ref="F131:F140" si="83">D131+14</f>
        <v>46083</v>
      </c>
      <c r="G131" s="219"/>
      <c r="H131" s="54"/>
      <c r="I131" s="218">
        <f t="shared" ref="I131:I140" si="84">D131+31</f>
        <v>46100</v>
      </c>
      <c r="J131" s="219"/>
      <c r="K131" s="54"/>
      <c r="L131" s="218">
        <f t="shared" ref="L131:L140" si="85">I131+3</f>
        <v>46103</v>
      </c>
      <c r="M131" s="219"/>
      <c r="N131" s="219"/>
      <c r="O131" s="54"/>
      <c r="P131" s="54"/>
      <c r="Q131" s="221"/>
      <c r="R131" s="218">
        <f t="shared" ref="R131:R140" si="86">I131+35</f>
        <v>46135</v>
      </c>
      <c r="S131" s="203"/>
      <c r="T131" s="84"/>
      <c r="U131" s="54"/>
      <c r="V131" s="218">
        <f t="shared" si="79"/>
        <v>46170</v>
      </c>
      <c r="W131" s="203"/>
      <c r="X131" s="203"/>
      <c r="Y131" s="84"/>
      <c r="Z131" s="8"/>
      <c r="AA131" s="8"/>
      <c r="AB131" s="8"/>
      <c r="AF131" s="203"/>
    </row>
    <row r="132" spans="1:44">
      <c r="A132" s="216" t="s">
        <v>43</v>
      </c>
      <c r="B132" s="84">
        <f t="shared" si="82"/>
        <v>3</v>
      </c>
      <c r="C132" s="217">
        <f t="shared" si="76"/>
        <v>46068</v>
      </c>
      <c r="D132" s="218">
        <f t="shared" si="77"/>
        <v>46074</v>
      </c>
      <c r="E132" s="219"/>
      <c r="F132" s="220">
        <f t="shared" si="83"/>
        <v>46088</v>
      </c>
      <c r="G132" s="219"/>
      <c r="H132" s="54"/>
      <c r="I132" s="218">
        <f t="shared" si="84"/>
        <v>46105</v>
      </c>
      <c r="J132" s="219"/>
      <c r="K132" s="54"/>
      <c r="L132" s="218">
        <f t="shared" si="85"/>
        <v>46108</v>
      </c>
      <c r="M132" s="219"/>
      <c r="N132" s="219"/>
      <c r="O132" s="54"/>
      <c r="P132" s="54"/>
      <c r="Q132" s="221"/>
      <c r="R132" s="218">
        <f t="shared" si="86"/>
        <v>46140</v>
      </c>
      <c r="S132" s="203"/>
      <c r="T132" s="84"/>
      <c r="U132" s="54"/>
      <c r="V132" s="218">
        <f t="shared" si="79"/>
        <v>46175</v>
      </c>
      <c r="W132" s="203"/>
      <c r="X132" s="203"/>
      <c r="Y132" s="84"/>
      <c r="Z132" s="8"/>
      <c r="AA132" s="8"/>
      <c r="AB132" s="8"/>
      <c r="AF132" s="203"/>
    </row>
    <row r="133" spans="1:44">
      <c r="A133" s="216" t="s">
        <v>30</v>
      </c>
      <c r="B133" s="84">
        <f t="shared" si="82"/>
        <v>23</v>
      </c>
      <c r="C133" s="217">
        <f t="shared" si="76"/>
        <v>46070</v>
      </c>
      <c r="D133" s="218">
        <f t="shared" si="77"/>
        <v>46076</v>
      </c>
      <c r="E133" s="219"/>
      <c r="F133" s="220">
        <f t="shared" si="83"/>
        <v>46090</v>
      </c>
      <c r="G133" s="219"/>
      <c r="H133" s="54"/>
      <c r="I133" s="218">
        <f t="shared" si="84"/>
        <v>46107</v>
      </c>
      <c r="J133" s="219"/>
      <c r="K133" s="54"/>
      <c r="L133" s="218">
        <f t="shared" si="85"/>
        <v>46110</v>
      </c>
      <c r="M133" s="219"/>
      <c r="N133" s="219"/>
      <c r="O133" s="54"/>
      <c r="P133" s="54"/>
      <c r="Q133" s="221"/>
      <c r="R133" s="218">
        <f t="shared" si="86"/>
        <v>46142</v>
      </c>
      <c r="S133" s="203"/>
      <c r="T133" s="84"/>
      <c r="U133" s="54"/>
      <c r="V133" s="218">
        <f t="shared" si="79"/>
        <v>46177</v>
      </c>
      <c r="W133" s="203"/>
      <c r="X133" s="203"/>
      <c r="Y133" s="84"/>
      <c r="Z133" s="8"/>
      <c r="AA133" s="8"/>
      <c r="AB133" s="8"/>
      <c r="AF133" s="203"/>
    </row>
    <row r="134" spans="1:44">
      <c r="A134" s="216" t="s">
        <v>42</v>
      </c>
      <c r="B134" s="84">
        <f t="shared" si="82"/>
        <v>19</v>
      </c>
      <c r="C134" s="217">
        <f t="shared" si="76"/>
        <v>46077</v>
      </c>
      <c r="D134" s="218">
        <f t="shared" si="77"/>
        <v>46083</v>
      </c>
      <c r="E134" s="219"/>
      <c r="F134" s="220">
        <f t="shared" si="83"/>
        <v>46097</v>
      </c>
      <c r="G134" s="219"/>
      <c r="H134" s="54"/>
      <c r="I134" s="218">
        <f t="shared" si="84"/>
        <v>46114</v>
      </c>
      <c r="J134" s="219"/>
      <c r="K134" s="54"/>
      <c r="L134" s="218">
        <f t="shared" si="85"/>
        <v>46117</v>
      </c>
      <c r="M134" s="219"/>
      <c r="N134" s="219"/>
      <c r="O134" s="54"/>
      <c r="P134" s="54"/>
      <c r="Q134" s="221"/>
      <c r="R134" s="218">
        <f t="shared" si="86"/>
        <v>46149</v>
      </c>
      <c r="S134" s="203"/>
      <c r="T134" s="84"/>
      <c r="U134" s="54"/>
      <c r="V134" s="218">
        <f t="shared" ref="V134:V140" si="87">I134+70</f>
        <v>46184</v>
      </c>
      <c r="W134" s="203"/>
      <c r="X134" s="203"/>
      <c r="Y134" s="84"/>
      <c r="Z134" s="8"/>
      <c r="AA134" s="8"/>
      <c r="AB134" s="8"/>
      <c r="AF134" s="203"/>
    </row>
    <row r="135" spans="1:44">
      <c r="A135" s="216" t="s">
        <v>58</v>
      </c>
      <c r="B135" s="84">
        <f t="shared" si="82"/>
        <v>22</v>
      </c>
      <c r="C135" s="217">
        <f t="shared" si="76"/>
        <v>46080</v>
      </c>
      <c r="D135" s="218">
        <f t="shared" si="77"/>
        <v>46086</v>
      </c>
      <c r="E135" s="219"/>
      <c r="F135" s="220">
        <f t="shared" si="83"/>
        <v>46100</v>
      </c>
      <c r="G135" s="219"/>
      <c r="H135" s="54"/>
      <c r="I135" s="218">
        <f t="shared" si="84"/>
        <v>46117</v>
      </c>
      <c r="J135" s="219"/>
      <c r="K135" s="54"/>
      <c r="L135" s="218">
        <f t="shared" si="85"/>
        <v>46120</v>
      </c>
      <c r="M135" s="219"/>
      <c r="N135" s="219"/>
      <c r="O135" s="54"/>
      <c r="P135" s="54"/>
      <c r="Q135" s="221"/>
      <c r="R135" s="218">
        <f t="shared" si="86"/>
        <v>46152</v>
      </c>
      <c r="S135" s="203"/>
      <c r="T135" s="84"/>
      <c r="U135" s="54"/>
      <c r="V135" s="218">
        <f t="shared" si="87"/>
        <v>46187</v>
      </c>
      <c r="W135" s="203"/>
      <c r="X135" s="203"/>
      <c r="Y135" s="84"/>
      <c r="Z135" s="8"/>
      <c r="AA135" s="8"/>
      <c r="AB135" s="8"/>
      <c r="AF135" s="203"/>
    </row>
    <row r="136" spans="1:44">
      <c r="A136" s="216" t="s">
        <v>37</v>
      </c>
      <c r="B136" s="84">
        <f t="shared" si="82"/>
        <v>22</v>
      </c>
      <c r="C136" s="217">
        <f t="shared" si="76"/>
        <v>46084</v>
      </c>
      <c r="D136" s="218">
        <f t="shared" si="77"/>
        <v>46090</v>
      </c>
      <c r="E136" s="219"/>
      <c r="F136" s="220">
        <f t="shared" si="83"/>
        <v>46104</v>
      </c>
      <c r="G136" s="219"/>
      <c r="H136" s="54"/>
      <c r="I136" s="218">
        <f t="shared" si="84"/>
        <v>46121</v>
      </c>
      <c r="J136" s="219"/>
      <c r="K136" s="54"/>
      <c r="L136" s="218">
        <f t="shared" si="85"/>
        <v>46124</v>
      </c>
      <c r="M136" s="219"/>
      <c r="N136" s="219"/>
      <c r="O136" s="54"/>
      <c r="P136" s="54"/>
      <c r="Q136" s="221"/>
      <c r="R136" s="218">
        <f t="shared" si="86"/>
        <v>46156</v>
      </c>
      <c r="S136" s="203"/>
      <c r="T136" s="84"/>
      <c r="U136" s="54"/>
      <c r="V136" s="218">
        <f t="shared" si="87"/>
        <v>46191</v>
      </c>
      <c r="W136" s="203"/>
      <c r="X136" s="203"/>
      <c r="Y136" s="8"/>
      <c r="Z136" s="8"/>
      <c r="AA136" s="8"/>
      <c r="AB136" s="8"/>
      <c r="AF136" s="203"/>
    </row>
    <row r="137" spans="1:44">
      <c r="A137" s="216" t="s">
        <v>54</v>
      </c>
      <c r="B137" s="84">
        <f t="shared" si="82"/>
        <v>6</v>
      </c>
      <c r="C137" s="217">
        <f t="shared" si="76"/>
        <v>46087</v>
      </c>
      <c r="D137" s="218">
        <f t="shared" si="77"/>
        <v>46093</v>
      </c>
      <c r="E137" s="219"/>
      <c r="F137" s="220">
        <f t="shared" si="83"/>
        <v>46107</v>
      </c>
      <c r="G137" s="219"/>
      <c r="H137" s="54"/>
      <c r="I137" s="218">
        <f t="shared" si="84"/>
        <v>46124</v>
      </c>
      <c r="J137" s="219"/>
      <c r="K137" s="54"/>
      <c r="L137" s="218">
        <f t="shared" si="85"/>
        <v>46127</v>
      </c>
      <c r="M137" s="219"/>
      <c r="N137" s="219"/>
      <c r="O137" s="54"/>
      <c r="P137" s="54"/>
      <c r="Q137" s="221"/>
      <c r="R137" s="218">
        <f t="shared" si="86"/>
        <v>46159</v>
      </c>
      <c r="S137" s="203"/>
      <c r="T137" s="84"/>
      <c r="U137" s="54"/>
      <c r="V137" s="218">
        <f t="shared" si="87"/>
        <v>46194</v>
      </c>
      <c r="W137" s="203"/>
      <c r="X137" s="203"/>
      <c r="Y137" s="8"/>
      <c r="Z137" s="8"/>
      <c r="AA137" s="8"/>
      <c r="AB137" s="8"/>
      <c r="AF137" s="203"/>
    </row>
    <row r="138" spans="1:44">
      <c r="A138" s="216" t="s">
        <v>40</v>
      </c>
      <c r="B138" s="84">
        <f t="shared" si="82"/>
        <v>21</v>
      </c>
      <c r="C138" s="217">
        <f t="shared" si="76"/>
        <v>46091</v>
      </c>
      <c r="D138" s="218">
        <f t="shared" si="77"/>
        <v>46097</v>
      </c>
      <c r="E138" s="219"/>
      <c r="F138" s="220">
        <f t="shared" si="83"/>
        <v>46111</v>
      </c>
      <c r="G138" s="219"/>
      <c r="H138" s="54"/>
      <c r="I138" s="218">
        <f t="shared" si="84"/>
        <v>46128</v>
      </c>
      <c r="J138" s="219"/>
      <c r="K138" s="54"/>
      <c r="L138" s="218">
        <f t="shared" si="85"/>
        <v>46131</v>
      </c>
      <c r="M138" s="219"/>
      <c r="N138" s="219"/>
      <c r="O138" s="54"/>
      <c r="P138" s="54"/>
      <c r="Q138" s="221"/>
      <c r="R138" s="218">
        <f t="shared" si="86"/>
        <v>46163</v>
      </c>
      <c r="S138" s="203"/>
      <c r="T138" s="84"/>
      <c r="U138" s="54"/>
      <c r="V138" s="218">
        <f t="shared" si="87"/>
        <v>46198</v>
      </c>
      <c r="W138" s="203"/>
      <c r="X138" s="203"/>
      <c r="Y138" s="8"/>
      <c r="Z138" s="8"/>
      <c r="AA138" s="8"/>
      <c r="AB138" s="8"/>
      <c r="AF138" s="203"/>
    </row>
    <row r="139" spans="1:44">
      <c r="A139" s="216" t="s">
        <v>46</v>
      </c>
      <c r="B139" s="84">
        <f t="shared" si="82"/>
        <v>7</v>
      </c>
      <c r="C139" s="217">
        <f t="shared" si="76"/>
        <v>46094</v>
      </c>
      <c r="D139" s="218">
        <f t="shared" si="77"/>
        <v>46100</v>
      </c>
      <c r="E139" s="219"/>
      <c r="F139" s="220">
        <f t="shared" si="83"/>
        <v>46114</v>
      </c>
      <c r="G139" s="219"/>
      <c r="H139" s="54"/>
      <c r="I139" s="218">
        <f t="shared" si="84"/>
        <v>46131</v>
      </c>
      <c r="J139" s="219"/>
      <c r="K139" s="54"/>
      <c r="L139" s="218">
        <f t="shared" si="85"/>
        <v>46134</v>
      </c>
      <c r="M139" s="219"/>
      <c r="N139" s="219"/>
      <c r="O139" s="54"/>
      <c r="P139" s="54"/>
      <c r="Q139" s="221"/>
      <c r="R139" s="218">
        <f t="shared" si="86"/>
        <v>46166</v>
      </c>
      <c r="S139" s="203"/>
      <c r="T139" s="84"/>
      <c r="U139" s="54"/>
      <c r="V139" s="218">
        <f t="shared" si="87"/>
        <v>46201</v>
      </c>
      <c r="W139" s="203"/>
      <c r="X139" s="203"/>
      <c r="Y139" s="8"/>
      <c r="Z139" s="8"/>
      <c r="AA139" s="8"/>
      <c r="AB139" s="8"/>
      <c r="AF139" s="203"/>
    </row>
    <row r="140" spans="1:44">
      <c r="A140" s="216" t="s">
        <v>50</v>
      </c>
      <c r="B140" s="84">
        <f t="shared" si="82"/>
        <v>11</v>
      </c>
      <c r="C140" s="217">
        <f t="shared" si="76"/>
        <v>46101</v>
      </c>
      <c r="D140" s="218">
        <f t="shared" si="77"/>
        <v>46107</v>
      </c>
      <c r="E140" s="219"/>
      <c r="F140" s="220">
        <f t="shared" si="83"/>
        <v>46121</v>
      </c>
      <c r="G140" s="219"/>
      <c r="H140" s="54"/>
      <c r="I140" s="218">
        <f t="shared" si="84"/>
        <v>46138</v>
      </c>
      <c r="J140" s="219"/>
      <c r="K140" s="54"/>
      <c r="L140" s="218">
        <f t="shared" si="85"/>
        <v>46141</v>
      </c>
      <c r="M140" s="219"/>
      <c r="N140" s="219"/>
      <c r="O140" s="54"/>
      <c r="P140" s="54"/>
      <c r="Q140" s="221"/>
      <c r="R140" s="218">
        <f t="shared" si="86"/>
        <v>46173</v>
      </c>
      <c r="S140" s="203"/>
      <c r="T140" s="84"/>
      <c r="U140" s="54"/>
      <c r="V140" s="218">
        <f t="shared" si="87"/>
        <v>46208</v>
      </c>
      <c r="W140" s="203"/>
      <c r="X140" s="203"/>
      <c r="Y140" s="8"/>
      <c r="Z140" s="8"/>
      <c r="AA140" s="8"/>
      <c r="AB140" s="8"/>
      <c r="AF140" s="203"/>
    </row>
    <row r="141" spans="1:44">
      <c r="A141" s="216" t="s">
        <v>32</v>
      </c>
      <c r="B141" s="84">
        <f t="shared" ref="B141:B160" si="88">B131+1</f>
        <v>23</v>
      </c>
      <c r="C141" s="217">
        <f t="shared" ref="C141:C160" si="89">C131+42</f>
        <v>46105</v>
      </c>
      <c r="D141" s="218">
        <f t="shared" ref="D141:D160" si="90">C141+6</f>
        <v>46111</v>
      </c>
      <c r="E141" s="219"/>
      <c r="F141" s="220">
        <f t="shared" ref="F141:F160" si="91">D141+14</f>
        <v>46125</v>
      </c>
      <c r="G141" s="219"/>
      <c r="H141" s="54"/>
      <c r="I141" s="218">
        <f t="shared" ref="I141:I153" si="92">D141+31</f>
        <v>46142</v>
      </c>
      <c r="J141" s="219"/>
      <c r="K141" s="54"/>
      <c r="L141" s="218">
        <f t="shared" ref="L141:L160" si="93">I141+3</f>
        <v>46145</v>
      </c>
      <c r="M141" s="219"/>
      <c r="N141" s="219"/>
      <c r="O141" s="54"/>
      <c r="P141" s="54"/>
      <c r="Q141" s="221"/>
      <c r="R141" s="218">
        <f t="shared" ref="R141:R160" si="94">I141+35</f>
        <v>46177</v>
      </c>
      <c r="S141" s="203"/>
      <c r="T141" s="84"/>
      <c r="U141" s="54"/>
      <c r="V141" s="218">
        <f t="shared" ref="V141:V160" si="95">I141+70</f>
        <v>46212</v>
      </c>
      <c r="W141" s="203"/>
      <c r="X141" s="203"/>
      <c r="Y141" s="84"/>
      <c r="Z141" s="8"/>
      <c r="AA141" s="8"/>
      <c r="AB141" s="8"/>
      <c r="AF141" s="203"/>
    </row>
    <row r="142" spans="1:44">
      <c r="A142" s="216" t="s">
        <v>43</v>
      </c>
      <c r="B142" s="84">
        <f t="shared" si="88"/>
        <v>4</v>
      </c>
      <c r="C142" s="217">
        <f t="shared" si="89"/>
        <v>46110</v>
      </c>
      <c r="D142" s="218">
        <f t="shared" si="90"/>
        <v>46116</v>
      </c>
      <c r="E142" s="219"/>
      <c r="F142" s="220">
        <f t="shared" si="91"/>
        <v>46130</v>
      </c>
      <c r="G142" s="219"/>
      <c r="H142" s="54"/>
      <c r="I142" s="218">
        <f t="shared" si="92"/>
        <v>46147</v>
      </c>
      <c r="J142" s="219"/>
      <c r="K142" s="54"/>
      <c r="L142" s="218">
        <f t="shared" si="93"/>
        <v>46150</v>
      </c>
      <c r="M142" s="219"/>
      <c r="N142" s="219"/>
      <c r="O142" s="54"/>
      <c r="P142" s="54"/>
      <c r="Q142" s="221"/>
      <c r="R142" s="218">
        <f t="shared" si="94"/>
        <v>46182</v>
      </c>
      <c r="S142" s="203"/>
      <c r="T142" s="84"/>
      <c r="U142" s="54"/>
      <c r="V142" s="218">
        <f t="shared" si="95"/>
        <v>46217</v>
      </c>
      <c r="W142" s="203"/>
      <c r="X142" s="203"/>
      <c r="Y142" s="84"/>
      <c r="Z142" s="8"/>
      <c r="AA142" s="8"/>
      <c r="AB142" s="8"/>
      <c r="AF142" s="203"/>
    </row>
    <row r="143" spans="1:44">
      <c r="A143" s="216" t="s">
        <v>30</v>
      </c>
      <c r="B143" s="84">
        <f t="shared" si="88"/>
        <v>24</v>
      </c>
      <c r="C143" s="217">
        <f t="shared" si="89"/>
        <v>46112</v>
      </c>
      <c r="D143" s="218">
        <f t="shared" si="90"/>
        <v>46118</v>
      </c>
      <c r="E143" s="219"/>
      <c r="F143" s="220">
        <f t="shared" si="91"/>
        <v>46132</v>
      </c>
      <c r="G143" s="219"/>
      <c r="H143" s="54"/>
      <c r="I143" s="218">
        <f t="shared" si="92"/>
        <v>46149</v>
      </c>
      <c r="J143" s="219"/>
      <c r="K143" s="54"/>
      <c r="L143" s="218">
        <f t="shared" si="93"/>
        <v>46152</v>
      </c>
      <c r="M143" s="219"/>
      <c r="N143" s="219"/>
      <c r="O143" s="54"/>
      <c r="P143" s="54"/>
      <c r="Q143" s="221"/>
      <c r="R143" s="218">
        <f t="shared" si="94"/>
        <v>46184</v>
      </c>
      <c r="S143" s="203"/>
      <c r="T143" s="84"/>
      <c r="U143" s="54"/>
      <c r="V143" s="218">
        <f t="shared" si="95"/>
        <v>46219</v>
      </c>
      <c r="W143" s="203"/>
      <c r="X143" s="203"/>
      <c r="Y143" s="84"/>
      <c r="Z143" s="8"/>
      <c r="AA143" s="8"/>
      <c r="AB143" s="8"/>
      <c r="AF143" s="203"/>
    </row>
    <row r="144" spans="1:44">
      <c r="A144" s="216" t="s">
        <v>42</v>
      </c>
      <c r="B144" s="84">
        <f t="shared" si="88"/>
        <v>20</v>
      </c>
      <c r="C144" s="217">
        <f t="shared" si="89"/>
        <v>46119</v>
      </c>
      <c r="D144" s="218">
        <f t="shared" si="90"/>
        <v>46125</v>
      </c>
      <c r="E144" s="219"/>
      <c r="F144" s="220">
        <f t="shared" si="91"/>
        <v>46139</v>
      </c>
      <c r="G144" s="219"/>
      <c r="H144" s="54"/>
      <c r="I144" s="218">
        <f t="shared" si="92"/>
        <v>46156</v>
      </c>
      <c r="J144" s="219"/>
      <c r="K144" s="54"/>
      <c r="L144" s="218">
        <f t="shared" si="93"/>
        <v>46159</v>
      </c>
      <c r="M144" s="219"/>
      <c r="N144" s="219"/>
      <c r="O144" s="54"/>
      <c r="P144" s="54"/>
      <c r="Q144" s="221"/>
      <c r="R144" s="218">
        <f t="shared" si="94"/>
        <v>46191</v>
      </c>
      <c r="S144" s="203"/>
      <c r="T144" s="84"/>
      <c r="U144" s="54"/>
      <c r="V144" s="218">
        <f t="shared" si="95"/>
        <v>46226</v>
      </c>
      <c r="W144" s="203"/>
      <c r="X144" s="203"/>
      <c r="Y144" s="84"/>
      <c r="Z144" s="8"/>
      <c r="AA144" s="8"/>
      <c r="AB144" s="8"/>
      <c r="AF144" s="203"/>
    </row>
    <row r="145" spans="1:32">
      <c r="A145" s="216" t="s">
        <v>58</v>
      </c>
      <c r="B145" s="84">
        <f t="shared" si="88"/>
        <v>23</v>
      </c>
      <c r="C145" s="217">
        <f t="shared" si="89"/>
        <v>46122</v>
      </c>
      <c r="D145" s="218">
        <f t="shared" si="90"/>
        <v>46128</v>
      </c>
      <c r="E145" s="219"/>
      <c r="F145" s="220">
        <f t="shared" si="91"/>
        <v>46142</v>
      </c>
      <c r="G145" s="219"/>
      <c r="H145" s="54"/>
      <c r="I145" s="218">
        <f t="shared" si="92"/>
        <v>46159</v>
      </c>
      <c r="J145" s="219"/>
      <c r="K145" s="54"/>
      <c r="L145" s="218">
        <f t="shared" si="93"/>
        <v>46162</v>
      </c>
      <c r="M145" s="219"/>
      <c r="N145" s="219"/>
      <c r="O145" s="54"/>
      <c r="P145" s="54"/>
      <c r="Q145" s="221"/>
      <c r="R145" s="218">
        <f t="shared" si="94"/>
        <v>46194</v>
      </c>
      <c r="S145" s="203"/>
      <c r="T145" s="84"/>
      <c r="U145" s="54"/>
      <c r="V145" s="218">
        <f t="shared" si="95"/>
        <v>46229</v>
      </c>
      <c r="W145" s="203"/>
      <c r="X145" s="203"/>
      <c r="Y145" s="84"/>
      <c r="Z145" s="8"/>
      <c r="AA145" s="8"/>
      <c r="AB145" s="8"/>
      <c r="AF145" s="203"/>
    </row>
    <row r="146" spans="1:32">
      <c r="A146" s="216" t="s">
        <v>37</v>
      </c>
      <c r="B146" s="84">
        <f t="shared" si="88"/>
        <v>23</v>
      </c>
      <c r="C146" s="217">
        <f t="shared" si="89"/>
        <v>46126</v>
      </c>
      <c r="D146" s="218">
        <f t="shared" si="90"/>
        <v>46132</v>
      </c>
      <c r="E146" s="219"/>
      <c r="F146" s="220">
        <f t="shared" si="91"/>
        <v>46146</v>
      </c>
      <c r="G146" s="219"/>
      <c r="H146" s="54"/>
      <c r="I146" s="218">
        <f t="shared" si="92"/>
        <v>46163</v>
      </c>
      <c r="J146" s="219"/>
      <c r="K146" s="54"/>
      <c r="L146" s="218">
        <f t="shared" si="93"/>
        <v>46166</v>
      </c>
      <c r="M146" s="219"/>
      <c r="N146" s="219"/>
      <c r="O146" s="54"/>
      <c r="P146" s="54"/>
      <c r="Q146" s="221"/>
      <c r="R146" s="218">
        <f t="shared" si="94"/>
        <v>46198</v>
      </c>
      <c r="S146" s="203"/>
      <c r="T146" s="84"/>
      <c r="U146" s="54"/>
      <c r="V146" s="218">
        <f t="shared" si="95"/>
        <v>46233</v>
      </c>
      <c r="W146" s="203"/>
      <c r="X146" s="203"/>
      <c r="Y146" s="84"/>
      <c r="Z146" s="8"/>
      <c r="AA146" s="8"/>
      <c r="AB146" s="8"/>
      <c r="AF146" s="203"/>
    </row>
    <row r="147" spans="1:32">
      <c r="A147" s="216" t="s">
        <v>54</v>
      </c>
      <c r="B147" s="84">
        <f t="shared" si="88"/>
        <v>7</v>
      </c>
      <c r="C147" s="217">
        <f t="shared" si="89"/>
        <v>46129</v>
      </c>
      <c r="D147" s="218">
        <f t="shared" si="90"/>
        <v>46135</v>
      </c>
      <c r="E147" s="219"/>
      <c r="F147" s="220">
        <f t="shared" si="91"/>
        <v>46149</v>
      </c>
      <c r="G147" s="219"/>
      <c r="H147" s="54"/>
      <c r="I147" s="218">
        <f t="shared" si="92"/>
        <v>46166</v>
      </c>
      <c r="J147" s="219"/>
      <c r="K147" s="54"/>
      <c r="L147" s="218">
        <f t="shared" si="93"/>
        <v>46169</v>
      </c>
      <c r="M147" s="219"/>
      <c r="N147" s="219"/>
      <c r="O147" s="54"/>
      <c r="P147" s="54"/>
      <c r="Q147" s="221"/>
      <c r="R147" s="218">
        <f t="shared" si="94"/>
        <v>46201</v>
      </c>
      <c r="S147" s="203"/>
      <c r="T147" s="84"/>
      <c r="U147" s="54"/>
      <c r="V147" s="218">
        <f t="shared" si="95"/>
        <v>46236</v>
      </c>
      <c r="W147" s="203"/>
      <c r="X147" s="203"/>
      <c r="Y147" s="84"/>
      <c r="Z147" s="8"/>
      <c r="AA147" s="8"/>
      <c r="AB147" s="8"/>
      <c r="AF147" s="203"/>
    </row>
    <row r="148" spans="1:32">
      <c r="A148" s="216" t="s">
        <v>40</v>
      </c>
      <c r="B148" s="84">
        <f t="shared" si="88"/>
        <v>22</v>
      </c>
      <c r="C148" s="217">
        <f t="shared" si="89"/>
        <v>46133</v>
      </c>
      <c r="D148" s="218">
        <f t="shared" si="90"/>
        <v>46139</v>
      </c>
      <c r="E148" s="219"/>
      <c r="F148" s="220">
        <f t="shared" si="91"/>
        <v>46153</v>
      </c>
      <c r="G148" s="219"/>
      <c r="H148" s="54"/>
      <c r="I148" s="218">
        <f t="shared" si="92"/>
        <v>46170</v>
      </c>
      <c r="J148" s="219"/>
      <c r="K148" s="54"/>
      <c r="L148" s="218">
        <f t="shared" si="93"/>
        <v>46173</v>
      </c>
      <c r="M148" s="219"/>
      <c r="N148" s="219"/>
      <c r="O148" s="54"/>
      <c r="P148" s="54"/>
      <c r="Q148" s="221"/>
      <c r="R148" s="218">
        <f t="shared" si="94"/>
        <v>46205</v>
      </c>
      <c r="S148" s="203"/>
      <c r="T148" s="84"/>
      <c r="U148" s="54"/>
      <c r="V148" s="218">
        <f t="shared" si="95"/>
        <v>46240</v>
      </c>
      <c r="W148" s="203"/>
      <c r="X148" s="203"/>
      <c r="Y148" s="84"/>
      <c r="Z148" s="8"/>
      <c r="AA148" s="8"/>
      <c r="AB148" s="8"/>
      <c r="AF148" s="203"/>
    </row>
    <row r="149" spans="1:32">
      <c r="A149" s="216" t="s">
        <v>46</v>
      </c>
      <c r="B149" s="84">
        <f t="shared" si="88"/>
        <v>8</v>
      </c>
      <c r="C149" s="217">
        <f t="shared" si="89"/>
        <v>46136</v>
      </c>
      <c r="D149" s="218">
        <f t="shared" si="90"/>
        <v>46142</v>
      </c>
      <c r="E149" s="219"/>
      <c r="F149" s="220">
        <f t="shared" si="91"/>
        <v>46156</v>
      </c>
      <c r="G149" s="219"/>
      <c r="H149" s="54"/>
      <c r="I149" s="218">
        <f t="shared" si="92"/>
        <v>46173</v>
      </c>
      <c r="J149" s="219"/>
      <c r="K149" s="54"/>
      <c r="L149" s="218">
        <f t="shared" si="93"/>
        <v>46176</v>
      </c>
      <c r="M149" s="219"/>
      <c r="N149" s="219"/>
      <c r="O149" s="54"/>
      <c r="P149" s="54"/>
      <c r="Q149" s="221"/>
      <c r="R149" s="218">
        <f t="shared" si="94"/>
        <v>46208</v>
      </c>
      <c r="S149" s="203"/>
      <c r="T149" s="84"/>
      <c r="U149" s="54"/>
      <c r="V149" s="218">
        <f t="shared" si="95"/>
        <v>46243</v>
      </c>
      <c r="W149" s="203"/>
      <c r="X149" s="203"/>
      <c r="Y149" s="84"/>
      <c r="Z149" s="8"/>
      <c r="AA149" s="8"/>
      <c r="AB149" s="8"/>
      <c r="AF149" s="203"/>
    </row>
    <row r="150" spans="1:32">
      <c r="A150" s="216" t="s">
        <v>50</v>
      </c>
      <c r="B150" s="84">
        <f t="shared" si="88"/>
        <v>12</v>
      </c>
      <c r="C150" s="217">
        <f t="shared" si="89"/>
        <v>46143</v>
      </c>
      <c r="D150" s="218">
        <f t="shared" si="90"/>
        <v>46149</v>
      </c>
      <c r="E150" s="219"/>
      <c r="F150" s="220">
        <f t="shared" si="91"/>
        <v>46163</v>
      </c>
      <c r="G150" s="219"/>
      <c r="H150" s="54"/>
      <c r="I150" s="218">
        <f t="shared" si="92"/>
        <v>46180</v>
      </c>
      <c r="J150" s="219"/>
      <c r="K150" s="54"/>
      <c r="L150" s="218">
        <f t="shared" si="93"/>
        <v>46183</v>
      </c>
      <c r="M150" s="219"/>
      <c r="N150" s="219"/>
      <c r="O150" s="54"/>
      <c r="P150" s="54"/>
      <c r="Q150" s="221"/>
      <c r="R150" s="218">
        <f t="shared" si="94"/>
        <v>46215</v>
      </c>
      <c r="S150" s="203"/>
      <c r="T150" s="84"/>
      <c r="U150" s="54"/>
      <c r="V150" s="218">
        <f t="shared" si="95"/>
        <v>46250</v>
      </c>
      <c r="W150" s="203"/>
      <c r="X150" s="203"/>
      <c r="Y150" s="84"/>
      <c r="Z150" s="8"/>
      <c r="AA150" s="8"/>
      <c r="AB150" s="8"/>
      <c r="AF150" s="203"/>
    </row>
    <row r="151" spans="1:32">
      <c r="A151" s="216" t="s">
        <v>32</v>
      </c>
      <c r="B151" s="84">
        <f t="shared" si="88"/>
        <v>24</v>
      </c>
      <c r="C151" s="217">
        <f t="shared" si="89"/>
        <v>46147</v>
      </c>
      <c r="D151" s="218">
        <f t="shared" si="90"/>
        <v>46153</v>
      </c>
      <c r="E151" s="219"/>
      <c r="F151" s="220">
        <f t="shared" si="91"/>
        <v>46167</v>
      </c>
      <c r="G151" s="219"/>
      <c r="H151" s="54"/>
      <c r="I151" s="218">
        <f t="shared" si="92"/>
        <v>46184</v>
      </c>
      <c r="J151" s="219"/>
      <c r="K151" s="54"/>
      <c r="L151" s="218">
        <f t="shared" si="93"/>
        <v>46187</v>
      </c>
      <c r="M151" s="219"/>
      <c r="N151" s="219"/>
      <c r="O151" s="54"/>
      <c r="P151" s="54"/>
      <c r="Q151" s="221"/>
      <c r="R151" s="218">
        <f t="shared" si="94"/>
        <v>46219</v>
      </c>
      <c r="S151" s="203"/>
      <c r="T151" s="84"/>
      <c r="U151" s="54"/>
      <c r="V151" s="218">
        <f t="shared" si="95"/>
        <v>46254</v>
      </c>
      <c r="W151" s="203"/>
      <c r="X151" s="203"/>
      <c r="Y151" s="84"/>
      <c r="Z151" s="8"/>
      <c r="AA151" s="8"/>
      <c r="AB151" s="8"/>
      <c r="AF151" s="203"/>
    </row>
    <row r="152" spans="1:32">
      <c r="A152" s="216" t="s">
        <v>43</v>
      </c>
      <c r="B152" s="84">
        <f t="shared" si="88"/>
        <v>5</v>
      </c>
      <c r="C152" s="217">
        <f t="shared" si="89"/>
        <v>46152</v>
      </c>
      <c r="D152" s="218">
        <f t="shared" si="90"/>
        <v>46158</v>
      </c>
      <c r="E152" s="219"/>
      <c r="F152" s="220">
        <f t="shared" si="91"/>
        <v>46172</v>
      </c>
      <c r="G152" s="219"/>
      <c r="H152" s="54"/>
      <c r="I152" s="218">
        <f t="shared" si="92"/>
        <v>46189</v>
      </c>
      <c r="J152" s="219"/>
      <c r="K152" s="54"/>
      <c r="L152" s="218">
        <f t="shared" si="93"/>
        <v>46192</v>
      </c>
      <c r="M152" s="219"/>
      <c r="N152" s="219"/>
      <c r="O152" s="54"/>
      <c r="P152" s="54"/>
      <c r="Q152" s="221"/>
      <c r="R152" s="218">
        <f t="shared" si="94"/>
        <v>46224</v>
      </c>
      <c r="S152" s="203"/>
      <c r="T152" s="84"/>
      <c r="U152" s="54"/>
      <c r="V152" s="218">
        <f t="shared" si="95"/>
        <v>46259</v>
      </c>
      <c r="W152" s="203"/>
      <c r="X152" s="203"/>
      <c r="Y152" s="84"/>
      <c r="Z152" s="8"/>
      <c r="AA152" s="8"/>
      <c r="AB152" s="8"/>
      <c r="AF152" s="203"/>
    </row>
    <row r="153" spans="1:32">
      <c r="A153" s="216" t="s">
        <v>30</v>
      </c>
      <c r="B153" s="84">
        <f t="shared" si="88"/>
        <v>25</v>
      </c>
      <c r="C153" s="217">
        <f t="shared" si="89"/>
        <v>46154</v>
      </c>
      <c r="D153" s="218">
        <f t="shared" si="90"/>
        <v>46160</v>
      </c>
      <c r="E153" s="219"/>
      <c r="F153" s="220">
        <f t="shared" si="91"/>
        <v>46174</v>
      </c>
      <c r="G153" s="219"/>
      <c r="H153" s="54"/>
      <c r="I153" s="218">
        <f t="shared" si="92"/>
        <v>46191</v>
      </c>
      <c r="J153" s="219"/>
      <c r="K153" s="54"/>
      <c r="L153" s="218">
        <f t="shared" si="93"/>
        <v>46194</v>
      </c>
      <c r="M153" s="219"/>
      <c r="N153" s="219"/>
      <c r="O153" s="54"/>
      <c r="P153" s="54"/>
      <c r="Q153" s="221"/>
      <c r="R153" s="218">
        <f t="shared" si="94"/>
        <v>46226</v>
      </c>
      <c r="S153" s="203"/>
      <c r="T153" s="84"/>
      <c r="U153" s="54"/>
      <c r="V153" s="218">
        <f t="shared" si="95"/>
        <v>46261</v>
      </c>
      <c r="W153" s="203"/>
      <c r="X153" s="203"/>
      <c r="Y153" s="84"/>
      <c r="Z153" s="8"/>
      <c r="AA153" s="8"/>
      <c r="AB153" s="8"/>
      <c r="AF153" s="203"/>
    </row>
    <row r="154" spans="1:32">
      <c r="A154" s="216" t="s">
        <v>42</v>
      </c>
      <c r="B154" s="84">
        <f t="shared" si="88"/>
        <v>21</v>
      </c>
      <c r="C154" s="217">
        <f t="shared" si="89"/>
        <v>46161</v>
      </c>
      <c r="D154" s="218">
        <f t="shared" si="90"/>
        <v>46167</v>
      </c>
      <c r="E154" s="219"/>
      <c r="F154" s="220">
        <f t="shared" si="91"/>
        <v>46181</v>
      </c>
      <c r="G154" s="219"/>
      <c r="H154" s="54"/>
      <c r="I154" s="218">
        <f t="shared" ref="I154:I160" si="96">D154+31</f>
        <v>46198</v>
      </c>
      <c r="J154" s="219"/>
      <c r="K154" s="54"/>
      <c r="L154" s="218">
        <f t="shared" si="93"/>
        <v>46201</v>
      </c>
      <c r="M154" s="219"/>
      <c r="N154" s="219"/>
      <c r="O154" s="54"/>
      <c r="P154" s="54"/>
      <c r="Q154" s="221"/>
      <c r="R154" s="218">
        <f t="shared" si="94"/>
        <v>46233</v>
      </c>
      <c r="S154" s="203"/>
      <c r="T154" s="84"/>
      <c r="U154" s="54"/>
      <c r="V154" s="218">
        <f t="shared" si="95"/>
        <v>46268</v>
      </c>
      <c r="W154" s="203"/>
      <c r="X154" s="203"/>
      <c r="Y154" s="84"/>
      <c r="Z154" s="8"/>
      <c r="AA154" s="8"/>
      <c r="AB154" s="8"/>
      <c r="AF154" s="203"/>
    </row>
    <row r="155" spans="1:32">
      <c r="A155" s="216" t="s">
        <v>58</v>
      </c>
      <c r="B155" s="84">
        <f t="shared" si="88"/>
        <v>24</v>
      </c>
      <c r="C155" s="217">
        <f t="shared" si="89"/>
        <v>46164</v>
      </c>
      <c r="D155" s="218">
        <f t="shared" si="90"/>
        <v>46170</v>
      </c>
      <c r="E155" s="219"/>
      <c r="F155" s="220">
        <f t="shared" si="91"/>
        <v>46184</v>
      </c>
      <c r="G155" s="219"/>
      <c r="H155" s="54"/>
      <c r="I155" s="218">
        <f t="shared" si="96"/>
        <v>46201</v>
      </c>
      <c r="J155" s="219"/>
      <c r="K155" s="54"/>
      <c r="L155" s="218">
        <f t="shared" si="93"/>
        <v>46204</v>
      </c>
      <c r="M155" s="219"/>
      <c r="N155" s="219"/>
      <c r="O155" s="54"/>
      <c r="P155" s="54"/>
      <c r="Q155" s="221"/>
      <c r="R155" s="218">
        <f t="shared" si="94"/>
        <v>46236</v>
      </c>
      <c r="S155" s="203"/>
      <c r="T155" s="84"/>
      <c r="U155" s="54"/>
      <c r="V155" s="218">
        <f t="shared" si="95"/>
        <v>46271</v>
      </c>
      <c r="W155" s="203"/>
      <c r="X155" s="203"/>
      <c r="Y155" s="84"/>
      <c r="Z155" s="8"/>
      <c r="AA155" s="8"/>
      <c r="AB155" s="8"/>
      <c r="AF155" s="203"/>
    </row>
    <row r="156" spans="1:32">
      <c r="A156" s="216" t="s">
        <v>37</v>
      </c>
      <c r="B156" s="84">
        <f t="shared" si="88"/>
        <v>24</v>
      </c>
      <c r="C156" s="217">
        <f t="shared" si="89"/>
        <v>46168</v>
      </c>
      <c r="D156" s="218">
        <f t="shared" si="90"/>
        <v>46174</v>
      </c>
      <c r="E156" s="219"/>
      <c r="F156" s="220">
        <f t="shared" si="91"/>
        <v>46188</v>
      </c>
      <c r="G156" s="219"/>
      <c r="H156" s="54"/>
      <c r="I156" s="218">
        <f t="shared" si="96"/>
        <v>46205</v>
      </c>
      <c r="J156" s="219"/>
      <c r="K156" s="54"/>
      <c r="L156" s="218">
        <f t="shared" si="93"/>
        <v>46208</v>
      </c>
      <c r="M156" s="219"/>
      <c r="N156" s="219"/>
      <c r="O156" s="54"/>
      <c r="P156" s="54"/>
      <c r="Q156" s="221"/>
      <c r="R156" s="218">
        <f t="shared" si="94"/>
        <v>46240</v>
      </c>
      <c r="S156" s="203"/>
      <c r="T156" s="84"/>
      <c r="U156" s="54"/>
      <c r="V156" s="218">
        <f t="shared" si="95"/>
        <v>46275</v>
      </c>
      <c r="W156" s="203"/>
      <c r="X156" s="203"/>
      <c r="Y156" s="84"/>
      <c r="Z156" s="8"/>
      <c r="AA156" s="8"/>
      <c r="AB156" s="8"/>
      <c r="AF156" s="203"/>
    </row>
    <row r="157" spans="1:32">
      <c r="A157" s="216" t="s">
        <v>54</v>
      </c>
      <c r="B157" s="84">
        <f t="shared" si="88"/>
        <v>8</v>
      </c>
      <c r="C157" s="217">
        <f t="shared" si="89"/>
        <v>46171</v>
      </c>
      <c r="D157" s="218">
        <f t="shared" si="90"/>
        <v>46177</v>
      </c>
      <c r="E157" s="219"/>
      <c r="F157" s="220">
        <f t="shared" si="91"/>
        <v>46191</v>
      </c>
      <c r="G157" s="219"/>
      <c r="H157" s="54"/>
      <c r="I157" s="218">
        <f t="shared" si="96"/>
        <v>46208</v>
      </c>
      <c r="J157" s="219"/>
      <c r="K157" s="54"/>
      <c r="L157" s="218">
        <f t="shared" si="93"/>
        <v>46211</v>
      </c>
      <c r="M157" s="219"/>
      <c r="N157" s="219"/>
      <c r="O157" s="54"/>
      <c r="P157" s="54"/>
      <c r="Q157" s="221"/>
      <c r="R157" s="218">
        <f t="shared" si="94"/>
        <v>46243</v>
      </c>
      <c r="S157" s="203"/>
      <c r="T157" s="84"/>
      <c r="U157" s="54"/>
      <c r="V157" s="218">
        <f t="shared" si="95"/>
        <v>46278</v>
      </c>
      <c r="W157" s="203"/>
      <c r="X157" s="203"/>
      <c r="Y157" s="84"/>
      <c r="Z157" s="8"/>
      <c r="AA157" s="8"/>
      <c r="AB157" s="8"/>
      <c r="AF157" s="203"/>
    </row>
    <row r="158" spans="1:32">
      <c r="A158" s="216" t="s">
        <v>40</v>
      </c>
      <c r="B158" s="84">
        <f t="shared" si="88"/>
        <v>23</v>
      </c>
      <c r="C158" s="217">
        <f t="shared" si="89"/>
        <v>46175</v>
      </c>
      <c r="D158" s="218">
        <f t="shared" si="90"/>
        <v>46181</v>
      </c>
      <c r="E158" s="219"/>
      <c r="F158" s="220">
        <f t="shared" si="91"/>
        <v>46195</v>
      </c>
      <c r="G158" s="219"/>
      <c r="H158" s="54"/>
      <c r="I158" s="218">
        <f t="shared" si="96"/>
        <v>46212</v>
      </c>
      <c r="J158" s="219"/>
      <c r="K158" s="54"/>
      <c r="L158" s="218">
        <f t="shared" si="93"/>
        <v>46215</v>
      </c>
      <c r="M158" s="219"/>
      <c r="N158" s="219"/>
      <c r="O158" s="54"/>
      <c r="P158" s="54"/>
      <c r="Q158" s="221"/>
      <c r="R158" s="218">
        <f t="shared" si="94"/>
        <v>46247</v>
      </c>
      <c r="S158" s="203"/>
      <c r="T158" s="84"/>
      <c r="U158" s="54"/>
      <c r="V158" s="218">
        <f t="shared" si="95"/>
        <v>46282</v>
      </c>
      <c r="W158" s="203"/>
      <c r="X158" s="203"/>
      <c r="Y158" s="84"/>
      <c r="Z158" s="8"/>
      <c r="AA158" s="8"/>
      <c r="AB158" s="8"/>
      <c r="AF158" s="203"/>
    </row>
    <row r="159" spans="1:32">
      <c r="A159" s="216" t="s">
        <v>46</v>
      </c>
      <c r="B159" s="84">
        <f t="shared" si="88"/>
        <v>9</v>
      </c>
      <c r="C159" s="217">
        <f t="shared" si="89"/>
        <v>46178</v>
      </c>
      <c r="D159" s="218">
        <f t="shared" si="90"/>
        <v>46184</v>
      </c>
      <c r="E159" s="219"/>
      <c r="F159" s="220">
        <f t="shared" si="91"/>
        <v>46198</v>
      </c>
      <c r="G159" s="219"/>
      <c r="H159" s="54"/>
      <c r="I159" s="218">
        <f t="shared" si="96"/>
        <v>46215</v>
      </c>
      <c r="J159" s="219"/>
      <c r="K159" s="54"/>
      <c r="L159" s="218">
        <f t="shared" si="93"/>
        <v>46218</v>
      </c>
      <c r="M159" s="219"/>
      <c r="N159" s="219"/>
      <c r="O159" s="54"/>
      <c r="P159" s="54"/>
      <c r="Q159" s="221"/>
      <c r="R159" s="218">
        <f t="shared" si="94"/>
        <v>46250</v>
      </c>
      <c r="S159" s="203"/>
      <c r="T159" s="84"/>
      <c r="U159" s="54"/>
      <c r="V159" s="218">
        <f t="shared" si="95"/>
        <v>46285</v>
      </c>
      <c r="W159" s="203"/>
      <c r="X159" s="203"/>
      <c r="Y159" s="84"/>
      <c r="Z159" s="8"/>
      <c r="AA159" s="8"/>
      <c r="AB159" s="8"/>
      <c r="AF159" s="203"/>
    </row>
    <row r="160" spans="1:32">
      <c r="A160" s="216" t="s">
        <v>50</v>
      </c>
      <c r="B160" s="84">
        <f t="shared" si="88"/>
        <v>13</v>
      </c>
      <c r="C160" s="217">
        <f t="shared" si="89"/>
        <v>46185</v>
      </c>
      <c r="D160" s="218">
        <f t="shared" si="90"/>
        <v>46191</v>
      </c>
      <c r="E160" s="219"/>
      <c r="F160" s="220">
        <f t="shared" si="91"/>
        <v>46205</v>
      </c>
      <c r="G160" s="219"/>
      <c r="H160" s="54"/>
      <c r="I160" s="218">
        <f t="shared" si="96"/>
        <v>46222</v>
      </c>
      <c r="J160" s="219"/>
      <c r="K160" s="54"/>
      <c r="L160" s="218">
        <f t="shared" si="93"/>
        <v>46225</v>
      </c>
      <c r="M160" s="219"/>
      <c r="N160" s="219"/>
      <c r="O160" s="54"/>
      <c r="P160" s="54"/>
      <c r="Q160" s="221"/>
      <c r="R160" s="218">
        <f t="shared" si="94"/>
        <v>46257</v>
      </c>
      <c r="S160" s="203"/>
      <c r="T160" s="84"/>
      <c r="U160" s="54"/>
      <c r="V160" s="218">
        <f t="shared" si="95"/>
        <v>46292</v>
      </c>
      <c r="W160" s="203"/>
      <c r="X160" s="203"/>
      <c r="Y160" s="84"/>
      <c r="Z160" s="8"/>
      <c r="AA160" s="8"/>
      <c r="AB160" s="8"/>
      <c r="AF160" s="203"/>
    </row>
    <row r="161" spans="1:32">
      <c r="A161" s="216"/>
      <c r="B161" s="84"/>
      <c r="C161" s="217"/>
      <c r="D161" s="203"/>
      <c r="E161" s="219"/>
      <c r="F161" s="220"/>
      <c r="G161" s="219"/>
      <c r="H161" s="54"/>
      <c r="I161" s="203"/>
      <c r="J161" s="219"/>
      <c r="K161" s="54"/>
      <c r="L161" s="203"/>
      <c r="M161" s="219"/>
      <c r="N161" s="219"/>
      <c r="O161" s="54"/>
      <c r="P161" s="54"/>
      <c r="Q161" s="221"/>
      <c r="R161" s="203"/>
      <c r="S161" s="203"/>
      <c r="T161" s="84"/>
      <c r="U161" s="54"/>
      <c r="V161" s="203"/>
      <c r="W161" s="203"/>
      <c r="X161" s="203"/>
      <c r="Y161" s="84"/>
      <c r="Z161" s="8"/>
      <c r="AA161" s="8"/>
      <c r="AB161" s="8"/>
      <c r="AF161" s="203"/>
    </row>
    <row r="162" spans="1:32">
      <c r="A162" s="216"/>
      <c r="B162" s="84"/>
      <c r="C162" s="217"/>
      <c r="D162" s="203"/>
      <c r="E162" s="219"/>
      <c r="F162" s="220"/>
      <c r="G162" s="219"/>
      <c r="H162" s="54"/>
      <c r="I162" s="203"/>
      <c r="J162" s="219"/>
      <c r="K162" s="54"/>
      <c r="L162" s="203"/>
      <c r="M162" s="219"/>
      <c r="N162" s="219"/>
      <c r="O162" s="54"/>
      <c r="P162" s="54"/>
      <c r="Q162" s="221"/>
      <c r="R162" s="203"/>
      <c r="S162" s="203"/>
      <c r="T162" s="84"/>
      <c r="U162" s="54"/>
      <c r="V162" s="203"/>
      <c r="W162" s="203"/>
      <c r="X162" s="203"/>
      <c r="Y162" s="84"/>
      <c r="Z162" s="8"/>
      <c r="AA162" s="8"/>
      <c r="AB162" s="8"/>
      <c r="AF162" s="203"/>
    </row>
    <row r="163" spans="1:32">
      <c r="A163" s="216"/>
      <c r="B163" s="84"/>
      <c r="C163" s="217"/>
      <c r="D163" s="203"/>
      <c r="E163" s="219"/>
      <c r="F163" s="220"/>
      <c r="G163" s="219"/>
      <c r="H163" s="54"/>
      <c r="I163" s="203"/>
      <c r="J163" s="219"/>
      <c r="K163" s="54"/>
      <c r="L163" s="203"/>
      <c r="M163" s="219"/>
      <c r="N163" s="219"/>
      <c r="O163" s="54"/>
      <c r="P163" s="54"/>
      <c r="Q163" s="221"/>
      <c r="R163" s="203"/>
      <c r="S163" s="203"/>
      <c r="T163" s="84"/>
      <c r="U163" s="54"/>
      <c r="V163" s="203"/>
      <c r="W163" s="203"/>
      <c r="X163" s="203"/>
      <c r="Y163" s="84"/>
      <c r="Z163" s="8"/>
      <c r="AA163" s="8"/>
      <c r="AB163" s="8"/>
      <c r="AF163" s="203"/>
    </row>
    <row r="164" spans="1:32">
      <c r="A164" s="216"/>
      <c r="B164" s="84"/>
      <c r="C164" s="217"/>
      <c r="D164" s="203"/>
      <c r="E164" s="219"/>
      <c r="F164" s="220"/>
      <c r="G164" s="219"/>
      <c r="H164" s="54"/>
      <c r="I164" s="203"/>
      <c r="J164" s="219"/>
      <c r="K164" s="54"/>
      <c r="L164" s="203"/>
      <c r="M164" s="219"/>
      <c r="N164" s="219"/>
      <c r="O164" s="54"/>
      <c r="P164" s="54"/>
      <c r="Q164" s="221"/>
      <c r="R164" s="203"/>
      <c r="S164" s="203"/>
      <c r="T164" s="84"/>
      <c r="U164" s="54"/>
      <c r="V164" s="203"/>
      <c r="W164" s="203"/>
      <c r="X164" s="203"/>
      <c r="Y164" s="84"/>
      <c r="Z164" s="8"/>
      <c r="AA164" s="8"/>
      <c r="AB164" s="8"/>
      <c r="AF164" s="203"/>
    </row>
    <row r="165" spans="1:32">
      <c r="A165" s="216"/>
      <c r="B165" s="84"/>
      <c r="C165" s="217"/>
      <c r="D165" s="203"/>
      <c r="E165" s="219"/>
      <c r="F165" s="220"/>
      <c r="G165" s="219"/>
      <c r="H165" s="54"/>
      <c r="I165" s="203"/>
      <c r="J165" s="219"/>
      <c r="K165" s="54"/>
      <c r="L165" s="203"/>
      <c r="M165" s="219"/>
      <c r="N165" s="219"/>
      <c r="O165" s="54"/>
      <c r="P165" s="54"/>
      <c r="Q165" s="221"/>
      <c r="R165" s="203"/>
      <c r="S165" s="203"/>
      <c r="T165" s="84"/>
      <c r="U165" s="54"/>
      <c r="V165" s="203"/>
      <c r="W165" s="203"/>
      <c r="X165" s="203"/>
      <c r="Y165" s="84"/>
      <c r="Z165" s="8"/>
      <c r="AA165" s="8"/>
      <c r="AB165" s="8"/>
      <c r="AF165" s="203"/>
    </row>
    <row r="166" spans="1:32">
      <c r="A166" s="216"/>
      <c r="B166" s="84"/>
      <c r="C166" s="217"/>
      <c r="D166" s="203"/>
      <c r="E166" s="219"/>
      <c r="F166" s="220"/>
      <c r="G166" s="219"/>
      <c r="H166" s="54"/>
      <c r="I166" s="203"/>
      <c r="J166" s="219"/>
      <c r="K166" s="54"/>
      <c r="L166" s="203"/>
      <c r="M166" s="219"/>
      <c r="N166" s="219"/>
      <c r="O166" s="54"/>
      <c r="P166" s="54"/>
      <c r="Q166" s="221"/>
      <c r="R166" s="203"/>
      <c r="S166" s="203"/>
      <c r="T166" s="84"/>
      <c r="U166" s="54"/>
      <c r="V166" s="203"/>
      <c r="W166" s="203"/>
      <c r="X166" s="203"/>
      <c r="Y166" s="84"/>
      <c r="Z166" s="8"/>
      <c r="AA166" s="8"/>
      <c r="AB166" s="8"/>
      <c r="AF166" s="203"/>
    </row>
    <row r="167" spans="1:32">
      <c r="A167" s="216"/>
      <c r="B167" s="84"/>
      <c r="C167" s="217"/>
      <c r="D167" s="203"/>
      <c r="E167" s="219"/>
      <c r="F167" s="220"/>
      <c r="G167" s="219"/>
      <c r="H167" s="54"/>
      <c r="I167" s="203"/>
      <c r="J167" s="219"/>
      <c r="K167" s="54"/>
      <c r="L167" s="203"/>
      <c r="M167" s="219"/>
      <c r="N167" s="219"/>
      <c r="O167" s="54"/>
      <c r="P167" s="54"/>
      <c r="Q167" s="221"/>
      <c r="R167" s="203"/>
      <c r="S167" s="203"/>
      <c r="T167" s="84"/>
      <c r="U167" s="54"/>
      <c r="V167" s="203"/>
      <c r="W167" s="203"/>
      <c r="X167" s="203"/>
      <c r="Y167" s="84"/>
      <c r="Z167" s="8"/>
      <c r="AA167" s="8"/>
      <c r="AB167" s="8"/>
      <c r="AF167" s="203"/>
    </row>
    <row r="168" spans="1:32">
      <c r="A168" s="216"/>
      <c r="B168" s="84"/>
      <c r="C168" s="217"/>
      <c r="D168" s="203"/>
      <c r="E168" s="219"/>
      <c r="F168" s="220"/>
      <c r="G168" s="219"/>
      <c r="H168" s="54"/>
      <c r="I168" s="203"/>
      <c r="J168" s="219"/>
      <c r="K168" s="54"/>
      <c r="L168" s="203"/>
      <c r="M168" s="219"/>
      <c r="N168" s="219"/>
      <c r="O168" s="54"/>
      <c r="P168" s="54"/>
      <c r="Q168" s="221"/>
      <c r="R168" s="203"/>
      <c r="S168" s="203"/>
      <c r="T168" s="84"/>
      <c r="U168" s="54"/>
      <c r="V168" s="203"/>
      <c r="W168" s="203"/>
      <c r="X168" s="203"/>
      <c r="Y168" s="84"/>
      <c r="Z168" s="8"/>
      <c r="AA168" s="8"/>
      <c r="AB168" s="8"/>
      <c r="AF168" s="203"/>
    </row>
    <row r="169" spans="1:32">
      <c r="A169" s="216"/>
      <c r="B169" s="84"/>
      <c r="C169" s="217"/>
      <c r="D169" s="203"/>
      <c r="E169" s="219"/>
      <c r="F169" s="220"/>
      <c r="G169" s="219"/>
      <c r="H169" s="54"/>
      <c r="I169" s="203"/>
      <c r="J169" s="219"/>
      <c r="K169" s="54"/>
      <c r="L169" s="203"/>
      <c r="M169" s="219"/>
      <c r="N169" s="219"/>
      <c r="O169" s="54"/>
      <c r="P169" s="54"/>
      <c r="Q169" s="221"/>
      <c r="R169" s="203"/>
      <c r="S169" s="203"/>
      <c r="T169" s="84"/>
      <c r="U169" s="54"/>
      <c r="V169" s="203"/>
      <c r="W169" s="203"/>
      <c r="X169" s="203"/>
      <c r="Y169" s="84"/>
      <c r="Z169" s="8"/>
      <c r="AA169" s="8"/>
      <c r="AB169" s="8"/>
      <c r="AF169" s="203"/>
    </row>
    <row r="170" spans="1:32">
      <c r="A170" s="216"/>
      <c r="B170" s="84"/>
      <c r="C170" s="217"/>
      <c r="D170" s="203"/>
      <c r="E170" s="219"/>
      <c r="F170" s="220"/>
      <c r="G170" s="219"/>
      <c r="H170" s="54"/>
      <c r="I170" s="203"/>
      <c r="J170" s="219"/>
      <c r="K170" s="54"/>
      <c r="L170" s="203"/>
      <c r="M170" s="219"/>
      <c r="N170" s="219"/>
      <c r="O170" s="54"/>
      <c r="P170" s="54"/>
      <c r="Q170" s="221"/>
      <c r="R170" s="203"/>
      <c r="S170" s="203"/>
      <c r="T170" s="84"/>
      <c r="U170" s="54"/>
      <c r="V170" s="203"/>
      <c r="W170" s="203"/>
      <c r="X170" s="203"/>
      <c r="Y170" s="84"/>
      <c r="Z170" s="8"/>
      <c r="AA170" s="8"/>
      <c r="AB170" s="8"/>
      <c r="AF170" s="203"/>
    </row>
    <row r="171" spans="1:32">
      <c r="A171" s="216"/>
      <c r="B171" s="84"/>
      <c r="C171" s="217"/>
      <c r="D171" s="203"/>
      <c r="E171" s="219"/>
      <c r="F171" s="220"/>
      <c r="G171" s="219"/>
      <c r="H171" s="54"/>
      <c r="I171" s="203"/>
      <c r="J171" s="219"/>
      <c r="K171" s="54"/>
      <c r="L171" s="203"/>
      <c r="M171" s="219"/>
      <c r="N171" s="219"/>
      <c r="O171" s="54"/>
      <c r="P171" s="54"/>
      <c r="Q171" s="221"/>
      <c r="R171" s="203"/>
      <c r="S171" s="203"/>
      <c r="T171" s="84"/>
      <c r="U171" s="54"/>
      <c r="V171" s="203"/>
      <c r="W171" s="203"/>
      <c r="X171" s="203"/>
      <c r="Y171" s="84"/>
      <c r="Z171" s="8"/>
      <c r="AA171" s="8"/>
      <c r="AB171" s="8"/>
      <c r="AF171" s="203"/>
    </row>
    <row r="172" spans="1:32">
      <c r="A172" s="216"/>
      <c r="B172" s="84"/>
      <c r="C172" s="217"/>
      <c r="D172" s="203"/>
      <c r="E172" s="219"/>
      <c r="F172" s="220"/>
      <c r="G172" s="219"/>
      <c r="H172" s="54"/>
      <c r="I172" s="203"/>
      <c r="J172" s="219"/>
      <c r="K172" s="54"/>
      <c r="L172" s="203"/>
      <c r="M172" s="219"/>
      <c r="N172" s="219"/>
      <c r="O172" s="54"/>
      <c r="P172" s="54"/>
      <c r="Q172" s="221"/>
      <c r="R172" s="203"/>
      <c r="S172" s="203"/>
      <c r="T172" s="84"/>
      <c r="U172" s="54"/>
      <c r="V172" s="203"/>
      <c r="W172" s="203"/>
      <c r="X172" s="203"/>
      <c r="Y172" s="84"/>
      <c r="Z172" s="8"/>
      <c r="AA172" s="8"/>
      <c r="AB172" s="8"/>
      <c r="AF172" s="203"/>
    </row>
    <row r="173" spans="1:32">
      <c r="A173" s="216"/>
      <c r="B173" s="84"/>
      <c r="C173" s="217"/>
      <c r="D173" s="203"/>
      <c r="E173" s="219"/>
      <c r="F173" s="220"/>
      <c r="G173" s="219"/>
      <c r="H173" s="54"/>
      <c r="I173" s="203"/>
      <c r="J173" s="219"/>
      <c r="K173" s="54"/>
      <c r="L173" s="203"/>
      <c r="M173" s="219"/>
      <c r="N173" s="219"/>
      <c r="O173" s="54"/>
      <c r="P173" s="54"/>
      <c r="Q173" s="221"/>
      <c r="R173" s="203"/>
      <c r="S173" s="203"/>
      <c r="T173" s="84"/>
      <c r="U173" s="54"/>
      <c r="V173" s="203"/>
      <c r="W173" s="203"/>
      <c r="X173" s="203"/>
      <c r="Y173" s="84"/>
      <c r="Z173" s="8"/>
      <c r="AA173" s="8"/>
      <c r="AB173" s="8"/>
      <c r="AF173" s="203"/>
    </row>
    <row r="174" spans="1:32">
      <c r="A174" s="216"/>
      <c r="B174" s="84"/>
      <c r="C174" s="217"/>
      <c r="D174" s="203"/>
      <c r="E174" s="219"/>
      <c r="F174" s="220"/>
      <c r="G174" s="219"/>
      <c r="H174" s="54"/>
      <c r="I174" s="203"/>
      <c r="J174" s="219"/>
      <c r="K174" s="54"/>
      <c r="L174" s="203"/>
      <c r="M174" s="219"/>
      <c r="N174" s="219"/>
      <c r="O174" s="54"/>
      <c r="P174" s="54"/>
      <c r="Q174" s="221"/>
      <c r="R174" s="203"/>
      <c r="S174" s="203"/>
      <c r="T174" s="84"/>
      <c r="U174" s="54"/>
      <c r="V174" s="203"/>
      <c r="W174" s="203"/>
      <c r="X174" s="203"/>
      <c r="Y174" s="84"/>
      <c r="Z174" s="8"/>
      <c r="AA174" s="8"/>
      <c r="AB174" s="8"/>
      <c r="AF174" s="203"/>
    </row>
    <row r="175" spans="1:32">
      <c r="A175" s="216"/>
      <c r="B175" s="84"/>
      <c r="C175" s="217"/>
      <c r="D175" s="203"/>
      <c r="E175" s="219"/>
      <c r="F175" s="220"/>
      <c r="G175" s="219"/>
      <c r="H175" s="54"/>
      <c r="I175" s="203"/>
      <c r="J175" s="219"/>
      <c r="K175" s="54"/>
      <c r="L175" s="203"/>
      <c r="M175" s="219"/>
      <c r="N175" s="219"/>
      <c r="O175" s="54"/>
      <c r="P175" s="54"/>
      <c r="Q175" s="221"/>
      <c r="R175" s="203"/>
      <c r="S175" s="203"/>
      <c r="T175" s="84"/>
      <c r="U175" s="54"/>
      <c r="V175" s="203"/>
      <c r="W175" s="203"/>
      <c r="X175" s="203"/>
      <c r="Y175" s="84"/>
      <c r="Z175" s="8"/>
      <c r="AA175" s="8"/>
      <c r="AB175" s="8"/>
      <c r="AF175" s="203"/>
    </row>
    <row r="176" spans="1:32">
      <c r="A176" s="216"/>
      <c r="B176" s="84"/>
      <c r="C176" s="217"/>
      <c r="D176" s="203"/>
      <c r="E176" s="219"/>
      <c r="F176" s="220"/>
      <c r="G176" s="219"/>
      <c r="H176" s="54"/>
      <c r="I176" s="203"/>
      <c r="J176" s="219"/>
      <c r="K176" s="54"/>
      <c r="L176" s="203"/>
      <c r="M176" s="219"/>
      <c r="N176" s="219"/>
      <c r="O176" s="54"/>
      <c r="P176" s="54"/>
      <c r="Q176" s="221"/>
      <c r="R176" s="203"/>
      <c r="S176" s="203"/>
      <c r="T176" s="84"/>
      <c r="U176" s="54"/>
      <c r="V176" s="203"/>
      <c r="W176" s="203"/>
      <c r="X176" s="203"/>
      <c r="Y176" s="84"/>
      <c r="Z176" s="8"/>
      <c r="AA176" s="8"/>
      <c r="AB176" s="8"/>
      <c r="AF176" s="203"/>
    </row>
    <row r="177" spans="1:32">
      <c r="A177" s="216"/>
      <c r="B177" s="84"/>
      <c r="C177" s="217"/>
      <c r="D177" s="203"/>
      <c r="E177" s="219"/>
      <c r="F177" s="220"/>
      <c r="G177" s="219"/>
      <c r="H177" s="54"/>
      <c r="I177" s="203"/>
      <c r="J177" s="219"/>
      <c r="K177" s="54"/>
      <c r="L177" s="203"/>
      <c r="M177" s="219"/>
      <c r="N177" s="219"/>
      <c r="O177" s="54"/>
      <c r="P177" s="54"/>
      <c r="Q177" s="221"/>
      <c r="R177" s="203"/>
      <c r="S177" s="203"/>
      <c r="T177" s="84"/>
      <c r="U177" s="54"/>
      <c r="V177" s="203"/>
      <c r="W177" s="203"/>
      <c r="X177" s="203"/>
      <c r="Y177" s="84"/>
      <c r="Z177" s="8"/>
      <c r="AA177" s="8"/>
      <c r="AB177" s="8"/>
      <c r="AF177" s="203"/>
    </row>
    <row r="178" spans="1:32">
      <c r="A178" s="216"/>
      <c r="B178" s="84"/>
      <c r="C178" s="217"/>
      <c r="D178" s="203"/>
      <c r="E178" s="219"/>
      <c r="F178" s="220"/>
      <c r="G178" s="219"/>
      <c r="H178" s="54"/>
      <c r="I178" s="203"/>
      <c r="J178" s="219"/>
      <c r="K178" s="54"/>
      <c r="L178" s="203"/>
      <c r="M178" s="219"/>
      <c r="N178" s="219"/>
      <c r="O178" s="54"/>
      <c r="P178" s="54"/>
      <c r="Q178" s="221"/>
      <c r="R178" s="203"/>
      <c r="S178" s="203"/>
      <c r="T178" s="84"/>
      <c r="U178" s="54"/>
      <c r="V178" s="203"/>
      <c r="W178" s="203"/>
      <c r="X178" s="203"/>
      <c r="Y178" s="84"/>
      <c r="Z178" s="8"/>
      <c r="AA178" s="8"/>
      <c r="AB178" s="8"/>
      <c r="AF178" s="203"/>
    </row>
    <row r="179" spans="1:32">
      <c r="A179" s="216"/>
      <c r="B179" s="84"/>
      <c r="C179" s="217"/>
      <c r="D179" s="203"/>
      <c r="E179" s="219"/>
      <c r="F179" s="220"/>
      <c r="G179" s="219"/>
      <c r="H179" s="54"/>
      <c r="I179" s="203"/>
      <c r="J179" s="219"/>
      <c r="K179" s="54"/>
      <c r="L179" s="203"/>
      <c r="M179" s="219"/>
      <c r="N179" s="219"/>
      <c r="O179" s="54"/>
      <c r="P179" s="54"/>
      <c r="Q179" s="221"/>
      <c r="R179" s="203"/>
      <c r="S179" s="203"/>
      <c r="T179" s="84"/>
      <c r="U179" s="54"/>
      <c r="V179" s="203"/>
      <c r="W179" s="203"/>
      <c r="X179" s="203"/>
      <c r="Y179" s="84"/>
      <c r="Z179" s="8"/>
      <c r="AA179" s="8"/>
      <c r="AB179" s="8"/>
      <c r="AF179" s="203"/>
    </row>
    <row r="180" spans="1:32">
      <c r="A180" s="216"/>
      <c r="B180" s="84"/>
      <c r="C180" s="217"/>
      <c r="D180" s="203"/>
      <c r="E180" s="219"/>
      <c r="F180" s="220"/>
      <c r="G180" s="219"/>
      <c r="H180" s="54"/>
      <c r="I180" s="203"/>
      <c r="J180" s="219"/>
      <c r="K180" s="54"/>
      <c r="L180" s="203"/>
      <c r="M180" s="219"/>
      <c r="N180" s="219"/>
      <c r="O180" s="54"/>
      <c r="P180" s="54"/>
      <c r="Q180" s="221"/>
      <c r="R180" s="203"/>
      <c r="S180" s="203"/>
      <c r="T180" s="84"/>
      <c r="U180" s="54"/>
      <c r="V180" s="203"/>
      <c r="W180" s="203"/>
      <c r="X180" s="203"/>
      <c r="Y180" s="84"/>
      <c r="Z180" s="8"/>
      <c r="AA180" s="8"/>
      <c r="AB180" s="8"/>
      <c r="AF180" s="203"/>
    </row>
    <row r="181" spans="1:32">
      <c r="A181" s="216"/>
      <c r="B181" s="84"/>
      <c r="C181" s="217"/>
      <c r="D181" s="203"/>
      <c r="E181" s="219"/>
      <c r="F181" s="220"/>
      <c r="G181" s="219"/>
      <c r="H181" s="54"/>
      <c r="I181" s="203"/>
      <c r="J181" s="219"/>
      <c r="K181" s="54"/>
      <c r="L181" s="203"/>
      <c r="M181" s="219"/>
      <c r="N181" s="219"/>
      <c r="O181" s="54"/>
      <c r="P181" s="54"/>
      <c r="Q181" s="221"/>
      <c r="R181" s="203"/>
      <c r="S181" s="203"/>
      <c r="T181" s="84"/>
      <c r="U181" s="54"/>
      <c r="V181" s="203"/>
      <c r="W181" s="203"/>
      <c r="X181" s="203"/>
      <c r="Y181" s="84"/>
      <c r="Z181" s="8"/>
      <c r="AA181" s="8"/>
      <c r="AB181" s="8"/>
      <c r="AF181" s="203"/>
    </row>
    <row r="182" spans="1:32">
      <c r="A182" s="216"/>
      <c r="B182" s="84"/>
      <c r="C182" s="217"/>
      <c r="D182" s="203"/>
      <c r="E182" s="219"/>
      <c r="F182" s="220"/>
      <c r="G182" s="219"/>
      <c r="H182" s="54"/>
      <c r="I182" s="203"/>
      <c r="J182" s="219"/>
      <c r="K182" s="54"/>
      <c r="L182" s="203"/>
      <c r="M182" s="219"/>
      <c r="N182" s="219"/>
      <c r="O182" s="54"/>
      <c r="P182" s="54"/>
      <c r="Q182" s="221"/>
      <c r="R182" s="203"/>
      <c r="S182" s="203"/>
      <c r="T182" s="84"/>
      <c r="U182" s="54"/>
      <c r="V182" s="203"/>
      <c r="W182" s="203"/>
      <c r="X182" s="203"/>
      <c r="Y182" s="84"/>
      <c r="Z182" s="8"/>
      <c r="AA182" s="8"/>
      <c r="AB182" s="8"/>
      <c r="AF182" s="203"/>
    </row>
    <row r="183" spans="1:32">
      <c r="A183" s="216"/>
      <c r="B183" s="84"/>
      <c r="C183" s="217"/>
      <c r="D183" s="203"/>
      <c r="E183" s="219"/>
      <c r="F183" s="220"/>
      <c r="G183" s="219"/>
      <c r="H183" s="54"/>
      <c r="I183" s="203"/>
      <c r="J183" s="219"/>
      <c r="K183" s="54"/>
      <c r="L183" s="203"/>
      <c r="M183" s="219"/>
      <c r="N183" s="219"/>
      <c r="O183" s="54"/>
      <c r="P183" s="54"/>
      <c r="Q183" s="221"/>
      <c r="R183" s="203"/>
      <c r="S183" s="203"/>
      <c r="T183" s="84"/>
      <c r="U183" s="54"/>
      <c r="V183" s="203"/>
      <c r="W183" s="203"/>
      <c r="X183" s="203"/>
      <c r="Y183" s="84"/>
      <c r="Z183" s="8"/>
      <c r="AA183" s="8"/>
      <c r="AB183" s="8"/>
      <c r="AF183" s="203"/>
    </row>
    <row r="184" spans="1:32">
      <c r="A184" s="216"/>
      <c r="B184" s="84"/>
      <c r="C184" s="217"/>
      <c r="D184" s="203"/>
      <c r="E184" s="219"/>
      <c r="F184" s="220"/>
      <c r="G184" s="219"/>
      <c r="H184" s="54"/>
      <c r="I184" s="203"/>
      <c r="J184" s="219"/>
      <c r="K184" s="54"/>
      <c r="L184" s="203"/>
      <c r="M184" s="219"/>
      <c r="N184" s="219"/>
      <c r="O184" s="54"/>
      <c r="P184" s="54"/>
      <c r="Q184" s="221"/>
      <c r="R184" s="203"/>
      <c r="S184" s="203"/>
      <c r="T184" s="84"/>
      <c r="U184" s="54"/>
      <c r="V184" s="203"/>
      <c r="W184" s="203"/>
      <c r="X184" s="203"/>
      <c r="Y184" s="84"/>
      <c r="Z184" s="8"/>
      <c r="AA184" s="8"/>
      <c r="AB184" s="8"/>
      <c r="AF184" s="203"/>
    </row>
    <row r="185" spans="1:32">
      <c r="A185" s="216"/>
      <c r="B185" s="84"/>
      <c r="C185" s="217"/>
      <c r="D185" s="203"/>
      <c r="E185" s="219"/>
      <c r="F185" s="220"/>
      <c r="G185" s="219"/>
      <c r="H185" s="54"/>
      <c r="I185" s="203"/>
      <c r="J185" s="219"/>
      <c r="K185" s="54"/>
      <c r="L185" s="203"/>
      <c r="M185" s="219"/>
      <c r="N185" s="219"/>
      <c r="O185" s="54"/>
      <c r="P185" s="54"/>
      <c r="Q185" s="221"/>
      <c r="R185" s="203"/>
      <c r="S185" s="203"/>
      <c r="T185" s="84"/>
      <c r="U185" s="54"/>
      <c r="V185" s="203"/>
      <c r="W185" s="203"/>
      <c r="X185" s="203"/>
      <c r="Y185" s="84"/>
      <c r="Z185" s="8"/>
      <c r="AA185" s="8"/>
      <c r="AB185" s="8"/>
      <c r="AF185" s="203"/>
    </row>
    <row r="186" spans="1:32">
      <c r="A186" s="216"/>
      <c r="B186" s="84"/>
      <c r="C186" s="217"/>
      <c r="D186" s="203"/>
      <c r="E186" s="219"/>
      <c r="F186" s="220"/>
      <c r="G186" s="219"/>
      <c r="H186" s="54"/>
      <c r="I186" s="203"/>
      <c r="J186" s="219"/>
      <c r="K186" s="54"/>
      <c r="L186" s="203"/>
      <c r="M186" s="219"/>
      <c r="N186" s="219"/>
      <c r="O186" s="54"/>
      <c r="P186" s="54"/>
      <c r="Q186" s="221"/>
      <c r="R186" s="203"/>
      <c r="S186" s="203"/>
      <c r="T186" s="84"/>
      <c r="U186" s="54"/>
      <c r="V186" s="203"/>
      <c r="W186" s="203"/>
      <c r="X186" s="203"/>
      <c r="Y186" s="84"/>
      <c r="Z186" s="8"/>
      <c r="AA186" s="8"/>
      <c r="AB186" s="8"/>
      <c r="AF186" s="203"/>
    </row>
    <row r="187" spans="1:32">
      <c r="A187" s="216"/>
      <c r="B187" s="84"/>
      <c r="C187" s="217"/>
      <c r="D187" s="203"/>
      <c r="E187" s="219"/>
      <c r="F187" s="220"/>
      <c r="G187" s="219"/>
      <c r="H187" s="54"/>
      <c r="I187" s="203"/>
      <c r="J187" s="219"/>
      <c r="K187" s="54"/>
      <c r="L187" s="203"/>
      <c r="M187" s="219"/>
      <c r="N187" s="219"/>
      <c r="O187" s="54"/>
      <c r="P187" s="54"/>
      <c r="Q187" s="221"/>
      <c r="R187" s="203"/>
      <c r="S187" s="203"/>
      <c r="T187" s="84"/>
      <c r="U187" s="54"/>
      <c r="V187" s="203"/>
      <c r="W187" s="203"/>
      <c r="X187" s="203"/>
      <c r="Y187" s="84"/>
      <c r="Z187" s="8"/>
      <c r="AA187" s="8"/>
      <c r="AB187" s="8"/>
      <c r="AF187" s="203"/>
    </row>
    <row r="188" spans="1:32">
      <c r="A188" s="216"/>
      <c r="B188" s="84"/>
      <c r="C188" s="217"/>
      <c r="D188" s="203"/>
      <c r="E188" s="219"/>
      <c r="F188" s="220"/>
      <c r="G188" s="219"/>
      <c r="H188" s="54"/>
      <c r="I188" s="203"/>
      <c r="J188" s="219"/>
      <c r="K188" s="54"/>
      <c r="L188" s="203"/>
      <c r="M188" s="219"/>
      <c r="N188" s="219"/>
      <c r="O188" s="54"/>
      <c r="P188" s="54"/>
      <c r="Q188" s="221"/>
      <c r="R188" s="203"/>
      <c r="S188" s="203"/>
      <c r="T188" s="84"/>
      <c r="U188" s="54"/>
      <c r="V188" s="203"/>
      <c r="W188" s="203"/>
      <c r="X188" s="203"/>
      <c r="Y188" s="84"/>
      <c r="Z188" s="8"/>
      <c r="AA188" s="8"/>
      <c r="AB188" s="8"/>
      <c r="AF188" s="203"/>
    </row>
    <row r="189" spans="1:32">
      <c r="AC189" s="252"/>
      <c r="AD189" s="253"/>
      <c r="AE189" s="252"/>
      <c r="AF189" s="254"/>
    </row>
    <row r="197" spans="11:11">
      <c r="K197" s="202"/>
    </row>
    <row r="198" spans="11:11">
      <c r="K198" s="255"/>
    </row>
    <row r="199" spans="11:11">
      <c r="K199" s="255"/>
    </row>
    <row r="200" spans="11:11">
      <c r="K200" s="255"/>
    </row>
    <row r="201" spans="11:11">
      <c r="K201" s="255">
        <v>0.03</v>
      </c>
    </row>
    <row r="202" spans="11:11">
      <c r="K202" s="255">
        <v>7.5</v>
      </c>
    </row>
    <row r="203" spans="11:11">
      <c r="K203" s="255">
        <f>K201/K202</f>
        <v>0.004</v>
      </c>
    </row>
    <row r="204" spans="11:11">
      <c r="K204" s="255"/>
    </row>
    <row r="205" spans="11:11">
      <c r="K205" s="255"/>
    </row>
    <row r="206" spans="11:11">
      <c r="K206" s="255"/>
    </row>
  </sheetData>
  <autoFilter xmlns:etc="http://www.wps.cn/officeDocument/2017/etCustomData" ref="A1:AG160" etc:filterBottomFollowUsedRange="0">
    <extLst/>
  </autoFilter>
  <mergeCells count="2">
    <mergeCell ref="AF2:AG2"/>
    <mergeCell ref="AF5:AG5"/>
  </mergeCells>
  <pageMargins left="0.7" right="0.7" top="0.75" bottom="0.75" header="0.3" footer="0.3"/>
  <pageSetup paperSize="9" orientation="landscape"/>
  <headerFooter/>
  <ignoredErrors>
    <ignoredError sqref="A64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Z163"/>
  <sheetViews>
    <sheetView zoomScale="85" zoomScaleNormal="85" workbookViewId="0">
      <pane ySplit="1" topLeftCell="A63" activePane="bottomLeft" state="frozen"/>
      <selection/>
      <selection pane="bottomLeft" activeCell="Q75" sqref="Q75:Q76"/>
    </sheetView>
  </sheetViews>
  <sheetFormatPr defaultColWidth="9" defaultRowHeight="14"/>
  <cols>
    <col min="1" max="1" width="10.3916666666667" style="74" customWidth="1"/>
    <col min="2" max="2" width="15.5" style="75" customWidth="1"/>
    <col min="3" max="3" width="16.8583333333333" customWidth="1"/>
    <col min="4" max="4" width="10.875" style="76" customWidth="1"/>
    <col min="5" max="5" width="9.625" style="75"/>
    <col min="6" max="6" width="12.625" style="76"/>
    <col min="7" max="7" width="12.75"/>
    <col min="8" max="8" width="13.625" customWidth="1"/>
    <col min="9" max="9" width="12.875" customWidth="1"/>
    <col min="10" max="10" width="10.875" style="77" customWidth="1"/>
    <col min="11" max="11" width="10.5" style="75"/>
    <col min="12" max="12" width="16.25" customWidth="1"/>
    <col min="13" max="13" width="11.25" customWidth="1"/>
    <col min="14" max="14" width="12.75" style="76" customWidth="1"/>
    <col min="15" max="15" width="11.25" customWidth="1"/>
    <col min="16" max="16" width="11.25" style="76" customWidth="1"/>
    <col min="17" max="17" width="24" style="76" customWidth="1"/>
    <col min="18" max="18" width="9" style="76"/>
    <col min="19" max="21" width="9.625" style="76"/>
    <col min="22" max="26" width="9" style="76"/>
  </cols>
  <sheetData>
    <row r="1" spans="1:18">
      <c r="A1" s="78" t="s">
        <v>0</v>
      </c>
      <c r="B1" s="79" t="s">
        <v>59</v>
      </c>
      <c r="C1" s="78" t="s">
        <v>60</v>
      </c>
      <c r="D1" s="80" t="s">
        <v>61</v>
      </c>
      <c r="E1" s="80" t="s">
        <v>62</v>
      </c>
      <c r="F1" s="78" t="s">
        <v>63</v>
      </c>
      <c r="G1" s="80" t="s">
        <v>64</v>
      </c>
      <c r="H1" s="80" t="s">
        <v>65</v>
      </c>
      <c r="I1" s="80" t="s">
        <v>66</v>
      </c>
      <c r="J1" s="80" t="s">
        <v>67</v>
      </c>
      <c r="K1" s="81" t="s">
        <v>27</v>
      </c>
      <c r="L1" s="78" t="s">
        <v>17</v>
      </c>
      <c r="M1" s="80" t="s">
        <v>68</v>
      </c>
      <c r="N1" s="82" t="s">
        <v>69</v>
      </c>
      <c r="O1" s="80" t="s">
        <v>70</v>
      </c>
      <c r="P1" s="80" t="s">
        <v>71</v>
      </c>
      <c r="Q1" s="81" t="s">
        <v>72</v>
      </c>
      <c r="R1" s="83" t="s">
        <v>73</v>
      </c>
    </row>
    <row r="2" spans="1:18">
      <c r="A2" s="84" t="s">
        <v>32</v>
      </c>
      <c r="B2" s="85">
        <v>45498</v>
      </c>
      <c r="C2" s="86">
        <v>603</v>
      </c>
      <c r="D2" s="14">
        <v>1.75</v>
      </c>
      <c r="E2" s="14">
        <v>1055.25</v>
      </c>
      <c r="F2" s="86">
        <v>8322</v>
      </c>
      <c r="G2" s="14">
        <f>H2/F2</f>
        <v>1.97</v>
      </c>
      <c r="H2" s="14">
        <v>16394.34</v>
      </c>
      <c r="I2" s="14">
        <v>17449.59</v>
      </c>
      <c r="J2" s="14">
        <v>63790</v>
      </c>
      <c r="K2" s="14">
        <v>3.65567328516028</v>
      </c>
      <c r="L2" s="86">
        <v>10005</v>
      </c>
      <c r="M2" s="14">
        <v>0.811</v>
      </c>
      <c r="N2" s="87">
        <f t="shared" ref="N2:N66" si="0">L2*M2</f>
        <v>8114.055</v>
      </c>
      <c r="O2" s="14">
        <v>9335.535</v>
      </c>
      <c r="P2" s="14">
        <v>38780</v>
      </c>
      <c r="Q2" s="87">
        <f t="shared" ref="Q2:Q63" si="1">P2/O2</f>
        <v>4.15402009633085</v>
      </c>
      <c r="R2" s="88" t="s">
        <v>74</v>
      </c>
    </row>
    <row r="3" spans="1:18">
      <c r="A3" s="84" t="s">
        <v>30</v>
      </c>
      <c r="B3" s="89">
        <v>45505</v>
      </c>
      <c r="C3" s="90">
        <v>600</v>
      </c>
      <c r="D3" s="87">
        <v>1.75</v>
      </c>
      <c r="E3" s="87">
        <v>1050</v>
      </c>
      <c r="F3" s="90">
        <v>6834</v>
      </c>
      <c r="G3" s="14">
        <f t="shared" ref="G3:G18" si="2">H3/F3</f>
        <v>1.9161545215101</v>
      </c>
      <c r="H3" s="87">
        <v>13095</v>
      </c>
      <c r="I3" s="14">
        <f t="shared" ref="I3:I66" si="3">E3+H3</f>
        <v>14145</v>
      </c>
      <c r="J3" s="87">
        <v>52120</v>
      </c>
      <c r="K3" s="14">
        <v>3.68469423824673</v>
      </c>
      <c r="L3" s="90">
        <v>8604</v>
      </c>
      <c r="M3" s="87">
        <v>0.735</v>
      </c>
      <c r="N3" s="87">
        <f t="shared" si="0"/>
        <v>6323.94</v>
      </c>
      <c r="O3" s="87">
        <v>7821.06</v>
      </c>
      <c r="P3" s="87">
        <v>30070</v>
      </c>
      <c r="Q3" s="87">
        <f t="shared" si="1"/>
        <v>3.84474738718281</v>
      </c>
      <c r="R3" s="91" t="s">
        <v>75</v>
      </c>
    </row>
    <row r="4" spans="1:18">
      <c r="A4" s="84" t="s">
        <v>42</v>
      </c>
      <c r="B4" s="89">
        <v>45512</v>
      </c>
      <c r="C4" s="90">
        <v>0</v>
      </c>
      <c r="D4" s="87">
        <v>0</v>
      </c>
      <c r="E4" s="87">
        <v>0</v>
      </c>
      <c r="F4" s="90">
        <v>476</v>
      </c>
      <c r="G4" s="14">
        <f t="shared" si="2"/>
        <v>2.164</v>
      </c>
      <c r="H4" s="87">
        <v>1030.064</v>
      </c>
      <c r="I4" s="14">
        <f t="shared" si="3"/>
        <v>1030.064</v>
      </c>
      <c r="J4" s="92">
        <v>39525</v>
      </c>
      <c r="K4" s="93">
        <v>4.06190998252531</v>
      </c>
      <c r="L4" s="90">
        <v>540</v>
      </c>
      <c r="M4" s="87">
        <v>0.829</v>
      </c>
      <c r="N4" s="87">
        <f t="shared" si="0"/>
        <v>447.66</v>
      </c>
      <c r="O4" s="87">
        <v>582.404</v>
      </c>
      <c r="P4" s="87"/>
      <c r="Q4" s="87">
        <f t="shared" si="1"/>
        <v>0</v>
      </c>
      <c r="R4" s="83" t="s">
        <v>76</v>
      </c>
    </row>
    <row r="5" spans="1:18">
      <c r="A5" s="84">
        <v>5</v>
      </c>
      <c r="B5" s="89">
        <v>45512</v>
      </c>
      <c r="C5" s="90">
        <v>0</v>
      </c>
      <c r="D5" s="87">
        <v>0</v>
      </c>
      <c r="E5" s="87">
        <v>0</v>
      </c>
      <c r="F5" s="90">
        <v>4286</v>
      </c>
      <c r="G5" s="14">
        <f t="shared" si="2"/>
        <v>2.03</v>
      </c>
      <c r="H5" s="87">
        <v>8700.58</v>
      </c>
      <c r="I5" s="14">
        <f t="shared" si="3"/>
        <v>8700.58</v>
      </c>
      <c r="J5" s="94"/>
      <c r="K5" s="95"/>
      <c r="L5" s="90">
        <v>4789</v>
      </c>
      <c r="M5" s="87">
        <v>0.829</v>
      </c>
      <c r="N5" s="87">
        <f t="shared" si="0"/>
        <v>3970.081</v>
      </c>
      <c r="O5" s="87">
        <v>4730.499</v>
      </c>
      <c r="P5" s="87">
        <v>18260</v>
      </c>
      <c r="Q5" s="87">
        <f t="shared" si="1"/>
        <v>3.86005789241262</v>
      </c>
      <c r="R5" s="83" t="s">
        <v>77</v>
      </c>
    </row>
    <row r="6" spans="1:18">
      <c r="A6" s="84" t="s">
        <v>42</v>
      </c>
      <c r="B6" s="89">
        <v>45512</v>
      </c>
      <c r="C6" s="90"/>
      <c r="D6" s="87"/>
      <c r="E6" s="87"/>
      <c r="F6" s="90">
        <v>1693</v>
      </c>
      <c r="G6" s="14">
        <f t="shared" si="2"/>
        <v>2.34</v>
      </c>
      <c r="H6" s="87">
        <v>3961.62</v>
      </c>
      <c r="I6" s="14">
        <f t="shared" si="3"/>
        <v>3961.62</v>
      </c>
      <c r="J6" s="87">
        <v>6285</v>
      </c>
      <c r="K6" s="14"/>
      <c r="L6" s="90">
        <v>1850</v>
      </c>
      <c r="M6" s="87">
        <v>1.38</v>
      </c>
      <c r="N6" s="87">
        <f t="shared" si="0"/>
        <v>2553</v>
      </c>
      <c r="O6" s="87">
        <v>1408.62</v>
      </c>
      <c r="P6" s="87">
        <v>6285</v>
      </c>
      <c r="Q6" s="87">
        <f t="shared" si="1"/>
        <v>4.46181368999446</v>
      </c>
      <c r="R6" s="96" t="s">
        <v>78</v>
      </c>
    </row>
    <row r="7" spans="1:18">
      <c r="A7" s="97" t="s">
        <v>37</v>
      </c>
      <c r="B7" s="89">
        <v>45519</v>
      </c>
      <c r="C7" s="90">
        <v>466</v>
      </c>
      <c r="D7" s="87">
        <v>1.75</v>
      </c>
      <c r="E7" s="14">
        <f t="shared" ref="E7:E36" si="4">C7*D7</f>
        <v>815.5</v>
      </c>
      <c r="F7" s="90">
        <v>5239</v>
      </c>
      <c r="G7" s="14">
        <f t="shared" si="2"/>
        <v>1.8395</v>
      </c>
      <c r="H7" s="87">
        <v>9637.1405</v>
      </c>
      <c r="I7" s="14">
        <f t="shared" si="3"/>
        <v>10452.6405</v>
      </c>
      <c r="J7" s="87">
        <v>48515</v>
      </c>
      <c r="K7" s="14">
        <f t="shared" ref="K7:K63" si="5">J7/I7</f>
        <v>4.64141094300526</v>
      </c>
      <c r="L7" s="90">
        <v>6988</v>
      </c>
      <c r="M7" s="87">
        <v>0.795</v>
      </c>
      <c r="N7" s="87">
        <f t="shared" si="0"/>
        <v>5555.46</v>
      </c>
      <c r="O7" s="87">
        <v>4897.1805</v>
      </c>
      <c r="P7" s="87">
        <v>28245</v>
      </c>
      <c r="Q7" s="87">
        <f t="shared" si="1"/>
        <v>5.76760444096353</v>
      </c>
      <c r="R7" s="91"/>
    </row>
    <row r="8" spans="1:18">
      <c r="A8" s="97" t="s">
        <v>40</v>
      </c>
      <c r="B8" s="89">
        <v>45526</v>
      </c>
      <c r="C8" s="90">
        <v>699</v>
      </c>
      <c r="D8" s="87">
        <v>1.75</v>
      </c>
      <c r="E8" s="14">
        <f t="shared" si="4"/>
        <v>1223.25</v>
      </c>
      <c r="F8" s="90">
        <v>5971</v>
      </c>
      <c r="G8" s="14">
        <f t="shared" si="2"/>
        <v>2.01306313850276</v>
      </c>
      <c r="H8" s="87">
        <v>12020</v>
      </c>
      <c r="I8" s="14">
        <f t="shared" si="3"/>
        <v>13243.25</v>
      </c>
      <c r="J8" s="87">
        <v>44610</v>
      </c>
      <c r="K8" s="14">
        <f t="shared" si="5"/>
        <v>3.36850848545485</v>
      </c>
      <c r="L8" s="90">
        <v>7681</v>
      </c>
      <c r="M8" s="87">
        <v>0.835</v>
      </c>
      <c r="N8" s="87">
        <f t="shared" si="0"/>
        <v>6413.635</v>
      </c>
      <c r="O8" s="87">
        <v>6829.615</v>
      </c>
      <c r="P8" s="87">
        <v>24520</v>
      </c>
      <c r="Q8" s="87">
        <f t="shared" si="1"/>
        <v>3.59024630231719</v>
      </c>
      <c r="R8" s="91"/>
    </row>
    <row r="9" spans="1:18">
      <c r="A9" s="97" t="s">
        <v>32</v>
      </c>
      <c r="B9" s="85">
        <v>45540</v>
      </c>
      <c r="C9" s="86">
        <v>836</v>
      </c>
      <c r="D9" s="14">
        <v>1.85</v>
      </c>
      <c r="E9" s="14">
        <f t="shared" si="4"/>
        <v>1546.6</v>
      </c>
      <c r="F9" s="86">
        <v>6024</v>
      </c>
      <c r="G9" s="14">
        <f t="shared" si="2"/>
        <v>2.12556440903054</v>
      </c>
      <c r="H9" s="14">
        <v>12804.4</v>
      </c>
      <c r="I9" s="14">
        <f t="shared" si="3"/>
        <v>14351</v>
      </c>
      <c r="J9" s="14">
        <v>51145</v>
      </c>
      <c r="K9" s="14">
        <f t="shared" si="5"/>
        <v>3.56386314542541</v>
      </c>
      <c r="L9" s="86">
        <v>7495</v>
      </c>
      <c r="M9" s="14">
        <v>0.74</v>
      </c>
      <c r="N9" s="87">
        <f t="shared" si="0"/>
        <v>5546.3</v>
      </c>
      <c r="O9" s="14">
        <v>8804.7</v>
      </c>
      <c r="P9" s="14">
        <v>29845</v>
      </c>
      <c r="Q9" s="87">
        <f t="shared" si="1"/>
        <v>3.3896668824605</v>
      </c>
      <c r="R9" s="88"/>
    </row>
    <row r="10" spans="1:18">
      <c r="A10" s="97" t="s">
        <v>30</v>
      </c>
      <c r="B10" s="85">
        <v>45547</v>
      </c>
      <c r="C10" s="86">
        <v>303</v>
      </c>
      <c r="D10" s="14">
        <v>2</v>
      </c>
      <c r="E10" s="14">
        <f t="shared" si="4"/>
        <v>606</v>
      </c>
      <c r="F10" s="86">
        <v>6008</v>
      </c>
      <c r="G10" s="14">
        <f t="shared" si="2"/>
        <v>2.14430758988016</v>
      </c>
      <c r="H10" s="14">
        <v>12883</v>
      </c>
      <c r="I10" s="14">
        <f t="shared" si="3"/>
        <v>13489</v>
      </c>
      <c r="J10" s="14">
        <v>45751</v>
      </c>
      <c r="K10" s="14">
        <f t="shared" si="5"/>
        <v>3.39172659203796</v>
      </c>
      <c r="L10" s="86">
        <v>7071</v>
      </c>
      <c r="M10" s="14">
        <v>0.77</v>
      </c>
      <c r="N10" s="87">
        <f t="shared" si="0"/>
        <v>5444.67</v>
      </c>
      <c r="O10" s="14">
        <v>8044.33</v>
      </c>
      <c r="P10" s="14">
        <v>28126</v>
      </c>
      <c r="Q10" s="87">
        <f t="shared" si="1"/>
        <v>3.49637570810745</v>
      </c>
      <c r="R10" s="88"/>
    </row>
    <row r="11" spans="1:18">
      <c r="A11" s="97" t="s">
        <v>42</v>
      </c>
      <c r="B11" s="85">
        <v>45554</v>
      </c>
      <c r="C11" s="86">
        <v>304</v>
      </c>
      <c r="D11" s="14">
        <v>2</v>
      </c>
      <c r="E11" s="14">
        <f t="shared" si="4"/>
        <v>608</v>
      </c>
      <c r="F11" s="86">
        <v>5381</v>
      </c>
      <c r="G11" s="14">
        <f t="shared" si="2"/>
        <v>2.15944991637242</v>
      </c>
      <c r="H11" s="14">
        <v>11620</v>
      </c>
      <c r="I11" s="14">
        <f t="shared" si="3"/>
        <v>12228</v>
      </c>
      <c r="J11" s="14">
        <v>41465</v>
      </c>
      <c r="K11" s="14">
        <f t="shared" si="5"/>
        <v>3.39098789663068</v>
      </c>
      <c r="L11" s="86">
        <v>6002</v>
      </c>
      <c r="M11" s="14">
        <v>0.693</v>
      </c>
      <c r="N11" s="87">
        <f t="shared" si="0"/>
        <v>4159.386</v>
      </c>
      <c r="O11" s="14">
        <v>8068.614</v>
      </c>
      <c r="P11" s="14">
        <v>26035</v>
      </c>
      <c r="Q11" s="87">
        <f t="shared" si="1"/>
        <v>3.22670039736688</v>
      </c>
      <c r="R11" s="88"/>
    </row>
    <row r="12" spans="1:18">
      <c r="A12" s="97" t="s">
        <v>37</v>
      </c>
      <c r="B12" s="85">
        <v>45561</v>
      </c>
      <c r="C12" s="86">
        <v>493</v>
      </c>
      <c r="D12" s="14">
        <v>1.75</v>
      </c>
      <c r="E12" s="14">
        <f t="shared" si="4"/>
        <v>862.75</v>
      </c>
      <c r="F12" s="86">
        <v>4550</v>
      </c>
      <c r="G12" s="14">
        <f t="shared" si="2"/>
        <v>2.02825934065934</v>
      </c>
      <c r="H12" s="14">
        <v>9228.58</v>
      </c>
      <c r="I12" s="14">
        <f t="shared" si="3"/>
        <v>10091.33</v>
      </c>
      <c r="J12" s="14">
        <v>39175</v>
      </c>
      <c r="K12" s="14">
        <f t="shared" si="5"/>
        <v>3.88204528045362</v>
      </c>
      <c r="L12" s="86">
        <v>6116</v>
      </c>
      <c r="M12" s="14">
        <v>0.832</v>
      </c>
      <c r="N12" s="87">
        <f t="shared" si="0"/>
        <v>5088.512</v>
      </c>
      <c r="O12" s="14">
        <v>5002.818</v>
      </c>
      <c r="P12" s="14">
        <v>23420</v>
      </c>
      <c r="Q12" s="87">
        <f t="shared" si="1"/>
        <v>4.68136158461091</v>
      </c>
      <c r="R12" s="88"/>
    </row>
    <row r="13" spans="1:18">
      <c r="A13" s="97" t="s">
        <v>40</v>
      </c>
      <c r="B13" s="85">
        <v>45568</v>
      </c>
      <c r="C13" s="86">
        <v>887</v>
      </c>
      <c r="D13" s="14">
        <v>2</v>
      </c>
      <c r="E13" s="14">
        <f t="shared" si="4"/>
        <v>1774</v>
      </c>
      <c r="F13" s="86">
        <v>4234</v>
      </c>
      <c r="G13" s="14">
        <f t="shared" si="2"/>
        <v>2.21981577704299</v>
      </c>
      <c r="H13" s="14">
        <v>9398.7</v>
      </c>
      <c r="I13" s="14">
        <f t="shared" si="3"/>
        <v>11172.7</v>
      </c>
      <c r="J13" s="14">
        <v>35465</v>
      </c>
      <c r="K13" s="14">
        <f t="shared" si="5"/>
        <v>3.17425510395876</v>
      </c>
      <c r="L13" s="86">
        <v>5466</v>
      </c>
      <c r="M13" s="14">
        <v>0.777</v>
      </c>
      <c r="N13" s="87">
        <f t="shared" si="0"/>
        <v>4247.082</v>
      </c>
      <c r="O13" s="14">
        <v>6925.618</v>
      </c>
      <c r="P13" s="14">
        <v>21375</v>
      </c>
      <c r="Q13" s="87">
        <f t="shared" si="1"/>
        <v>3.08636716607818</v>
      </c>
      <c r="R13" s="88"/>
    </row>
    <row r="14" spans="1:18">
      <c r="A14" s="97" t="s">
        <v>32</v>
      </c>
      <c r="B14" s="85">
        <v>45582</v>
      </c>
      <c r="C14" s="86">
        <v>461</v>
      </c>
      <c r="D14" s="14">
        <v>2</v>
      </c>
      <c r="E14" s="14">
        <f t="shared" si="4"/>
        <v>922</v>
      </c>
      <c r="F14" s="86">
        <v>4283</v>
      </c>
      <c r="G14" s="14">
        <f t="shared" si="2"/>
        <v>2.33008405323371</v>
      </c>
      <c r="H14" s="14">
        <v>9979.75</v>
      </c>
      <c r="I14" s="14">
        <f t="shared" si="3"/>
        <v>10901.75</v>
      </c>
      <c r="J14" s="14">
        <v>37815</v>
      </c>
      <c r="K14" s="14">
        <f t="shared" si="5"/>
        <v>3.46870915220033</v>
      </c>
      <c r="L14" s="86">
        <v>5840</v>
      </c>
      <c r="M14" s="14">
        <v>0.832</v>
      </c>
      <c r="N14" s="87">
        <f t="shared" si="0"/>
        <v>4858.88</v>
      </c>
      <c r="O14" s="14">
        <v>6042.87</v>
      </c>
      <c r="P14" s="14">
        <v>20640</v>
      </c>
      <c r="Q14" s="87">
        <f t="shared" si="1"/>
        <v>3.41559556965482</v>
      </c>
      <c r="R14" s="88"/>
    </row>
    <row r="15" spans="1:18">
      <c r="A15" s="97" t="s">
        <v>30</v>
      </c>
      <c r="B15" s="85">
        <v>45589</v>
      </c>
      <c r="C15" s="86">
        <v>477</v>
      </c>
      <c r="D15" s="14">
        <v>2</v>
      </c>
      <c r="E15" s="14">
        <f t="shared" si="4"/>
        <v>954</v>
      </c>
      <c r="F15" s="86">
        <v>5377</v>
      </c>
      <c r="G15" s="14">
        <f t="shared" si="2"/>
        <v>2.33959456946253</v>
      </c>
      <c r="H15" s="14">
        <v>12580</v>
      </c>
      <c r="I15" s="14">
        <f t="shared" si="3"/>
        <v>13534</v>
      </c>
      <c r="J15" s="14">
        <v>46725</v>
      </c>
      <c r="K15" s="14">
        <f t="shared" si="5"/>
        <v>3.4524161371361</v>
      </c>
      <c r="L15" s="86">
        <v>6355</v>
      </c>
      <c r="M15" s="14">
        <v>0.786</v>
      </c>
      <c r="N15" s="87">
        <f t="shared" si="0"/>
        <v>4995.03</v>
      </c>
      <c r="O15" s="14">
        <v>8538.97</v>
      </c>
      <c r="P15" s="14">
        <v>27421</v>
      </c>
      <c r="Q15" s="87">
        <f t="shared" si="1"/>
        <v>3.21127723835545</v>
      </c>
      <c r="R15" s="88"/>
    </row>
    <row r="16" spans="1:18">
      <c r="A16" s="97" t="s">
        <v>42</v>
      </c>
      <c r="B16" s="85">
        <v>45596</v>
      </c>
      <c r="C16" s="86">
        <v>404</v>
      </c>
      <c r="D16" s="14">
        <v>2.25</v>
      </c>
      <c r="E16" s="14">
        <f t="shared" si="4"/>
        <v>909</v>
      </c>
      <c r="F16" s="86">
        <v>5127</v>
      </c>
      <c r="G16" s="14">
        <f t="shared" si="2"/>
        <v>2.4194324166179</v>
      </c>
      <c r="H16" s="14">
        <v>12404.43</v>
      </c>
      <c r="I16" s="14">
        <f t="shared" si="3"/>
        <v>13313.43</v>
      </c>
      <c r="J16" s="14">
        <v>51748</v>
      </c>
      <c r="K16" s="14">
        <f t="shared" si="5"/>
        <v>3.88690217321907</v>
      </c>
      <c r="L16" s="86">
        <v>5807</v>
      </c>
      <c r="M16" s="14">
        <v>0.847</v>
      </c>
      <c r="N16" s="87">
        <f t="shared" si="0"/>
        <v>4918.529</v>
      </c>
      <c r="O16" s="14">
        <v>8394.901</v>
      </c>
      <c r="P16" s="14">
        <v>27845</v>
      </c>
      <c r="Q16" s="87">
        <f t="shared" si="1"/>
        <v>3.31689438624708</v>
      </c>
      <c r="R16" s="88"/>
    </row>
    <row r="17" spans="1:26">
      <c r="A17" s="98" t="s">
        <v>37</v>
      </c>
      <c r="B17" s="89">
        <v>45603</v>
      </c>
      <c r="C17" s="90">
        <v>363</v>
      </c>
      <c r="D17" s="87">
        <v>2.25</v>
      </c>
      <c r="E17" s="14">
        <f t="shared" si="4"/>
        <v>816.75</v>
      </c>
      <c r="F17" s="90">
        <v>4304</v>
      </c>
      <c r="G17" s="14">
        <f t="shared" si="2"/>
        <v>2.41970260223048</v>
      </c>
      <c r="H17" s="14">
        <v>10414.4</v>
      </c>
      <c r="I17" s="14">
        <f t="shared" si="3"/>
        <v>11231.15</v>
      </c>
      <c r="J17" s="87">
        <v>46844</v>
      </c>
      <c r="K17" s="14">
        <f t="shared" si="5"/>
        <v>4.1708996852504</v>
      </c>
      <c r="L17" s="90">
        <v>4843</v>
      </c>
      <c r="M17" s="87">
        <v>0.762</v>
      </c>
      <c r="N17" s="87">
        <f t="shared" si="0"/>
        <v>3690.366</v>
      </c>
      <c r="O17" s="14">
        <v>7540.784</v>
      </c>
      <c r="P17" s="14">
        <v>26164</v>
      </c>
      <c r="Q17" s="87">
        <f t="shared" si="1"/>
        <v>3.46966575358743</v>
      </c>
      <c r="R17" s="88"/>
    </row>
    <row r="18" spans="1:26">
      <c r="A18" s="98" t="s">
        <v>40</v>
      </c>
      <c r="B18" s="89">
        <v>45610</v>
      </c>
      <c r="C18" s="90">
        <v>468</v>
      </c>
      <c r="D18" s="87">
        <v>2.15</v>
      </c>
      <c r="E18" s="14">
        <f t="shared" si="4"/>
        <v>1006.2</v>
      </c>
      <c r="F18" s="90">
        <v>5719</v>
      </c>
      <c r="G18" s="14">
        <f t="shared" si="2"/>
        <v>2.3953488372093</v>
      </c>
      <c r="H18" s="14">
        <v>13699</v>
      </c>
      <c r="I18" s="14">
        <f t="shared" si="3"/>
        <v>14705.2</v>
      </c>
      <c r="J18" s="87">
        <v>52185</v>
      </c>
      <c r="K18" s="14">
        <f t="shared" si="5"/>
        <v>3.5487446617523</v>
      </c>
      <c r="L18" s="90">
        <v>6394</v>
      </c>
      <c r="M18" s="87">
        <v>0.889</v>
      </c>
      <c r="N18" s="87">
        <f t="shared" si="0"/>
        <v>5684.266</v>
      </c>
      <c r="O18" s="14">
        <v>9020.934</v>
      </c>
      <c r="P18" s="14">
        <v>29390</v>
      </c>
      <c r="Q18" s="87">
        <f t="shared" si="1"/>
        <v>3.25797749989081</v>
      </c>
      <c r="R18" s="88"/>
    </row>
    <row r="19" spans="1:26">
      <c r="A19" s="98" t="s">
        <v>32</v>
      </c>
      <c r="B19" s="89">
        <v>45624</v>
      </c>
      <c r="C19" s="90">
        <v>594</v>
      </c>
      <c r="D19" s="87">
        <v>2.25</v>
      </c>
      <c r="E19" s="14">
        <f t="shared" si="4"/>
        <v>1336.5</v>
      </c>
      <c r="F19" s="90">
        <v>5728</v>
      </c>
      <c r="G19" s="14">
        <f t="shared" ref="G19:G74" si="6">H19/F19</f>
        <v>2.48865223463687</v>
      </c>
      <c r="H19" s="14">
        <v>14255</v>
      </c>
      <c r="I19" s="14">
        <f t="shared" si="3"/>
        <v>15591.5</v>
      </c>
      <c r="J19" s="87">
        <v>53775</v>
      </c>
      <c r="K19" s="14">
        <f t="shared" si="5"/>
        <v>3.44899464451785</v>
      </c>
      <c r="L19" s="90">
        <v>6525</v>
      </c>
      <c r="M19" s="87">
        <v>0.874</v>
      </c>
      <c r="N19" s="87">
        <f t="shared" si="0"/>
        <v>5702.85</v>
      </c>
      <c r="O19" s="14">
        <v>9888.65</v>
      </c>
      <c r="P19" s="14">
        <v>31515</v>
      </c>
      <c r="Q19" s="87">
        <f t="shared" si="1"/>
        <v>3.1869871013738</v>
      </c>
      <c r="R19" s="88"/>
    </row>
    <row r="20" spans="1:26">
      <c r="A20" s="98" t="s">
        <v>30</v>
      </c>
      <c r="B20" s="89">
        <v>45631</v>
      </c>
      <c r="C20" s="90">
        <v>473</v>
      </c>
      <c r="D20" s="87">
        <v>2.25</v>
      </c>
      <c r="E20" s="14">
        <f t="shared" si="4"/>
        <v>1064.25</v>
      </c>
      <c r="F20" s="90">
        <v>6570</v>
      </c>
      <c r="G20" s="14">
        <f t="shared" si="6"/>
        <v>2.45235920852359</v>
      </c>
      <c r="H20" s="14">
        <v>16112</v>
      </c>
      <c r="I20" s="14">
        <f t="shared" si="3"/>
        <v>17176.25</v>
      </c>
      <c r="J20" s="87">
        <v>60730</v>
      </c>
      <c r="K20" s="14">
        <f t="shared" si="5"/>
        <v>3.53569609198748</v>
      </c>
      <c r="L20" s="90">
        <v>7816</v>
      </c>
      <c r="M20" s="87">
        <v>0.887</v>
      </c>
      <c r="N20" s="87">
        <f t="shared" si="0"/>
        <v>6932.792</v>
      </c>
      <c r="O20" s="14">
        <v>10243.458</v>
      </c>
      <c r="P20" s="14">
        <v>34750</v>
      </c>
      <c r="Q20" s="87">
        <f t="shared" si="1"/>
        <v>3.39240908685329</v>
      </c>
      <c r="R20" s="88"/>
    </row>
    <row r="21" spans="1:26">
      <c r="A21" s="98" t="s">
        <v>42</v>
      </c>
      <c r="B21" s="89">
        <v>45638</v>
      </c>
      <c r="C21" s="90">
        <v>391</v>
      </c>
      <c r="D21" s="87">
        <v>2.25</v>
      </c>
      <c r="E21" s="14">
        <f t="shared" si="4"/>
        <v>879.75</v>
      </c>
      <c r="F21" s="90">
        <v>7574</v>
      </c>
      <c r="G21" s="14">
        <f t="shared" si="6"/>
        <v>2.45352521785054</v>
      </c>
      <c r="H21" s="14">
        <v>18583</v>
      </c>
      <c r="I21" s="14">
        <f t="shared" si="3"/>
        <v>19462.75</v>
      </c>
      <c r="J21" s="87">
        <v>65075</v>
      </c>
      <c r="K21" s="14">
        <f t="shared" si="5"/>
        <v>3.3435665566274</v>
      </c>
      <c r="L21" s="99">
        <v>8099</v>
      </c>
      <c r="M21" s="87">
        <v>0.96</v>
      </c>
      <c r="N21" s="87">
        <f t="shared" si="0"/>
        <v>7775.04</v>
      </c>
      <c r="O21" s="14">
        <v>11687.71</v>
      </c>
      <c r="P21" s="14">
        <v>38505</v>
      </c>
      <c r="Q21" s="87">
        <f t="shared" si="1"/>
        <v>3.29448625949822</v>
      </c>
      <c r="R21" s="88"/>
    </row>
    <row r="22" spans="1:26">
      <c r="A22" s="98" t="s">
        <v>37</v>
      </c>
      <c r="B22" s="89">
        <v>45645</v>
      </c>
      <c r="C22" s="90">
        <v>367</v>
      </c>
      <c r="D22" s="87">
        <v>2.25</v>
      </c>
      <c r="E22" s="14">
        <f t="shared" si="4"/>
        <v>825.75</v>
      </c>
      <c r="F22" s="90">
        <v>8762</v>
      </c>
      <c r="G22" s="14">
        <f t="shared" si="6"/>
        <v>2.48219584569733</v>
      </c>
      <c r="H22" s="14">
        <v>21749</v>
      </c>
      <c r="I22" s="14">
        <f t="shared" si="3"/>
        <v>22574.75</v>
      </c>
      <c r="J22" s="87">
        <v>72960</v>
      </c>
      <c r="K22" s="14">
        <f t="shared" si="5"/>
        <v>3.23192947873177</v>
      </c>
      <c r="L22" s="90">
        <v>9350</v>
      </c>
      <c r="M22" s="87">
        <v>0.861</v>
      </c>
      <c r="N22" s="87">
        <f t="shared" si="0"/>
        <v>8050.35</v>
      </c>
      <c r="O22" s="14">
        <v>14524.4</v>
      </c>
      <c r="P22" s="14">
        <v>45985</v>
      </c>
      <c r="Q22" s="87">
        <f t="shared" si="1"/>
        <v>3.16605160970505</v>
      </c>
      <c r="R22" s="88"/>
    </row>
    <row r="23" spans="1:26">
      <c r="A23" s="98" t="s">
        <v>40</v>
      </c>
      <c r="B23" s="89">
        <v>45652</v>
      </c>
      <c r="C23" s="90">
        <v>184</v>
      </c>
      <c r="D23" s="87">
        <v>2.25</v>
      </c>
      <c r="E23" s="14">
        <f t="shared" si="4"/>
        <v>414</v>
      </c>
      <c r="F23" s="90">
        <v>8045</v>
      </c>
      <c r="G23" s="14">
        <f t="shared" si="6"/>
        <v>2.50652579241765</v>
      </c>
      <c r="H23" s="14">
        <v>20165</v>
      </c>
      <c r="I23" s="14">
        <f t="shared" si="3"/>
        <v>20579</v>
      </c>
      <c r="J23" s="87">
        <v>68865</v>
      </c>
      <c r="K23" s="14">
        <f t="shared" si="5"/>
        <v>3.34637251567132</v>
      </c>
      <c r="L23" s="90">
        <v>8542</v>
      </c>
      <c r="M23" s="87">
        <v>0.96</v>
      </c>
      <c r="N23" s="87">
        <f t="shared" si="0"/>
        <v>8200.32</v>
      </c>
      <c r="O23" s="14">
        <v>12378.68</v>
      </c>
      <c r="P23" s="14">
        <v>44125</v>
      </c>
      <c r="Q23" s="87">
        <f t="shared" si="1"/>
        <v>3.56459654825878</v>
      </c>
      <c r="R23" s="88"/>
    </row>
    <row r="24" s="66" customFormat="1" spans="1:26">
      <c r="A24" s="100" t="s">
        <v>32</v>
      </c>
      <c r="B24" s="101">
        <v>45666</v>
      </c>
      <c r="C24" s="102">
        <v>1186</v>
      </c>
      <c r="D24" s="25">
        <v>2.25</v>
      </c>
      <c r="E24" s="25">
        <f t="shared" si="4"/>
        <v>2668.5</v>
      </c>
      <c r="F24" s="102">
        <v>8492</v>
      </c>
      <c r="G24" s="25">
        <f t="shared" si="6"/>
        <v>2.42710786622704</v>
      </c>
      <c r="H24" s="25">
        <v>20611</v>
      </c>
      <c r="I24" s="25">
        <f t="shared" si="3"/>
        <v>23279.5</v>
      </c>
      <c r="J24" s="25">
        <v>76280</v>
      </c>
      <c r="K24" s="25">
        <f t="shared" si="5"/>
        <v>3.27670267832213</v>
      </c>
      <c r="L24" s="102">
        <v>10155</v>
      </c>
      <c r="M24" s="25">
        <v>0.92</v>
      </c>
      <c r="N24" s="25">
        <f t="shared" si="0"/>
        <v>9342.6</v>
      </c>
      <c r="O24" s="25">
        <v>13936.9</v>
      </c>
      <c r="P24" s="25">
        <v>47325</v>
      </c>
      <c r="Q24" s="25">
        <f t="shared" si="1"/>
        <v>3.39566187602695</v>
      </c>
      <c r="R24" s="103"/>
      <c r="S24" s="104"/>
      <c r="T24" s="104"/>
      <c r="U24" s="104"/>
      <c r="V24" s="104"/>
      <c r="W24" s="104"/>
      <c r="X24" s="104"/>
      <c r="Y24" s="104"/>
      <c r="Z24" s="104"/>
    </row>
    <row r="25" spans="1:26">
      <c r="A25" s="98" t="s">
        <v>30</v>
      </c>
      <c r="B25" s="89">
        <v>45674</v>
      </c>
      <c r="C25" s="90">
        <v>856</v>
      </c>
      <c r="D25" s="87">
        <v>2.25</v>
      </c>
      <c r="E25" s="14">
        <f t="shared" si="4"/>
        <v>1926</v>
      </c>
      <c r="F25" s="90">
        <v>8505</v>
      </c>
      <c r="G25" s="14">
        <f t="shared" si="6"/>
        <v>2.445620223398</v>
      </c>
      <c r="H25" s="14">
        <v>20800</v>
      </c>
      <c r="I25" s="14">
        <f t="shared" si="3"/>
        <v>22726</v>
      </c>
      <c r="J25" s="87">
        <v>75540</v>
      </c>
      <c r="K25" s="14">
        <f t="shared" si="5"/>
        <v>3.32394614098389</v>
      </c>
      <c r="L25" s="90">
        <v>9612</v>
      </c>
      <c r="M25" s="87">
        <v>0.904</v>
      </c>
      <c r="N25" s="87">
        <f t="shared" si="0"/>
        <v>8689.248</v>
      </c>
      <c r="O25" s="14">
        <v>14036.752</v>
      </c>
      <c r="P25" s="87">
        <v>46050</v>
      </c>
      <c r="Q25" s="87">
        <f t="shared" si="1"/>
        <v>3.28067347773901</v>
      </c>
      <c r="R25" s="88"/>
    </row>
    <row r="26" spans="1:26">
      <c r="A26" s="98" t="s">
        <v>42</v>
      </c>
      <c r="B26" s="89">
        <v>45680</v>
      </c>
      <c r="C26" s="90">
        <v>855</v>
      </c>
      <c r="D26" s="87">
        <v>2.2</v>
      </c>
      <c r="E26" s="14">
        <f t="shared" si="4"/>
        <v>1881</v>
      </c>
      <c r="F26" s="90">
        <v>9484</v>
      </c>
      <c r="G26" s="14">
        <f t="shared" si="6"/>
        <v>2.34858709405314</v>
      </c>
      <c r="H26" s="14">
        <v>22274</v>
      </c>
      <c r="I26" s="14">
        <f t="shared" si="3"/>
        <v>24155</v>
      </c>
      <c r="J26" s="6">
        <v>78385</v>
      </c>
      <c r="K26" s="14">
        <f t="shared" si="5"/>
        <v>3.24508383357483</v>
      </c>
      <c r="L26" s="90">
        <v>10864</v>
      </c>
      <c r="M26" s="87">
        <v>0.883</v>
      </c>
      <c r="N26" s="87">
        <f t="shared" si="0"/>
        <v>9592.912</v>
      </c>
      <c r="O26" s="14">
        <v>14562.088</v>
      </c>
      <c r="P26" s="87">
        <v>47495</v>
      </c>
      <c r="Q26" s="87">
        <f t="shared" si="1"/>
        <v>3.261551502779</v>
      </c>
      <c r="R26" s="91"/>
    </row>
    <row r="27" spans="1:26">
      <c r="A27" s="98">
        <v>3</v>
      </c>
      <c r="B27" s="89">
        <v>45691</v>
      </c>
      <c r="C27" s="90">
        <v>1564</v>
      </c>
      <c r="D27" s="87">
        <v>2.2</v>
      </c>
      <c r="E27" s="14">
        <f t="shared" si="4"/>
        <v>3440.8</v>
      </c>
      <c r="F27" s="90">
        <v>8973</v>
      </c>
      <c r="G27" s="14">
        <f t="shared" si="6"/>
        <v>2.52663546194138</v>
      </c>
      <c r="H27" s="14">
        <v>22671.5</v>
      </c>
      <c r="I27" s="14">
        <f t="shared" si="3"/>
        <v>26112.3</v>
      </c>
      <c r="J27" s="87">
        <v>86582</v>
      </c>
      <c r="K27" s="14">
        <f t="shared" si="5"/>
        <v>3.31575541028557</v>
      </c>
      <c r="L27" s="90">
        <v>10714</v>
      </c>
      <c r="M27" s="87">
        <v>0.982</v>
      </c>
      <c r="N27" s="87">
        <f t="shared" si="0"/>
        <v>10521.148</v>
      </c>
      <c r="O27" s="14">
        <v>15591.152</v>
      </c>
      <c r="P27" s="87">
        <v>55352</v>
      </c>
      <c r="Q27" s="87">
        <f t="shared" si="1"/>
        <v>3.55021873944914</v>
      </c>
      <c r="R27" s="91"/>
    </row>
    <row r="28" spans="1:26">
      <c r="A28" s="98">
        <v>4</v>
      </c>
      <c r="B28" s="89">
        <v>45695</v>
      </c>
      <c r="C28" s="90">
        <v>1261</v>
      </c>
      <c r="D28" s="87">
        <v>2.2</v>
      </c>
      <c r="E28" s="14">
        <f t="shared" si="4"/>
        <v>2774.2</v>
      </c>
      <c r="F28" s="90">
        <v>8789</v>
      </c>
      <c r="G28" s="14">
        <f t="shared" si="6"/>
        <v>2.36033678461713</v>
      </c>
      <c r="H28" s="14">
        <v>20745</v>
      </c>
      <c r="I28" s="14">
        <f t="shared" si="3"/>
        <v>23519.2</v>
      </c>
      <c r="J28" s="87">
        <v>80135</v>
      </c>
      <c r="K28" s="14">
        <f t="shared" si="5"/>
        <v>3.40721623184462</v>
      </c>
      <c r="L28" s="90">
        <v>10709</v>
      </c>
      <c r="M28" s="87">
        <v>0.939</v>
      </c>
      <c r="N28" s="87">
        <f t="shared" si="0"/>
        <v>10055.751</v>
      </c>
      <c r="O28" s="14">
        <v>13463.449</v>
      </c>
      <c r="P28" s="87">
        <v>51390</v>
      </c>
      <c r="Q28" s="87">
        <f t="shared" si="1"/>
        <v>3.81700112653154</v>
      </c>
      <c r="R28" s="91"/>
    </row>
    <row r="29" spans="1:26">
      <c r="A29" s="98">
        <v>2</v>
      </c>
      <c r="B29" s="89">
        <v>45708</v>
      </c>
      <c r="C29" s="90">
        <v>739</v>
      </c>
      <c r="D29" s="87">
        <v>2.2</v>
      </c>
      <c r="E29" s="14">
        <f t="shared" si="4"/>
        <v>1625.8</v>
      </c>
      <c r="F29" s="90">
        <v>8467</v>
      </c>
      <c r="G29" s="14">
        <f t="shared" si="6"/>
        <v>2.38148104405338</v>
      </c>
      <c r="H29" s="87">
        <v>20164</v>
      </c>
      <c r="I29" s="14">
        <f t="shared" si="3"/>
        <v>21789.8</v>
      </c>
      <c r="J29" s="87">
        <v>72983</v>
      </c>
      <c r="K29" s="14">
        <f t="shared" si="5"/>
        <v>3.34941119239277</v>
      </c>
      <c r="L29" s="90">
        <v>10040</v>
      </c>
      <c r="M29" s="87">
        <v>0.946</v>
      </c>
      <c r="N29" s="87">
        <f t="shared" si="0"/>
        <v>9497.84</v>
      </c>
      <c r="O29" s="14">
        <v>12291.96</v>
      </c>
      <c r="P29" s="14" t="s">
        <v>79</v>
      </c>
      <c r="Q29" s="87">
        <f t="shared" si="1"/>
        <v>3.59527691271368</v>
      </c>
      <c r="R29" s="105"/>
    </row>
    <row r="30" spans="1:26">
      <c r="A30" s="98">
        <v>1</v>
      </c>
      <c r="B30" s="89">
        <v>45715</v>
      </c>
      <c r="C30" s="90">
        <v>903</v>
      </c>
      <c r="D30" s="87">
        <v>2.2</v>
      </c>
      <c r="E30" s="14">
        <f t="shared" si="4"/>
        <v>1986.6</v>
      </c>
      <c r="F30" s="90">
        <v>8128</v>
      </c>
      <c r="G30" s="14">
        <f t="shared" si="6"/>
        <v>2.47643946850394</v>
      </c>
      <c r="H30" s="87">
        <v>20128.5</v>
      </c>
      <c r="I30" s="14">
        <f t="shared" si="3"/>
        <v>22115.1</v>
      </c>
      <c r="J30" s="87">
        <v>71438</v>
      </c>
      <c r="K30" s="14">
        <f t="shared" si="5"/>
        <v>3.23028157231937</v>
      </c>
      <c r="L30" s="90">
        <v>9855</v>
      </c>
      <c r="M30" s="87">
        <v>0.911</v>
      </c>
      <c r="N30" s="87">
        <f t="shared" si="0"/>
        <v>8977.905</v>
      </c>
      <c r="O30" s="14">
        <v>13137.195</v>
      </c>
      <c r="P30" s="14" t="s">
        <v>80</v>
      </c>
      <c r="Q30" s="87">
        <f t="shared" si="1"/>
        <v>3.40666329456174</v>
      </c>
      <c r="R30" s="105"/>
    </row>
    <row r="31" spans="1:26">
      <c r="A31" s="98">
        <v>5</v>
      </c>
      <c r="B31" s="89">
        <v>45722</v>
      </c>
      <c r="C31" s="90">
        <v>912</v>
      </c>
      <c r="D31" s="87">
        <v>2.2</v>
      </c>
      <c r="E31" s="14">
        <f t="shared" si="4"/>
        <v>2006.4</v>
      </c>
      <c r="F31" s="90">
        <v>7756</v>
      </c>
      <c r="G31" s="14">
        <f t="shared" si="6"/>
        <v>2.50954100051573</v>
      </c>
      <c r="H31" s="87">
        <v>19464</v>
      </c>
      <c r="I31" s="14">
        <f t="shared" si="3"/>
        <v>21470.4</v>
      </c>
      <c r="J31" s="87">
        <v>72821</v>
      </c>
      <c r="K31" s="14">
        <f t="shared" si="5"/>
        <v>3.39169274908711</v>
      </c>
      <c r="L31" s="90">
        <v>9425</v>
      </c>
      <c r="M31" s="87">
        <v>0.945</v>
      </c>
      <c r="N31" s="87">
        <f t="shared" si="0"/>
        <v>8906.625</v>
      </c>
      <c r="O31" s="14">
        <v>12563.775</v>
      </c>
      <c r="P31" s="14">
        <v>45973</v>
      </c>
      <c r="Q31" s="87">
        <f t="shared" si="1"/>
        <v>3.65917091001709</v>
      </c>
      <c r="R31" s="105"/>
    </row>
    <row r="32" spans="1:26">
      <c r="A32" s="98">
        <v>3</v>
      </c>
      <c r="B32" s="89">
        <v>45729</v>
      </c>
      <c r="C32" s="90">
        <v>738</v>
      </c>
      <c r="D32" s="87">
        <v>2.2</v>
      </c>
      <c r="E32" s="14">
        <f t="shared" si="4"/>
        <v>1623.6</v>
      </c>
      <c r="F32" s="90">
        <v>9038</v>
      </c>
      <c r="G32" s="14">
        <f t="shared" si="6"/>
        <v>2.46337685328612</v>
      </c>
      <c r="H32" s="87">
        <v>22264</v>
      </c>
      <c r="I32" s="14">
        <f t="shared" si="3"/>
        <v>23887.6</v>
      </c>
      <c r="J32" s="87">
        <v>77963</v>
      </c>
      <c r="K32" s="14">
        <f t="shared" si="5"/>
        <v>3.26374353220918</v>
      </c>
      <c r="L32" s="90">
        <v>10244</v>
      </c>
      <c r="M32" s="87">
        <v>0.958</v>
      </c>
      <c r="N32" s="87">
        <f t="shared" si="0"/>
        <v>9813.752</v>
      </c>
      <c r="O32" s="14">
        <v>14073.848</v>
      </c>
      <c r="P32" s="14">
        <v>46033</v>
      </c>
      <c r="Q32" s="87">
        <f t="shared" si="1"/>
        <v>3.27081832914495</v>
      </c>
      <c r="R32" s="105"/>
    </row>
    <row r="33" spans="1:26">
      <c r="A33" s="98">
        <v>4</v>
      </c>
      <c r="B33" s="89">
        <v>45736</v>
      </c>
      <c r="C33" s="106">
        <v>1237</v>
      </c>
      <c r="D33" s="87">
        <v>2.2</v>
      </c>
      <c r="E33" s="14">
        <f t="shared" si="4"/>
        <v>2721.4</v>
      </c>
      <c r="F33" s="90">
        <v>8076</v>
      </c>
      <c r="G33" s="14">
        <f t="shared" si="6"/>
        <v>2.47436849925706</v>
      </c>
      <c r="H33" s="87">
        <v>19983</v>
      </c>
      <c r="I33" s="14">
        <f t="shared" si="3"/>
        <v>22704.4</v>
      </c>
      <c r="J33" s="14">
        <v>76968</v>
      </c>
      <c r="K33" s="14">
        <f t="shared" si="5"/>
        <v>3.3900036997234</v>
      </c>
      <c r="L33" s="106">
        <v>10024</v>
      </c>
      <c r="M33" s="106">
        <v>0.95</v>
      </c>
      <c r="N33" s="87">
        <f t="shared" si="0"/>
        <v>9522.8</v>
      </c>
      <c r="O33" s="14">
        <f>I33-N33</f>
        <v>13181.6</v>
      </c>
      <c r="P33" s="14">
        <v>45743</v>
      </c>
      <c r="Q33" s="87">
        <f t="shared" si="1"/>
        <v>3.47021605874856</v>
      </c>
      <c r="R33" s="87"/>
    </row>
    <row r="34" s="66" customFormat="1" spans="1:26">
      <c r="A34" s="100">
        <v>2</v>
      </c>
      <c r="B34" s="89">
        <v>45739</v>
      </c>
      <c r="C34" s="27">
        <v>533</v>
      </c>
      <c r="D34" s="25">
        <v>1.7</v>
      </c>
      <c r="E34" s="25">
        <f t="shared" si="4"/>
        <v>906.1</v>
      </c>
      <c r="F34" s="102">
        <v>8242</v>
      </c>
      <c r="G34" s="25">
        <f t="shared" si="6"/>
        <v>1.93266197524873</v>
      </c>
      <c r="H34" s="25">
        <v>15929</v>
      </c>
      <c r="I34" s="25">
        <f t="shared" si="3"/>
        <v>16835.1</v>
      </c>
      <c r="J34" s="25">
        <v>54279</v>
      </c>
      <c r="K34" s="25">
        <f t="shared" si="5"/>
        <v>3.22415667266604</v>
      </c>
      <c r="L34" s="27">
        <v>9811</v>
      </c>
      <c r="M34" s="27"/>
      <c r="N34" s="25"/>
      <c r="O34" s="25"/>
      <c r="P34" s="25"/>
      <c r="Q34" s="25"/>
      <c r="R34" s="107" t="s">
        <v>57</v>
      </c>
      <c r="S34" s="104"/>
      <c r="T34" s="104"/>
      <c r="U34" s="104"/>
      <c r="V34" s="104"/>
      <c r="W34" s="104"/>
      <c r="X34" s="104"/>
      <c r="Y34" s="104"/>
      <c r="Z34" s="104"/>
    </row>
    <row r="35" spans="1:26">
      <c r="A35" s="98">
        <v>1</v>
      </c>
      <c r="B35" s="89">
        <v>45757</v>
      </c>
      <c r="C35" s="106">
        <v>977</v>
      </c>
      <c r="D35" s="87">
        <v>2.2</v>
      </c>
      <c r="E35" s="14">
        <f t="shared" si="4"/>
        <v>2149.4</v>
      </c>
      <c r="F35" s="87">
        <v>8844</v>
      </c>
      <c r="G35" s="14">
        <f t="shared" si="6"/>
        <v>2.40457937584803</v>
      </c>
      <c r="H35" s="87">
        <v>21266.1</v>
      </c>
      <c r="I35" s="14">
        <f t="shared" si="3"/>
        <v>23415.5</v>
      </c>
      <c r="J35" s="14">
        <v>73083</v>
      </c>
      <c r="K35" s="14">
        <f t="shared" si="5"/>
        <v>3.12113770792851</v>
      </c>
      <c r="L35" s="106">
        <v>9795</v>
      </c>
      <c r="M35" s="106">
        <v>0.971</v>
      </c>
      <c r="N35" s="87">
        <f t="shared" si="0"/>
        <v>9510.945</v>
      </c>
      <c r="O35" s="14">
        <f t="shared" ref="O35:O74" si="7">I35-N35</f>
        <v>13904.555</v>
      </c>
      <c r="P35" s="87">
        <v>44350</v>
      </c>
      <c r="Q35" s="87">
        <f t="shared" si="1"/>
        <v>3.18960225623905</v>
      </c>
    </row>
    <row r="36" spans="1:26">
      <c r="A36" s="98">
        <v>5</v>
      </c>
      <c r="B36" s="89">
        <v>45764</v>
      </c>
      <c r="C36" s="106">
        <v>601</v>
      </c>
      <c r="D36" s="87">
        <v>2.2</v>
      </c>
      <c r="E36" s="14">
        <f t="shared" si="4"/>
        <v>1322.2</v>
      </c>
      <c r="F36" s="90">
        <v>9060</v>
      </c>
      <c r="G36" s="14">
        <f t="shared" si="6"/>
        <v>2.40578366445916</v>
      </c>
      <c r="H36" s="87">
        <v>21796.4</v>
      </c>
      <c r="I36" s="14">
        <f t="shared" si="3"/>
        <v>23118.6</v>
      </c>
      <c r="J36" s="14">
        <v>76590</v>
      </c>
      <c r="K36" s="14">
        <f t="shared" si="5"/>
        <v>3.31291687212893</v>
      </c>
      <c r="L36" s="106">
        <v>10031</v>
      </c>
      <c r="M36" s="106">
        <v>0.991</v>
      </c>
      <c r="N36" s="87">
        <f t="shared" si="0"/>
        <v>9940.721</v>
      </c>
      <c r="O36" s="14">
        <f t="shared" si="7"/>
        <v>13177.879</v>
      </c>
      <c r="P36" s="91">
        <v>47620</v>
      </c>
      <c r="Q36" s="87">
        <f t="shared" si="1"/>
        <v>3.61363160186856</v>
      </c>
    </row>
    <row r="37" customFormat="1" spans="1:26">
      <c r="A37" s="106">
        <v>3</v>
      </c>
      <c r="B37" s="89">
        <v>45771</v>
      </c>
      <c r="C37" s="108"/>
      <c r="D37" s="108"/>
      <c r="E37" s="14"/>
      <c r="F37" s="106">
        <v>8007</v>
      </c>
      <c r="G37" s="14">
        <f t="shared" si="6"/>
        <v>2.26601723491945</v>
      </c>
      <c r="H37" s="106">
        <v>18144</v>
      </c>
      <c r="I37" s="14">
        <f t="shared" si="3"/>
        <v>18144</v>
      </c>
      <c r="J37" s="14">
        <v>67495</v>
      </c>
      <c r="K37" s="14">
        <f t="shared" si="5"/>
        <v>3.71996252204585</v>
      </c>
      <c r="L37" s="106">
        <v>8703</v>
      </c>
      <c r="M37" s="27">
        <v>0.95</v>
      </c>
      <c r="N37" s="87">
        <f t="shared" si="0"/>
        <v>8267.85</v>
      </c>
      <c r="O37" s="14">
        <f t="shared" si="7"/>
        <v>9876.15</v>
      </c>
      <c r="P37" s="91">
        <v>40805</v>
      </c>
      <c r="Q37" s="87">
        <f t="shared" si="1"/>
        <v>4.13167074214142</v>
      </c>
    </row>
    <row r="38" customFormat="1" spans="1:26">
      <c r="A38" s="106">
        <v>4</v>
      </c>
      <c r="B38" s="89">
        <v>45773</v>
      </c>
      <c r="C38" s="108"/>
      <c r="D38" s="108"/>
      <c r="E38" s="14"/>
      <c r="F38" s="106">
        <v>5776</v>
      </c>
      <c r="G38" s="14">
        <f t="shared" si="6"/>
        <v>2.3334487534626</v>
      </c>
      <c r="H38" s="106">
        <v>13478</v>
      </c>
      <c r="I38" s="14">
        <f t="shared" si="3"/>
        <v>13478</v>
      </c>
      <c r="J38" s="14">
        <v>44788</v>
      </c>
      <c r="K38" s="14">
        <f t="shared" si="5"/>
        <v>3.32304496216056</v>
      </c>
      <c r="L38" s="106">
        <v>6121</v>
      </c>
      <c r="M38" s="106">
        <v>0.95</v>
      </c>
      <c r="N38" s="87">
        <f t="shared" si="0"/>
        <v>5814.95</v>
      </c>
      <c r="O38" s="14">
        <f t="shared" si="7"/>
        <v>7663.05</v>
      </c>
      <c r="P38" s="91">
        <v>24975</v>
      </c>
      <c r="Q38" s="87">
        <f t="shared" si="1"/>
        <v>3.2591461624288</v>
      </c>
    </row>
    <row r="39" customFormat="1" spans="1:26">
      <c r="A39" s="106">
        <v>6</v>
      </c>
      <c r="B39" s="89">
        <v>45785</v>
      </c>
      <c r="C39" s="106">
        <v>351</v>
      </c>
      <c r="D39" s="106">
        <v>2.2</v>
      </c>
      <c r="E39" s="14">
        <f t="shared" ref="E39:E59" si="8">C39*D39</f>
        <v>772.2</v>
      </c>
      <c r="F39" s="106">
        <v>6907</v>
      </c>
      <c r="G39" s="14">
        <f t="shared" si="6"/>
        <v>2.42304908064283</v>
      </c>
      <c r="H39" s="106">
        <v>16736</v>
      </c>
      <c r="I39" s="14">
        <f t="shared" si="3"/>
        <v>17508.2</v>
      </c>
      <c r="J39" s="14">
        <v>54715</v>
      </c>
      <c r="K39" s="14">
        <f t="shared" si="5"/>
        <v>3.12510709267657</v>
      </c>
      <c r="L39" s="106">
        <v>7650</v>
      </c>
      <c r="M39" s="106">
        <v>0.95</v>
      </c>
      <c r="N39" s="87">
        <f t="shared" si="0"/>
        <v>7267.5</v>
      </c>
      <c r="O39" s="14">
        <f t="shared" si="7"/>
        <v>10240.7</v>
      </c>
      <c r="P39" s="87">
        <v>31353</v>
      </c>
      <c r="Q39" s="87">
        <f t="shared" si="1"/>
        <v>3.06160711670101</v>
      </c>
    </row>
    <row r="40" customFormat="1" spans="1:26">
      <c r="A40" s="106">
        <v>2</v>
      </c>
      <c r="B40" s="89">
        <v>45792</v>
      </c>
      <c r="C40" s="106">
        <v>316</v>
      </c>
      <c r="D40" s="106">
        <v>2.2</v>
      </c>
      <c r="E40" s="14">
        <f t="shared" si="8"/>
        <v>695.2</v>
      </c>
      <c r="F40" s="106">
        <v>8638</v>
      </c>
      <c r="G40" s="14">
        <f t="shared" si="6"/>
        <v>2.2493632785367</v>
      </c>
      <c r="H40" s="106">
        <v>19430</v>
      </c>
      <c r="I40" s="14">
        <f t="shared" si="3"/>
        <v>20125.2</v>
      </c>
      <c r="J40" s="14">
        <v>64878</v>
      </c>
      <c r="K40" s="14">
        <f t="shared" si="5"/>
        <v>3.2237195158309</v>
      </c>
      <c r="L40" s="106">
        <v>9855</v>
      </c>
      <c r="M40" s="106">
        <v>0.947</v>
      </c>
      <c r="N40" s="87">
        <f t="shared" si="0"/>
        <v>9332.685</v>
      </c>
      <c r="O40" s="14">
        <f t="shared" si="7"/>
        <v>10792.515</v>
      </c>
      <c r="P40" s="91">
        <v>36845</v>
      </c>
      <c r="Q40" s="87">
        <f t="shared" si="1"/>
        <v>3.41394012424351</v>
      </c>
    </row>
    <row r="41" customFormat="1" spans="1:26">
      <c r="A41" s="106">
        <v>1</v>
      </c>
      <c r="B41" s="89">
        <v>45799</v>
      </c>
      <c r="C41" s="106">
        <v>1664</v>
      </c>
      <c r="D41" s="106">
        <v>2.1</v>
      </c>
      <c r="E41" s="14">
        <f t="shared" si="8"/>
        <v>3494.4</v>
      </c>
      <c r="F41" s="106">
        <v>7642</v>
      </c>
      <c r="G41" s="14">
        <f t="shared" si="6"/>
        <v>2.23684899241036</v>
      </c>
      <c r="H41" s="106">
        <v>17094</v>
      </c>
      <c r="I41" s="14">
        <f t="shared" si="3"/>
        <v>20588.4</v>
      </c>
      <c r="J41" s="14">
        <v>66127</v>
      </c>
      <c r="K41" s="14">
        <f t="shared" si="5"/>
        <v>3.21185716228556</v>
      </c>
      <c r="L41" s="106">
        <v>9897</v>
      </c>
      <c r="M41" s="106">
        <v>0.863</v>
      </c>
      <c r="N41" s="87">
        <f t="shared" si="0"/>
        <v>8541.111</v>
      </c>
      <c r="O41" s="14">
        <f t="shared" si="7"/>
        <v>12047.289</v>
      </c>
      <c r="P41" s="91">
        <v>38120</v>
      </c>
      <c r="Q41" s="87">
        <f t="shared" si="1"/>
        <v>3.16419735593626</v>
      </c>
    </row>
    <row r="42" customFormat="1" spans="1:26">
      <c r="A42" s="106">
        <v>5</v>
      </c>
      <c r="B42" s="89">
        <v>45806</v>
      </c>
      <c r="C42" s="106">
        <v>224</v>
      </c>
      <c r="D42" s="106">
        <v>2.1</v>
      </c>
      <c r="E42" s="14">
        <f t="shared" si="8"/>
        <v>470.4</v>
      </c>
      <c r="F42" s="106">
        <v>9337</v>
      </c>
      <c r="G42" s="14">
        <f t="shared" si="6"/>
        <v>2.27396379993574</v>
      </c>
      <c r="H42" s="106">
        <v>21232</v>
      </c>
      <c r="I42" s="14">
        <f t="shared" si="3"/>
        <v>21702.4</v>
      </c>
      <c r="J42" s="14">
        <v>70650</v>
      </c>
      <c r="K42" s="14">
        <f t="shared" si="5"/>
        <v>3.25540032438809</v>
      </c>
      <c r="L42" s="106">
        <v>10136</v>
      </c>
      <c r="M42" s="106">
        <v>0.985</v>
      </c>
      <c r="N42" s="87">
        <f t="shared" si="0"/>
        <v>9983.96</v>
      </c>
      <c r="O42" s="14">
        <f t="shared" si="7"/>
        <v>11718.44</v>
      </c>
      <c r="P42" s="91">
        <v>39620</v>
      </c>
      <c r="Q42" s="87">
        <f t="shared" si="1"/>
        <v>3.38099610528364</v>
      </c>
    </row>
    <row r="43" customFormat="1" spans="1:26">
      <c r="A43" s="106">
        <v>3</v>
      </c>
      <c r="B43" s="89">
        <v>45813</v>
      </c>
      <c r="C43" s="106">
        <v>641</v>
      </c>
      <c r="D43" s="106">
        <v>2.1</v>
      </c>
      <c r="E43" s="14">
        <f t="shared" si="8"/>
        <v>1346.1</v>
      </c>
      <c r="F43" s="106">
        <v>8079</v>
      </c>
      <c r="G43" s="14">
        <f t="shared" si="6"/>
        <v>2.19618764698601</v>
      </c>
      <c r="H43" s="106">
        <v>17743</v>
      </c>
      <c r="I43" s="14">
        <f t="shared" si="3"/>
        <v>19089.1</v>
      </c>
      <c r="J43" s="14">
        <v>64620</v>
      </c>
      <c r="K43" s="14">
        <f t="shared" si="5"/>
        <v>3.38517792876563</v>
      </c>
      <c r="L43" s="106">
        <v>9621</v>
      </c>
      <c r="M43" s="106">
        <v>0.88</v>
      </c>
      <c r="N43" s="87">
        <f t="shared" si="0"/>
        <v>8466.48</v>
      </c>
      <c r="O43" s="14">
        <f t="shared" si="7"/>
        <v>10622.62</v>
      </c>
      <c r="P43" s="91">
        <v>37375</v>
      </c>
      <c r="Q43" s="87">
        <f t="shared" si="1"/>
        <v>3.51843518830571</v>
      </c>
    </row>
    <row r="44" customFormat="1" spans="1:26">
      <c r="A44" s="106">
        <v>4</v>
      </c>
      <c r="B44" s="89">
        <v>45820</v>
      </c>
      <c r="C44" s="106">
        <v>549</v>
      </c>
      <c r="D44" s="106">
        <v>2.1</v>
      </c>
      <c r="E44" s="14">
        <f t="shared" si="8"/>
        <v>1152.9</v>
      </c>
      <c r="F44" s="106">
        <v>8184</v>
      </c>
      <c r="G44" s="14">
        <f t="shared" si="6"/>
        <v>2.20827223851417</v>
      </c>
      <c r="H44" s="106">
        <v>18072.5</v>
      </c>
      <c r="I44" s="14">
        <f t="shared" si="3"/>
        <v>19225.4</v>
      </c>
      <c r="J44" s="14">
        <v>60572</v>
      </c>
      <c r="K44" s="14">
        <f t="shared" si="5"/>
        <v>3.15062365412423</v>
      </c>
      <c r="L44" s="106">
        <v>9480</v>
      </c>
      <c r="M44" s="106">
        <v>0.89</v>
      </c>
      <c r="N44" s="87">
        <f t="shared" si="0"/>
        <v>8437.2</v>
      </c>
      <c r="O44" s="14">
        <f t="shared" si="7"/>
        <v>10788.2</v>
      </c>
      <c r="P44" s="91">
        <v>34005</v>
      </c>
      <c r="Q44" s="87">
        <f t="shared" si="1"/>
        <v>3.15205502308077</v>
      </c>
    </row>
    <row r="45" customFormat="1" spans="1:26">
      <c r="A45" s="106">
        <v>6</v>
      </c>
      <c r="B45" s="89">
        <v>45827</v>
      </c>
      <c r="C45" s="106">
        <v>400</v>
      </c>
      <c r="D45" s="106">
        <v>2.1</v>
      </c>
      <c r="E45" s="14">
        <f t="shared" si="8"/>
        <v>840</v>
      </c>
      <c r="F45" s="106">
        <v>7516</v>
      </c>
      <c r="G45" s="14">
        <f t="shared" si="6"/>
        <v>2.2611761575306</v>
      </c>
      <c r="H45" s="106">
        <v>16995</v>
      </c>
      <c r="I45" s="14">
        <f t="shared" si="3"/>
        <v>17835</v>
      </c>
      <c r="J45" s="14">
        <v>55019</v>
      </c>
      <c r="K45" s="14">
        <f t="shared" si="5"/>
        <v>3.08488926268573</v>
      </c>
      <c r="L45" s="106">
        <v>8229</v>
      </c>
      <c r="M45" s="106">
        <v>0.96</v>
      </c>
      <c r="N45" s="87">
        <f t="shared" si="0"/>
        <v>7899.84</v>
      </c>
      <c r="O45" s="14">
        <f t="shared" si="7"/>
        <v>9935.16</v>
      </c>
      <c r="P45" s="91">
        <v>28583</v>
      </c>
      <c r="Q45" s="87">
        <f t="shared" si="1"/>
        <v>2.87695417084375</v>
      </c>
    </row>
    <row r="46" customFormat="1" spans="1:26">
      <c r="A46" s="106">
        <v>2</v>
      </c>
      <c r="B46" s="89">
        <v>45834</v>
      </c>
      <c r="C46" s="106">
        <v>710</v>
      </c>
      <c r="D46" s="109">
        <v>2</v>
      </c>
      <c r="E46" s="14">
        <f t="shared" si="8"/>
        <v>1420</v>
      </c>
      <c r="F46" s="106">
        <v>8212</v>
      </c>
      <c r="G46" s="14">
        <f t="shared" si="6"/>
        <v>2.15026790063322</v>
      </c>
      <c r="H46" s="106">
        <v>17658</v>
      </c>
      <c r="I46" s="14">
        <f t="shared" si="3"/>
        <v>19078</v>
      </c>
      <c r="J46" s="14">
        <v>59850</v>
      </c>
      <c r="K46" s="14">
        <f t="shared" si="5"/>
        <v>3.13712129153999</v>
      </c>
      <c r="L46" s="106">
        <v>9795</v>
      </c>
      <c r="M46" s="106">
        <v>0.93</v>
      </c>
      <c r="N46" s="87">
        <f t="shared" si="0"/>
        <v>9109.35</v>
      </c>
      <c r="O46" s="14">
        <f t="shared" si="7"/>
        <v>9968.65</v>
      </c>
      <c r="P46" s="91">
        <v>33410</v>
      </c>
      <c r="Q46" s="87">
        <f t="shared" si="1"/>
        <v>3.35150697436463</v>
      </c>
    </row>
    <row r="47" customFormat="1" spans="1:26">
      <c r="A47" s="106">
        <v>1</v>
      </c>
      <c r="B47" s="89">
        <v>45841</v>
      </c>
      <c r="C47" s="106">
        <v>1636</v>
      </c>
      <c r="D47" s="106">
        <v>1.9</v>
      </c>
      <c r="E47" s="14">
        <f t="shared" si="8"/>
        <v>3108.4</v>
      </c>
      <c r="F47" s="106">
        <v>8033</v>
      </c>
      <c r="G47" s="14">
        <f t="shared" si="6"/>
        <v>2.088385410183</v>
      </c>
      <c r="H47" s="106">
        <v>16776</v>
      </c>
      <c r="I47" s="14">
        <f t="shared" si="3"/>
        <v>19884.4</v>
      </c>
      <c r="J47" s="14">
        <v>62610</v>
      </c>
      <c r="K47" s="14">
        <f t="shared" si="5"/>
        <v>3.14869948301181</v>
      </c>
      <c r="L47" s="106">
        <v>10036</v>
      </c>
      <c r="M47" s="106">
        <v>0.88</v>
      </c>
      <c r="N47" s="87">
        <f t="shared" si="0"/>
        <v>8831.68</v>
      </c>
      <c r="O47" s="14">
        <f t="shared" si="7"/>
        <v>11052.72</v>
      </c>
      <c r="P47" s="87">
        <v>36425</v>
      </c>
      <c r="Q47" s="87">
        <f t="shared" si="1"/>
        <v>3.29556887354425</v>
      </c>
    </row>
    <row r="48" customFormat="1" spans="1:26">
      <c r="A48" s="106">
        <v>5</v>
      </c>
      <c r="B48" s="89">
        <v>45848</v>
      </c>
      <c r="C48" s="110">
        <v>1537</v>
      </c>
      <c r="D48" s="106">
        <v>1.9</v>
      </c>
      <c r="E48" s="14">
        <f t="shared" si="8"/>
        <v>2920.3</v>
      </c>
      <c r="F48" s="106">
        <v>7777</v>
      </c>
      <c r="G48" s="14">
        <f t="shared" si="6"/>
        <v>2.02173074450302</v>
      </c>
      <c r="H48" s="106">
        <v>15723</v>
      </c>
      <c r="I48" s="14">
        <f t="shared" si="3"/>
        <v>18643.3</v>
      </c>
      <c r="J48" s="14">
        <v>60585</v>
      </c>
      <c r="K48" s="14">
        <f t="shared" si="5"/>
        <v>3.24969291917203</v>
      </c>
      <c r="L48" s="106">
        <v>10245</v>
      </c>
      <c r="M48" s="106">
        <v>0.93</v>
      </c>
      <c r="N48" s="87">
        <f t="shared" si="0"/>
        <v>9527.85</v>
      </c>
      <c r="O48" s="14">
        <f t="shared" si="7"/>
        <v>9115.45</v>
      </c>
      <c r="P48" s="87">
        <v>33850</v>
      </c>
      <c r="Q48" s="87">
        <f t="shared" si="1"/>
        <v>3.71347547296074</v>
      </c>
    </row>
    <row r="49" customFormat="1" spans="1:26">
      <c r="A49" s="106">
        <v>3</v>
      </c>
      <c r="B49" s="89">
        <v>45855</v>
      </c>
      <c r="C49" s="106">
        <v>1115</v>
      </c>
      <c r="D49" s="106">
        <v>1.9</v>
      </c>
      <c r="E49" s="14">
        <f t="shared" si="8"/>
        <v>2118.5</v>
      </c>
      <c r="F49" s="106">
        <v>7908</v>
      </c>
      <c r="G49" s="14">
        <f t="shared" si="6"/>
        <v>2.01871522508852</v>
      </c>
      <c r="H49" s="106">
        <v>15964</v>
      </c>
      <c r="I49" s="14">
        <f t="shared" si="3"/>
        <v>18082.5</v>
      </c>
      <c r="J49" s="14">
        <v>58015</v>
      </c>
      <c r="K49" s="14">
        <f t="shared" si="5"/>
        <v>3.20835061523573</v>
      </c>
      <c r="L49" s="106">
        <v>9567</v>
      </c>
      <c r="M49" s="106">
        <v>0.89</v>
      </c>
      <c r="N49" s="87">
        <f t="shared" si="0"/>
        <v>8514.63</v>
      </c>
      <c r="O49" s="14">
        <f t="shared" si="7"/>
        <v>9567.87</v>
      </c>
      <c r="P49" s="87">
        <v>33120</v>
      </c>
      <c r="Q49" s="87">
        <f t="shared" si="1"/>
        <v>3.46158549395006</v>
      </c>
    </row>
    <row r="50" customFormat="1" spans="1:26">
      <c r="A50" s="106">
        <v>4</v>
      </c>
      <c r="B50" s="89">
        <v>45861</v>
      </c>
      <c r="C50" s="106">
        <v>1118</v>
      </c>
      <c r="D50" s="106">
        <v>1.9</v>
      </c>
      <c r="E50" s="14">
        <f t="shared" si="8"/>
        <v>2124.2</v>
      </c>
      <c r="F50" s="106">
        <v>7330</v>
      </c>
      <c r="G50" s="14">
        <f t="shared" si="6"/>
        <v>2.0031377899045</v>
      </c>
      <c r="H50" s="106">
        <v>14683</v>
      </c>
      <c r="I50" s="14">
        <f t="shared" si="3"/>
        <v>16807.2</v>
      </c>
      <c r="J50" s="14">
        <v>53790</v>
      </c>
      <c r="K50" s="14">
        <f t="shared" si="5"/>
        <v>3.20041410823933</v>
      </c>
      <c r="L50" s="106">
        <v>9152</v>
      </c>
      <c r="M50" s="106">
        <v>0.87</v>
      </c>
      <c r="N50" s="87">
        <f t="shared" si="0"/>
        <v>7962.24</v>
      </c>
      <c r="O50" s="14">
        <f t="shared" si="7"/>
        <v>8844.96</v>
      </c>
      <c r="P50" s="111">
        <v>29780</v>
      </c>
      <c r="Q50" s="87">
        <f t="shared" si="1"/>
        <v>3.36688916625965</v>
      </c>
    </row>
    <row r="51" customFormat="1" spans="1:26">
      <c r="A51" s="106">
        <v>6</v>
      </c>
      <c r="B51" s="89">
        <v>45868</v>
      </c>
      <c r="C51" s="106">
        <v>1226</v>
      </c>
      <c r="D51" s="106">
        <v>1.7</v>
      </c>
      <c r="E51" s="14">
        <f t="shared" si="8"/>
        <v>2084.2</v>
      </c>
      <c r="F51" s="106">
        <v>7998</v>
      </c>
      <c r="G51" s="14">
        <f t="shared" si="6"/>
        <v>1.99856214053513</v>
      </c>
      <c r="H51" s="106">
        <v>15984.5</v>
      </c>
      <c r="I51" s="14">
        <f t="shared" si="3"/>
        <v>18068.7</v>
      </c>
      <c r="J51" s="14">
        <v>52643</v>
      </c>
      <c r="K51" s="14">
        <f t="shared" si="5"/>
        <v>2.91349128603607</v>
      </c>
      <c r="L51" s="112">
        <v>9868</v>
      </c>
      <c r="M51" s="111">
        <v>0.8</v>
      </c>
      <c r="N51" s="87">
        <f t="shared" si="0"/>
        <v>7894.4</v>
      </c>
      <c r="O51" s="14">
        <f t="shared" si="7"/>
        <v>10174.3</v>
      </c>
      <c r="P51" s="111">
        <v>29345</v>
      </c>
      <c r="Q51" s="87">
        <f t="shared" si="1"/>
        <v>2.88422790757104</v>
      </c>
    </row>
    <row r="52" customFormat="1" spans="1:26">
      <c r="A52" s="106">
        <v>2</v>
      </c>
      <c r="B52" s="89">
        <v>45875</v>
      </c>
      <c r="C52" s="106">
        <v>613</v>
      </c>
      <c r="D52" s="106">
        <v>1.8</v>
      </c>
      <c r="E52" s="14">
        <f t="shared" si="8"/>
        <v>1103.4</v>
      </c>
      <c r="F52" s="106">
        <v>7721</v>
      </c>
      <c r="G52" s="14">
        <f t="shared" si="6"/>
        <v>1.96982256184432</v>
      </c>
      <c r="H52" s="106">
        <v>15209</v>
      </c>
      <c r="I52" s="14">
        <f t="shared" si="3"/>
        <v>16312.4</v>
      </c>
      <c r="J52" s="14">
        <v>52049</v>
      </c>
      <c r="K52" s="14">
        <f t="shared" si="5"/>
        <v>3.19076285525122</v>
      </c>
      <c r="L52" s="112">
        <v>9168</v>
      </c>
      <c r="M52" s="111">
        <v>0.87</v>
      </c>
      <c r="N52" s="87">
        <f t="shared" si="0"/>
        <v>7976.16</v>
      </c>
      <c r="O52" s="14">
        <f t="shared" si="7"/>
        <v>8336.24</v>
      </c>
      <c r="P52" s="111">
        <v>28599</v>
      </c>
      <c r="Q52" s="87">
        <f t="shared" si="1"/>
        <v>3.43068337763788</v>
      </c>
    </row>
    <row r="53" s="67" customFormat="1" spans="1:26">
      <c r="A53" s="106">
        <v>1</v>
      </c>
      <c r="B53" s="89">
        <v>45882</v>
      </c>
      <c r="C53" s="3">
        <v>1462</v>
      </c>
      <c r="D53" s="14">
        <v>1.8</v>
      </c>
      <c r="E53" s="14">
        <f t="shared" si="8"/>
        <v>2631.6</v>
      </c>
      <c r="F53" s="106">
        <v>8654</v>
      </c>
      <c r="G53" s="14">
        <f t="shared" si="6"/>
        <v>2.0112086896233</v>
      </c>
      <c r="H53" s="3">
        <v>17405</v>
      </c>
      <c r="I53" s="14">
        <f t="shared" si="3"/>
        <v>20036.6</v>
      </c>
      <c r="J53" s="14">
        <v>59888</v>
      </c>
      <c r="K53" s="14">
        <f t="shared" si="5"/>
        <v>2.98893025762854</v>
      </c>
      <c r="L53" s="112">
        <v>10583</v>
      </c>
      <c r="M53" s="111">
        <v>0.88</v>
      </c>
      <c r="N53" s="87">
        <f t="shared" si="0"/>
        <v>9313.04</v>
      </c>
      <c r="O53" s="14">
        <f t="shared" si="7"/>
        <v>10723.56</v>
      </c>
      <c r="P53" s="111">
        <v>36234</v>
      </c>
      <c r="Q53" s="87">
        <f t="shared" si="1"/>
        <v>3.37891521099336</v>
      </c>
      <c r="R53" s="113"/>
      <c r="S53" s="113"/>
      <c r="T53" s="113"/>
      <c r="U53" s="113"/>
      <c r="V53" s="113"/>
      <c r="W53" s="113"/>
      <c r="X53" s="113"/>
      <c r="Y53" s="113"/>
      <c r="Z53" s="113"/>
    </row>
    <row r="54" s="67" customFormat="1" spans="1:26">
      <c r="A54" s="106">
        <v>5</v>
      </c>
      <c r="B54" s="89">
        <v>45889</v>
      </c>
      <c r="C54" s="3">
        <v>1479</v>
      </c>
      <c r="D54" s="14">
        <v>1.8</v>
      </c>
      <c r="E54" s="14">
        <f t="shared" si="8"/>
        <v>2662.2</v>
      </c>
      <c r="F54" s="106">
        <v>6837</v>
      </c>
      <c r="G54" s="14">
        <f t="shared" si="6"/>
        <v>1.91332455755448</v>
      </c>
      <c r="H54" s="3">
        <v>13081.4</v>
      </c>
      <c r="I54" s="14">
        <f t="shared" si="3"/>
        <v>15743.6</v>
      </c>
      <c r="J54" s="14">
        <v>48235</v>
      </c>
      <c r="K54" s="14">
        <f t="shared" si="5"/>
        <v>3.06378464900023</v>
      </c>
      <c r="L54" s="112">
        <v>9105</v>
      </c>
      <c r="M54" s="111">
        <v>0.73</v>
      </c>
      <c r="N54" s="87">
        <f t="shared" si="0"/>
        <v>6646.65</v>
      </c>
      <c r="O54" s="14">
        <f t="shared" si="7"/>
        <v>9096.95</v>
      </c>
      <c r="P54" s="111">
        <v>27120</v>
      </c>
      <c r="Q54" s="87">
        <f t="shared" si="1"/>
        <v>2.9812189799878</v>
      </c>
      <c r="R54" s="113"/>
      <c r="S54" s="113"/>
      <c r="T54" s="113"/>
      <c r="U54" s="113"/>
      <c r="V54" s="113"/>
      <c r="W54" s="113"/>
      <c r="X54" s="113"/>
      <c r="Y54" s="113"/>
      <c r="Z54" s="113"/>
    </row>
    <row r="55" s="67" customFormat="1" spans="1:26">
      <c r="A55" s="106">
        <v>3</v>
      </c>
      <c r="B55" s="89">
        <v>45897</v>
      </c>
      <c r="C55" s="3">
        <v>917</v>
      </c>
      <c r="D55" s="14">
        <v>1.8</v>
      </c>
      <c r="E55" s="14">
        <f t="shared" si="8"/>
        <v>1650.6</v>
      </c>
      <c r="F55" s="106">
        <v>6690</v>
      </c>
      <c r="G55" s="14">
        <f t="shared" si="6"/>
        <v>1.9195067264574</v>
      </c>
      <c r="H55" s="3">
        <v>12841.5</v>
      </c>
      <c r="I55" s="14">
        <f t="shared" si="3"/>
        <v>14492.1</v>
      </c>
      <c r="J55" s="14">
        <v>45910</v>
      </c>
      <c r="K55" s="14">
        <f t="shared" si="5"/>
        <v>3.16793287377261</v>
      </c>
      <c r="L55" s="112">
        <v>8221</v>
      </c>
      <c r="M55" s="111">
        <v>0.76</v>
      </c>
      <c r="N55" s="87">
        <f t="shared" si="0"/>
        <v>6247.96</v>
      </c>
      <c r="O55" s="14">
        <f t="shared" si="7"/>
        <v>8244.14</v>
      </c>
      <c r="P55" s="111">
        <v>26545</v>
      </c>
      <c r="Q55" s="87">
        <f t="shared" si="1"/>
        <v>3.21986283590526</v>
      </c>
      <c r="R55" s="113"/>
      <c r="S55" s="113"/>
      <c r="T55" s="113"/>
      <c r="U55" s="113"/>
      <c r="V55" s="113"/>
      <c r="W55" s="113"/>
      <c r="X55" s="113"/>
      <c r="Y55" s="113"/>
      <c r="Z55" s="113"/>
    </row>
    <row r="56" s="67" customFormat="1" spans="1:26">
      <c r="A56" s="106">
        <v>4</v>
      </c>
      <c r="B56" s="89">
        <v>45906</v>
      </c>
      <c r="C56" s="3">
        <v>655</v>
      </c>
      <c r="D56" s="14">
        <v>1.8</v>
      </c>
      <c r="E56" s="14">
        <f t="shared" si="8"/>
        <v>1179</v>
      </c>
      <c r="F56" s="106">
        <v>6586</v>
      </c>
      <c r="G56" s="14">
        <f t="shared" si="6"/>
        <v>2.03278165806256</v>
      </c>
      <c r="H56" s="14">
        <v>13387.9</v>
      </c>
      <c r="I56" s="14">
        <f t="shared" si="3"/>
        <v>14566.9</v>
      </c>
      <c r="J56" s="14">
        <v>45215</v>
      </c>
      <c r="K56" s="14">
        <f t="shared" si="5"/>
        <v>3.10395485655836</v>
      </c>
      <c r="L56" s="112">
        <v>7579</v>
      </c>
      <c r="M56" s="111">
        <v>0.8</v>
      </c>
      <c r="N56" s="87">
        <f t="shared" si="0"/>
        <v>6063.2</v>
      </c>
      <c r="O56" s="14">
        <f t="shared" si="7"/>
        <v>8503.7</v>
      </c>
      <c r="P56" s="111">
        <v>27300</v>
      </c>
      <c r="Q56" s="87">
        <f t="shared" si="1"/>
        <v>3.21036725190211</v>
      </c>
      <c r="R56" s="113"/>
      <c r="S56" s="113"/>
      <c r="T56" s="113"/>
      <c r="U56" s="113"/>
      <c r="V56" s="113"/>
      <c r="W56" s="113"/>
      <c r="X56" s="113"/>
      <c r="Y56" s="113"/>
      <c r="Z56" s="113"/>
    </row>
    <row r="57" s="67" customFormat="1" spans="1:26">
      <c r="A57" s="106">
        <v>8</v>
      </c>
      <c r="B57" s="89">
        <v>45911</v>
      </c>
      <c r="C57" s="3">
        <v>823</v>
      </c>
      <c r="D57" s="14">
        <v>1.9</v>
      </c>
      <c r="E57" s="14">
        <f t="shared" si="8"/>
        <v>1563.7</v>
      </c>
      <c r="F57" s="106">
        <v>4862</v>
      </c>
      <c r="G57" s="14">
        <f t="shared" si="6"/>
        <v>2.20824763471822</v>
      </c>
      <c r="H57" s="3">
        <v>10736.5</v>
      </c>
      <c r="I57" s="14">
        <f t="shared" si="3"/>
        <v>12300.2</v>
      </c>
      <c r="J57" s="14">
        <v>39023</v>
      </c>
      <c r="K57" s="14">
        <f t="shared" si="5"/>
        <v>3.17255003983675</v>
      </c>
      <c r="L57" s="112">
        <v>5973</v>
      </c>
      <c r="M57" s="111">
        <v>0.85</v>
      </c>
      <c r="N57" s="87">
        <f t="shared" si="0"/>
        <v>5077.05</v>
      </c>
      <c r="O57" s="14">
        <f t="shared" si="7"/>
        <v>7223.15</v>
      </c>
      <c r="P57" s="111">
        <v>21868</v>
      </c>
      <c r="Q57" s="87">
        <f t="shared" si="1"/>
        <v>3.02748800730983</v>
      </c>
      <c r="R57" s="113"/>
      <c r="S57" s="113"/>
      <c r="T57" s="113"/>
      <c r="U57" s="113"/>
      <c r="V57" s="113"/>
      <c r="W57" s="113"/>
      <c r="X57" s="113"/>
      <c r="Y57" s="113"/>
      <c r="Z57" s="113"/>
    </row>
    <row r="58" s="67" customFormat="1" spans="1:26">
      <c r="A58" s="106">
        <v>2</v>
      </c>
      <c r="B58" s="89">
        <v>45919</v>
      </c>
      <c r="C58" s="3">
        <v>594</v>
      </c>
      <c r="D58" s="14">
        <v>2</v>
      </c>
      <c r="E58" s="14">
        <f t="shared" si="8"/>
        <v>1188</v>
      </c>
      <c r="F58" s="106">
        <v>5498</v>
      </c>
      <c r="G58" s="14">
        <f t="shared" si="6"/>
        <v>2.07639141506002</v>
      </c>
      <c r="H58" s="3">
        <v>11416</v>
      </c>
      <c r="I58" s="14">
        <f t="shared" si="3"/>
        <v>12604</v>
      </c>
      <c r="J58" s="14">
        <v>41765</v>
      </c>
      <c r="K58" s="14">
        <f t="shared" si="5"/>
        <v>3.31363059346239</v>
      </c>
      <c r="L58" s="112">
        <v>6470</v>
      </c>
      <c r="M58" s="111">
        <v>0.82</v>
      </c>
      <c r="N58" s="87">
        <f t="shared" si="0"/>
        <v>5305.4</v>
      </c>
      <c r="O58" s="14">
        <f t="shared" si="7"/>
        <v>7298.6</v>
      </c>
      <c r="P58" s="111">
        <v>23775</v>
      </c>
      <c r="Q58" s="87">
        <f t="shared" si="1"/>
        <v>3.25747403611652</v>
      </c>
      <c r="R58" s="113"/>
      <c r="S58" s="113"/>
      <c r="T58" s="113"/>
      <c r="U58" s="113"/>
      <c r="V58" s="113"/>
      <c r="W58" s="113"/>
      <c r="X58" s="113"/>
      <c r="Y58" s="113"/>
      <c r="Z58" s="113"/>
    </row>
    <row r="59" s="67" customFormat="1" spans="1:26">
      <c r="A59" s="106">
        <v>1</v>
      </c>
      <c r="B59" s="89">
        <f>B58+7</f>
        <v>45926</v>
      </c>
      <c r="C59" s="3">
        <v>1106</v>
      </c>
      <c r="D59" s="14">
        <v>1.9</v>
      </c>
      <c r="E59" s="14">
        <f t="shared" si="8"/>
        <v>2101.4</v>
      </c>
      <c r="F59" s="106">
        <v>6356</v>
      </c>
      <c r="G59" s="14">
        <f t="shared" si="6"/>
        <v>2.11209880427942</v>
      </c>
      <c r="H59" s="3">
        <v>13424.5</v>
      </c>
      <c r="I59" s="14">
        <f t="shared" si="3"/>
        <v>15525.9</v>
      </c>
      <c r="J59" s="14">
        <v>49551</v>
      </c>
      <c r="K59" s="14">
        <f t="shared" si="5"/>
        <v>3.19150580642668</v>
      </c>
      <c r="L59" s="112">
        <v>7816</v>
      </c>
      <c r="M59" s="111">
        <v>0.76</v>
      </c>
      <c r="N59" s="87">
        <f t="shared" si="0"/>
        <v>5940.16</v>
      </c>
      <c r="O59" s="14">
        <f t="shared" si="7"/>
        <v>9585.74</v>
      </c>
      <c r="P59" s="111">
        <v>29980</v>
      </c>
      <c r="Q59" s="87">
        <f t="shared" si="1"/>
        <v>3.12756239998164</v>
      </c>
      <c r="R59" s="113"/>
      <c r="S59" s="113"/>
      <c r="T59" s="113"/>
      <c r="U59" s="113"/>
      <c r="V59" s="113"/>
      <c r="W59" s="113"/>
      <c r="X59" s="113"/>
      <c r="Y59" s="113"/>
      <c r="Z59" s="113"/>
    </row>
    <row r="60" s="68" customFormat="1" spans="1:26">
      <c r="A60" s="27">
        <v>5</v>
      </c>
      <c r="B60" s="101">
        <f>B59+7</f>
        <v>45933</v>
      </c>
      <c r="C60" s="27">
        <v>757</v>
      </c>
      <c r="D60" s="25">
        <v>1.9</v>
      </c>
      <c r="E60" s="25">
        <v>1494.4</v>
      </c>
      <c r="F60" s="27">
        <v>5431</v>
      </c>
      <c r="G60" s="25">
        <f t="shared" si="6"/>
        <v>2.24139200883815</v>
      </c>
      <c r="H60" s="27">
        <v>12173</v>
      </c>
      <c r="I60" s="25">
        <f t="shared" si="3"/>
        <v>13667.4</v>
      </c>
      <c r="J60" s="25">
        <v>43910</v>
      </c>
      <c r="K60" s="25">
        <f t="shared" si="5"/>
        <v>3.21275443756676</v>
      </c>
      <c r="L60" s="114">
        <v>6376</v>
      </c>
      <c r="M60" s="115">
        <v>0.76</v>
      </c>
      <c r="N60" s="25">
        <f t="shared" si="0"/>
        <v>4845.76</v>
      </c>
      <c r="O60" s="25">
        <f t="shared" si="7"/>
        <v>8821.64</v>
      </c>
      <c r="P60" s="115">
        <v>25899</v>
      </c>
      <c r="Q60" s="25">
        <f t="shared" si="1"/>
        <v>2.93584866306038</v>
      </c>
      <c r="R60" s="116"/>
      <c r="S60" s="116"/>
      <c r="T60" s="116"/>
      <c r="U60" s="116"/>
      <c r="V60" s="116"/>
      <c r="W60" s="116"/>
      <c r="X60" s="116"/>
      <c r="Y60" s="116"/>
      <c r="Z60" s="116"/>
    </row>
    <row r="61" s="68" customFormat="1" spans="1:26">
      <c r="A61" s="27">
        <v>3</v>
      </c>
      <c r="B61" s="101">
        <f>B60+7</f>
        <v>45940</v>
      </c>
      <c r="C61" s="27">
        <v>833</v>
      </c>
      <c r="D61" s="25">
        <v>2</v>
      </c>
      <c r="E61" s="25">
        <v>1666</v>
      </c>
      <c r="F61" s="27">
        <v>4510</v>
      </c>
      <c r="G61" s="25">
        <f t="shared" si="6"/>
        <v>2.23880266075388</v>
      </c>
      <c r="H61" s="27">
        <v>10097</v>
      </c>
      <c r="I61" s="25">
        <f t="shared" si="3"/>
        <v>11763</v>
      </c>
      <c r="J61" s="25">
        <v>37609</v>
      </c>
      <c r="K61" s="25">
        <f t="shared" si="5"/>
        <v>3.19722859814673</v>
      </c>
      <c r="L61" s="114">
        <v>5479</v>
      </c>
      <c r="M61" s="115">
        <v>0.764</v>
      </c>
      <c r="N61" s="25">
        <f t="shared" si="0"/>
        <v>4185.956</v>
      </c>
      <c r="O61" s="25">
        <f t="shared" si="7"/>
        <v>7577.044</v>
      </c>
      <c r="P61" s="115">
        <v>20930</v>
      </c>
      <c r="Q61" s="25">
        <f t="shared" si="1"/>
        <v>2.76229094089991</v>
      </c>
      <c r="R61" s="116"/>
      <c r="S61" s="116"/>
      <c r="T61" s="116"/>
      <c r="U61" s="116"/>
      <c r="V61" s="116"/>
      <c r="W61" s="116"/>
      <c r="X61" s="116"/>
      <c r="Y61" s="116"/>
      <c r="Z61" s="116"/>
    </row>
    <row r="62" s="68" customFormat="1" spans="1:26">
      <c r="A62" s="27">
        <v>4</v>
      </c>
      <c r="B62" s="101">
        <f>B61+3</f>
        <v>45943</v>
      </c>
      <c r="C62" s="27">
        <v>705</v>
      </c>
      <c r="D62" s="25">
        <v>2.1</v>
      </c>
      <c r="E62" s="25">
        <f t="shared" ref="E62:E74" si="9">C62*D62</f>
        <v>1480.5</v>
      </c>
      <c r="F62" s="27">
        <v>4267</v>
      </c>
      <c r="G62" s="25">
        <f t="shared" si="6"/>
        <v>2.25744082493555</v>
      </c>
      <c r="H62" s="27">
        <v>9632.5</v>
      </c>
      <c r="I62" s="25">
        <f t="shared" si="3"/>
        <v>11113</v>
      </c>
      <c r="J62" s="25">
        <v>37335</v>
      </c>
      <c r="K62" s="25">
        <f t="shared" si="5"/>
        <v>3.35957887159183</v>
      </c>
      <c r="L62" s="114">
        <v>5372</v>
      </c>
      <c r="M62" s="115">
        <v>0.813</v>
      </c>
      <c r="N62" s="25">
        <f t="shared" si="0"/>
        <v>4367.436</v>
      </c>
      <c r="O62" s="25">
        <f t="shared" si="7"/>
        <v>6745.564</v>
      </c>
      <c r="P62" s="115">
        <v>21385</v>
      </c>
      <c r="Q62" s="25">
        <f t="shared" si="1"/>
        <v>3.1702315773744</v>
      </c>
      <c r="R62" s="116"/>
      <c r="S62" s="116"/>
      <c r="T62" s="116"/>
      <c r="U62" s="116"/>
      <c r="V62" s="116"/>
      <c r="W62" s="116"/>
      <c r="X62" s="116"/>
      <c r="Y62" s="116"/>
      <c r="Z62" s="116"/>
    </row>
    <row r="63" s="68" customFormat="1" spans="1:26">
      <c r="A63" s="27">
        <v>7</v>
      </c>
      <c r="B63" s="101">
        <f>B62+5</f>
        <v>45948</v>
      </c>
      <c r="C63" s="27">
        <v>849</v>
      </c>
      <c r="D63" s="25">
        <v>1.9</v>
      </c>
      <c r="E63" s="25">
        <f t="shared" si="9"/>
        <v>1613.1</v>
      </c>
      <c r="F63" s="27">
        <v>5265</v>
      </c>
      <c r="G63" s="25">
        <f t="shared" si="6"/>
        <v>2.28262108262108</v>
      </c>
      <c r="H63" s="27">
        <v>12018</v>
      </c>
      <c r="I63" s="25">
        <f t="shared" si="3"/>
        <v>13631.1</v>
      </c>
      <c r="J63" s="25">
        <v>39605</v>
      </c>
      <c r="K63" s="25">
        <f t="shared" si="5"/>
        <v>2.90548818510612</v>
      </c>
      <c r="L63" s="114">
        <v>6250</v>
      </c>
      <c r="M63" s="115">
        <v>0.795</v>
      </c>
      <c r="N63" s="25">
        <f t="shared" si="0"/>
        <v>4968.75</v>
      </c>
      <c r="O63" s="25">
        <f t="shared" si="7"/>
        <v>8662.35</v>
      </c>
      <c r="P63" s="115">
        <v>25710</v>
      </c>
      <c r="Q63" s="25">
        <f t="shared" si="1"/>
        <v>2.96801676219502</v>
      </c>
      <c r="R63" s="116"/>
      <c r="S63" s="116"/>
      <c r="T63" s="116"/>
      <c r="U63" s="116"/>
      <c r="V63" s="116"/>
      <c r="W63" s="116"/>
      <c r="X63" s="116"/>
      <c r="Y63" s="116"/>
      <c r="Z63" s="116"/>
    </row>
    <row r="64" s="68" customFormat="1" spans="1:26">
      <c r="A64" s="41">
        <v>8</v>
      </c>
      <c r="B64" s="117">
        <f>B63+5</f>
        <v>45953</v>
      </c>
      <c r="C64" s="41">
        <v>722</v>
      </c>
      <c r="D64" s="39">
        <v>2.1</v>
      </c>
      <c r="E64" s="39">
        <f t="shared" si="9"/>
        <v>1516.2</v>
      </c>
      <c r="F64" s="41">
        <v>5471</v>
      </c>
      <c r="G64" s="39">
        <f t="shared" si="6"/>
        <v>2.23999268872235</v>
      </c>
      <c r="H64" s="41">
        <v>12255</v>
      </c>
      <c r="I64" s="39">
        <f t="shared" si="3"/>
        <v>13771.2</v>
      </c>
      <c r="J64" s="118"/>
      <c r="K64" s="39"/>
      <c r="L64" s="118"/>
      <c r="M64" s="119"/>
      <c r="N64" s="39">
        <f t="shared" si="0"/>
        <v>0</v>
      </c>
      <c r="O64" s="39">
        <f t="shared" si="7"/>
        <v>13771.2</v>
      </c>
      <c r="P64" s="119"/>
      <c r="Q64" s="39"/>
      <c r="R64" s="116"/>
      <c r="S64" s="116"/>
      <c r="T64" s="116"/>
      <c r="U64" s="116"/>
      <c r="V64" s="116"/>
      <c r="W64" s="116"/>
      <c r="X64" s="116"/>
      <c r="Y64" s="116"/>
      <c r="Z64" s="116"/>
    </row>
    <row r="65" s="68" customFormat="1" spans="1:26">
      <c r="A65" s="27">
        <v>2</v>
      </c>
      <c r="B65" s="101">
        <v>45959</v>
      </c>
      <c r="C65" s="27">
        <v>562</v>
      </c>
      <c r="D65" s="25">
        <v>2.1</v>
      </c>
      <c r="E65" s="25">
        <f t="shared" si="9"/>
        <v>1180.2</v>
      </c>
      <c r="F65" s="27">
        <v>3831</v>
      </c>
      <c r="G65" s="25">
        <f t="shared" si="6"/>
        <v>2.34299138606108</v>
      </c>
      <c r="H65" s="27">
        <v>8976</v>
      </c>
      <c r="I65" s="25">
        <f t="shared" si="3"/>
        <v>10156.2</v>
      </c>
      <c r="J65" s="25">
        <v>37115</v>
      </c>
      <c r="K65" s="25">
        <f t="shared" ref="K65:K74" si="10">J65/I65</f>
        <v>3.65441799098088</v>
      </c>
      <c r="L65" s="114">
        <v>4631</v>
      </c>
      <c r="M65" s="115">
        <v>0.96</v>
      </c>
      <c r="N65" s="25">
        <f t="shared" si="0"/>
        <v>4445.76</v>
      </c>
      <c r="O65" s="25">
        <f t="shared" si="7"/>
        <v>5710.44</v>
      </c>
      <c r="P65" s="115">
        <v>18815</v>
      </c>
      <c r="Q65" s="25">
        <f t="shared" ref="Q65:Q74" si="11">P65/O65</f>
        <v>3.29484242895469</v>
      </c>
      <c r="R65" s="116"/>
      <c r="S65" s="116"/>
      <c r="T65" s="116"/>
      <c r="U65" s="116"/>
      <c r="V65" s="116"/>
      <c r="W65" s="116"/>
      <c r="X65" s="116"/>
      <c r="Y65" s="116"/>
      <c r="Z65" s="116"/>
    </row>
    <row r="66" s="68" customFormat="1" spans="1:26">
      <c r="A66" s="27">
        <v>1</v>
      </c>
      <c r="B66" s="101">
        <v>45967</v>
      </c>
      <c r="C66" s="27">
        <v>753</v>
      </c>
      <c r="D66" s="25">
        <v>2.15</v>
      </c>
      <c r="E66" s="25">
        <f t="shared" si="9"/>
        <v>1618.95</v>
      </c>
      <c r="F66" s="27">
        <v>4499</v>
      </c>
      <c r="G66" s="25">
        <f t="shared" si="6"/>
        <v>2.41031340297844</v>
      </c>
      <c r="H66" s="27">
        <v>10844</v>
      </c>
      <c r="I66" s="25">
        <f t="shared" si="3"/>
        <v>12462.95</v>
      </c>
      <c r="J66" s="25">
        <v>43096</v>
      </c>
      <c r="K66" s="25">
        <f t="shared" si="10"/>
        <v>3.45792930245247</v>
      </c>
      <c r="L66" s="114">
        <v>5413</v>
      </c>
      <c r="M66" s="115">
        <v>0.842</v>
      </c>
      <c r="N66" s="25">
        <f t="shared" si="0"/>
        <v>4557.746</v>
      </c>
      <c r="O66" s="25">
        <f t="shared" si="7"/>
        <v>7905.204</v>
      </c>
      <c r="P66" s="115">
        <v>22590</v>
      </c>
      <c r="Q66" s="25">
        <f t="shared" si="11"/>
        <v>2.85761126468084</v>
      </c>
      <c r="R66" s="116"/>
      <c r="S66" s="116"/>
      <c r="T66" s="116"/>
      <c r="U66" s="116"/>
      <c r="V66" s="116"/>
      <c r="W66" s="116"/>
      <c r="X66" s="116"/>
      <c r="Y66" s="116"/>
      <c r="Z66" s="116"/>
    </row>
    <row r="67" s="68" customFormat="1" spans="1:26">
      <c r="A67" s="27">
        <v>5</v>
      </c>
      <c r="B67" s="101">
        <v>45976</v>
      </c>
      <c r="C67" s="27">
        <v>583</v>
      </c>
      <c r="D67" s="25">
        <v>2.15</v>
      </c>
      <c r="E67" s="25">
        <f t="shared" si="9"/>
        <v>1253.45</v>
      </c>
      <c r="F67" s="27">
        <v>5192</v>
      </c>
      <c r="G67" s="25">
        <f t="shared" si="6"/>
        <v>2.47785053929122</v>
      </c>
      <c r="H67" s="27">
        <v>12865</v>
      </c>
      <c r="I67" s="25">
        <f t="shared" ref="I67:I74" si="12">E67+H67</f>
        <v>14118.45</v>
      </c>
      <c r="J67" s="25">
        <v>49898</v>
      </c>
      <c r="K67" s="25">
        <f t="shared" si="10"/>
        <v>3.53424065672931</v>
      </c>
      <c r="L67" s="114">
        <v>6169</v>
      </c>
      <c r="M67" s="115">
        <v>0.96</v>
      </c>
      <c r="N67" s="25">
        <f t="shared" ref="N67:N74" si="13">L67*M67</f>
        <v>5922.24</v>
      </c>
      <c r="O67" s="25">
        <f t="shared" si="7"/>
        <v>8196.21</v>
      </c>
      <c r="P67" s="115">
        <v>28015</v>
      </c>
      <c r="Q67" s="25">
        <f t="shared" si="11"/>
        <v>3.41804321753591</v>
      </c>
      <c r="R67" s="116"/>
      <c r="S67" s="116"/>
      <c r="T67" s="116"/>
      <c r="U67" s="116"/>
      <c r="V67" s="116"/>
      <c r="W67" s="116"/>
      <c r="X67" s="116"/>
      <c r="Y67" s="116"/>
      <c r="Z67" s="116"/>
    </row>
    <row r="68" s="67" customFormat="1" spans="1:26">
      <c r="A68" s="27">
        <v>3</v>
      </c>
      <c r="B68" s="101">
        <v>45981</v>
      </c>
      <c r="C68" s="27">
        <v>533</v>
      </c>
      <c r="D68" s="25">
        <v>2.15</v>
      </c>
      <c r="E68" s="25">
        <f t="shared" si="9"/>
        <v>1145.95</v>
      </c>
      <c r="F68" s="27">
        <v>5862</v>
      </c>
      <c r="G68" s="25">
        <f t="shared" si="6"/>
        <v>2.46170249061754</v>
      </c>
      <c r="H68" s="25">
        <v>14430.5</v>
      </c>
      <c r="I68" s="25">
        <f t="shared" si="12"/>
        <v>15576.45</v>
      </c>
      <c r="J68" s="25">
        <v>54430</v>
      </c>
      <c r="K68" s="25">
        <f t="shared" si="10"/>
        <v>3.49437773048416</v>
      </c>
      <c r="L68" s="114">
        <v>6573</v>
      </c>
      <c r="M68" s="115">
        <v>0.95</v>
      </c>
      <c r="N68" s="25">
        <f t="shared" si="13"/>
        <v>6244.35</v>
      </c>
      <c r="O68" s="25">
        <f t="shared" si="7"/>
        <v>9332.1</v>
      </c>
      <c r="P68" s="115">
        <v>31100</v>
      </c>
      <c r="Q68" s="25">
        <f t="shared" si="11"/>
        <v>3.33258323421309</v>
      </c>
      <c r="R68" s="113"/>
      <c r="S68" s="113"/>
      <c r="T68" s="113"/>
      <c r="U68" s="113"/>
      <c r="V68" s="113"/>
      <c r="W68" s="113"/>
      <c r="X68" s="113"/>
      <c r="Y68" s="113"/>
      <c r="Z68" s="113"/>
    </row>
    <row r="69" s="67" customFormat="1" spans="1:26">
      <c r="A69" s="27">
        <v>9</v>
      </c>
      <c r="B69" s="101">
        <v>45984</v>
      </c>
      <c r="C69" s="27">
        <v>426</v>
      </c>
      <c r="D69" s="25">
        <v>2.2</v>
      </c>
      <c r="E69" s="25">
        <f t="shared" si="9"/>
        <v>937.2</v>
      </c>
      <c r="F69" s="27">
        <v>2506</v>
      </c>
      <c r="G69" s="25">
        <f t="shared" si="6"/>
        <v>2.6231045490822</v>
      </c>
      <c r="H69" s="44">
        <v>6573.5</v>
      </c>
      <c r="I69" s="25">
        <f t="shared" si="12"/>
        <v>7510.7</v>
      </c>
      <c r="J69" s="25">
        <v>30140</v>
      </c>
      <c r="K69" s="25">
        <f t="shared" si="10"/>
        <v>4.01294153674092</v>
      </c>
      <c r="L69" s="114">
        <v>3252</v>
      </c>
      <c r="M69" s="115">
        <v>1</v>
      </c>
      <c r="N69" s="25">
        <f t="shared" si="13"/>
        <v>3252</v>
      </c>
      <c r="O69" s="25">
        <f t="shared" si="7"/>
        <v>4258.7</v>
      </c>
      <c r="P69" s="115">
        <v>14655</v>
      </c>
      <c r="Q69" s="25">
        <f t="shared" si="11"/>
        <v>3.44119097377134</v>
      </c>
      <c r="R69" s="113"/>
      <c r="S69" s="113"/>
      <c r="T69" s="113"/>
      <c r="U69" s="113"/>
      <c r="V69" s="113"/>
      <c r="W69" s="113"/>
      <c r="X69" s="113"/>
      <c r="Y69" s="113"/>
      <c r="Z69" s="113"/>
    </row>
    <row r="70" s="67" customFormat="1" spans="1:26">
      <c r="A70" s="120" t="s">
        <v>40</v>
      </c>
      <c r="B70" s="101">
        <v>45988</v>
      </c>
      <c r="C70" s="27">
        <v>438</v>
      </c>
      <c r="D70" s="25">
        <v>2.2</v>
      </c>
      <c r="E70" s="25">
        <f t="shared" si="9"/>
        <v>963.6</v>
      </c>
      <c r="F70" s="27">
        <v>4277</v>
      </c>
      <c r="G70" s="25">
        <f t="shared" si="6"/>
        <v>2.5929389759177</v>
      </c>
      <c r="H70" s="44">
        <v>11090</v>
      </c>
      <c r="I70" s="25">
        <f t="shared" si="12"/>
        <v>12053.6</v>
      </c>
      <c r="J70" s="25">
        <v>45660</v>
      </c>
      <c r="K70" s="25">
        <f t="shared" si="10"/>
        <v>3.78807990973651</v>
      </c>
      <c r="L70" s="114">
        <v>4956</v>
      </c>
      <c r="M70" s="115">
        <v>1</v>
      </c>
      <c r="N70" s="25">
        <f t="shared" si="13"/>
        <v>4956</v>
      </c>
      <c r="O70" s="25">
        <f t="shared" si="7"/>
        <v>7097.6</v>
      </c>
      <c r="P70" s="115">
        <v>24040</v>
      </c>
      <c r="Q70" s="25">
        <f t="shared" si="11"/>
        <v>3.3870604147881</v>
      </c>
      <c r="R70" s="113"/>
      <c r="S70" s="113"/>
      <c r="T70" s="113"/>
      <c r="U70" s="113"/>
      <c r="V70" s="113"/>
      <c r="W70" s="113"/>
      <c r="X70" s="113"/>
      <c r="Y70" s="113"/>
      <c r="Z70" s="113"/>
    </row>
    <row r="71" s="67" customFormat="1" spans="1:26">
      <c r="A71" s="120" t="s">
        <v>46</v>
      </c>
      <c r="B71" s="101">
        <v>45991</v>
      </c>
      <c r="C71" s="27">
        <v>720</v>
      </c>
      <c r="D71" s="25">
        <v>2.2</v>
      </c>
      <c r="E71" s="25">
        <f t="shared" si="9"/>
        <v>1584</v>
      </c>
      <c r="F71" s="27">
        <v>3682</v>
      </c>
      <c r="G71" s="25">
        <f t="shared" si="6"/>
        <v>2.54331884845193</v>
      </c>
      <c r="H71" s="44">
        <v>9364.5</v>
      </c>
      <c r="I71" s="25">
        <f t="shared" si="12"/>
        <v>10948.5</v>
      </c>
      <c r="J71" s="25">
        <v>43670</v>
      </c>
      <c r="K71" s="25">
        <f t="shared" si="10"/>
        <v>3.98867424761383</v>
      </c>
      <c r="L71" s="114">
        <v>4673</v>
      </c>
      <c r="M71" s="115">
        <v>1</v>
      </c>
      <c r="N71" s="25">
        <f t="shared" si="13"/>
        <v>4673</v>
      </c>
      <c r="O71" s="25">
        <f t="shared" si="7"/>
        <v>6275.5</v>
      </c>
      <c r="P71" s="115">
        <v>21705</v>
      </c>
      <c r="Q71" s="25">
        <f t="shared" si="11"/>
        <v>3.45868855071309</v>
      </c>
      <c r="R71" s="113"/>
      <c r="S71" s="113"/>
      <c r="T71" s="113"/>
      <c r="U71" s="113"/>
      <c r="V71" s="113"/>
      <c r="W71" s="113"/>
      <c r="X71" s="113"/>
      <c r="Y71" s="113"/>
      <c r="Z71" s="113"/>
    </row>
    <row r="72" s="67" customFormat="1" spans="1:26">
      <c r="A72" s="121" t="s">
        <v>50</v>
      </c>
      <c r="B72" s="85">
        <v>45998</v>
      </c>
      <c r="C72" s="3">
        <v>539</v>
      </c>
      <c r="D72" s="14">
        <v>2.2</v>
      </c>
      <c r="E72" s="14">
        <f t="shared" si="9"/>
        <v>1185.8</v>
      </c>
      <c r="F72" s="3">
        <v>4671</v>
      </c>
      <c r="G72" s="14">
        <f t="shared" si="6"/>
        <v>2.53789338471419</v>
      </c>
      <c r="H72" s="122">
        <v>11854.5</v>
      </c>
      <c r="I72" s="14">
        <f t="shared" si="12"/>
        <v>13040.3</v>
      </c>
      <c r="J72" s="122">
        <v>48980</v>
      </c>
      <c r="K72" s="14">
        <f t="shared" si="10"/>
        <v>3.7560485571651</v>
      </c>
      <c r="L72" s="123">
        <v>5335</v>
      </c>
      <c r="M72" s="124">
        <v>1.006</v>
      </c>
      <c r="N72" s="8">
        <f t="shared" si="13"/>
        <v>5367.01</v>
      </c>
      <c r="O72" s="14">
        <f t="shared" si="7"/>
        <v>7673.29</v>
      </c>
      <c r="P72" s="124">
        <v>24965</v>
      </c>
      <c r="Q72" s="14">
        <f t="shared" si="11"/>
        <v>3.25349361225758</v>
      </c>
      <c r="R72" s="113"/>
      <c r="S72" s="113"/>
      <c r="T72" s="113"/>
      <c r="U72" s="113"/>
      <c r="V72" s="113"/>
      <c r="W72" s="113"/>
      <c r="X72" s="113"/>
      <c r="Y72" s="113"/>
      <c r="Z72" s="113"/>
    </row>
    <row r="73" s="67" customFormat="1" spans="1:26">
      <c r="A73" s="120" t="s">
        <v>32</v>
      </c>
      <c r="B73" s="101">
        <v>46001</v>
      </c>
      <c r="C73" s="27">
        <v>1127</v>
      </c>
      <c r="D73" s="25">
        <v>2.2</v>
      </c>
      <c r="E73" s="25">
        <f t="shared" si="9"/>
        <v>2479.4</v>
      </c>
      <c r="F73" s="27">
        <v>4928</v>
      </c>
      <c r="G73" s="25">
        <f t="shared" si="6"/>
        <v>2.50060876623377</v>
      </c>
      <c r="H73" s="44">
        <v>12323</v>
      </c>
      <c r="I73" s="25">
        <f t="shared" si="12"/>
        <v>14802.4</v>
      </c>
      <c r="J73" s="25">
        <v>52505</v>
      </c>
      <c r="K73" s="25">
        <f t="shared" si="10"/>
        <v>3.54705993622656</v>
      </c>
      <c r="L73" s="114">
        <v>6260</v>
      </c>
      <c r="M73" s="115">
        <v>0.94</v>
      </c>
      <c r="N73" s="25">
        <f t="shared" si="13"/>
        <v>5884.4</v>
      </c>
      <c r="O73" s="25">
        <f t="shared" si="7"/>
        <v>8918</v>
      </c>
      <c r="P73" s="115">
        <v>30030</v>
      </c>
      <c r="Q73" s="25">
        <f t="shared" si="11"/>
        <v>3.36734693877551</v>
      </c>
      <c r="R73" s="113"/>
      <c r="S73" s="113"/>
      <c r="T73" s="113"/>
      <c r="U73" s="113"/>
      <c r="V73" s="113"/>
      <c r="W73" s="113"/>
      <c r="X73" s="113"/>
      <c r="Y73" s="113"/>
      <c r="Z73" s="113"/>
    </row>
    <row r="74" s="67" customFormat="1" spans="1:26">
      <c r="A74" s="27">
        <v>1</v>
      </c>
      <c r="B74" s="101">
        <v>46008</v>
      </c>
      <c r="C74" s="27">
        <v>861</v>
      </c>
      <c r="D74" s="25">
        <v>2.2</v>
      </c>
      <c r="E74" s="25">
        <f t="shared" si="9"/>
        <v>1894.2</v>
      </c>
      <c r="F74" s="27">
        <v>7111</v>
      </c>
      <c r="G74" s="25">
        <f t="shared" si="6"/>
        <v>2.55322739417803</v>
      </c>
      <c r="H74" s="44">
        <v>18156</v>
      </c>
      <c r="I74" s="25">
        <f t="shared" si="12"/>
        <v>20050.2</v>
      </c>
      <c r="J74" s="25">
        <v>67340</v>
      </c>
      <c r="K74" s="25">
        <f t="shared" si="10"/>
        <v>3.35856998932679</v>
      </c>
      <c r="L74" s="114">
        <v>8262</v>
      </c>
      <c r="M74" s="115">
        <v>0.94</v>
      </c>
      <c r="N74" s="25">
        <f t="shared" si="13"/>
        <v>7766.28</v>
      </c>
      <c r="O74" s="25">
        <f t="shared" si="7"/>
        <v>12283.92</v>
      </c>
      <c r="P74" s="115">
        <v>40290</v>
      </c>
      <c r="Q74" s="25">
        <f t="shared" si="11"/>
        <v>3.27989762225739</v>
      </c>
      <c r="R74" s="113"/>
      <c r="S74" s="113"/>
      <c r="T74" s="113"/>
      <c r="U74" s="113"/>
      <c r="V74" s="113"/>
      <c r="W74" s="113"/>
      <c r="X74" s="113"/>
      <c r="Y74" s="113"/>
      <c r="Z74" s="113"/>
    </row>
    <row r="75" s="67" customFormat="1" spans="1:26">
      <c r="A75" s="27">
        <v>5</v>
      </c>
      <c r="B75" s="101">
        <v>46016</v>
      </c>
      <c r="C75" s="27">
        <v>758</v>
      </c>
      <c r="D75" s="25">
        <v>2.2</v>
      </c>
      <c r="E75" s="25">
        <f>C75*D75</f>
        <v>1667.6</v>
      </c>
      <c r="F75" s="27">
        <v>6511</v>
      </c>
      <c r="G75" s="25">
        <f>H75/F75</f>
        <v>2.5048379665182</v>
      </c>
      <c r="H75" s="44">
        <v>16309</v>
      </c>
      <c r="I75" s="25">
        <f>E75+H75</f>
        <v>17976.6</v>
      </c>
      <c r="J75" s="25">
        <v>63925</v>
      </c>
      <c r="K75" s="25">
        <f>J75/I75</f>
        <v>3.55601170410422</v>
      </c>
      <c r="L75" s="114">
        <v>7850</v>
      </c>
      <c r="M75" s="115">
        <v>1</v>
      </c>
      <c r="N75" s="25">
        <f>L75*M75</f>
        <v>7850</v>
      </c>
      <c r="O75" s="25">
        <f>I75-N75</f>
        <v>10126.6</v>
      </c>
      <c r="P75" s="115">
        <v>34220</v>
      </c>
      <c r="Q75" s="25">
        <f>P75/O75</f>
        <v>3.3792190863666</v>
      </c>
      <c r="R75" s="113"/>
      <c r="S75" s="113"/>
      <c r="T75" s="113"/>
      <c r="U75" s="113"/>
      <c r="V75" s="113"/>
      <c r="W75" s="113"/>
      <c r="X75" s="113"/>
      <c r="Y75" s="113"/>
      <c r="Z75" s="113"/>
    </row>
    <row r="76" s="67" customFormat="1" spans="1:26">
      <c r="A76" s="120" t="s">
        <v>58</v>
      </c>
      <c r="B76" s="101">
        <v>46019</v>
      </c>
      <c r="C76" s="27">
        <v>605</v>
      </c>
      <c r="D76" s="25">
        <v>2.2</v>
      </c>
      <c r="E76" s="25">
        <f>C76*D76</f>
        <v>1331</v>
      </c>
      <c r="F76" s="27">
        <v>6549</v>
      </c>
      <c r="G76" s="25">
        <f>H76/F76</f>
        <v>2.54008245533669</v>
      </c>
      <c r="H76" s="27">
        <v>16635</v>
      </c>
      <c r="I76" s="25">
        <f>E76+H76</f>
        <v>17966</v>
      </c>
      <c r="J76" s="25">
        <v>59300</v>
      </c>
      <c r="K76" s="25">
        <f>J76/I76</f>
        <v>3.30067906044751</v>
      </c>
      <c r="L76" s="114">
        <v>7253</v>
      </c>
      <c r="M76" s="115">
        <v>0.99</v>
      </c>
      <c r="N76" s="25">
        <f>L76*M76</f>
        <v>7180.47</v>
      </c>
      <c r="O76" s="25">
        <f>I76-N76</f>
        <v>10785.53</v>
      </c>
      <c r="P76" s="115">
        <v>38230</v>
      </c>
      <c r="Q76" s="25">
        <f>P76/O76</f>
        <v>3.54456387400526</v>
      </c>
      <c r="R76" s="113"/>
      <c r="S76" s="113"/>
      <c r="T76" s="113"/>
      <c r="U76" s="113"/>
      <c r="V76" s="113"/>
      <c r="W76" s="113"/>
      <c r="X76" s="113"/>
      <c r="Y76" s="113"/>
      <c r="Z76" s="113"/>
    </row>
    <row r="77" s="69" customFormat="1" spans="1:26">
      <c r="A77" s="125"/>
      <c r="B77" s="126"/>
      <c r="C77" s="127"/>
      <c r="D77" s="128"/>
      <c r="E77" s="128"/>
      <c r="F77" s="127"/>
      <c r="G77" s="129"/>
      <c r="H77" s="127"/>
      <c r="I77" s="128"/>
      <c r="J77" s="128"/>
      <c r="K77" s="128"/>
      <c r="L77" s="130"/>
      <c r="M77" s="131"/>
      <c r="N77" s="128"/>
      <c r="O77" s="128"/>
      <c r="P77" s="131"/>
      <c r="Q77" s="128"/>
      <c r="R77" s="132"/>
      <c r="S77" s="132"/>
      <c r="T77" s="132"/>
      <c r="U77" s="132"/>
      <c r="V77" s="132"/>
      <c r="W77" s="132"/>
      <c r="X77" s="132"/>
      <c r="Y77" s="132"/>
      <c r="Z77" s="132"/>
    </row>
    <row r="78" s="69" customFormat="1" spans="1:26">
      <c r="A78" s="125"/>
      <c r="B78" s="126"/>
      <c r="C78" s="127"/>
      <c r="D78" s="128"/>
      <c r="E78" s="128"/>
      <c r="F78" s="127"/>
      <c r="G78" s="129"/>
      <c r="H78" s="127"/>
      <c r="I78" s="128"/>
      <c r="J78" s="128"/>
      <c r="K78" s="128"/>
      <c r="L78" s="130"/>
      <c r="M78" s="131"/>
      <c r="N78" s="128"/>
      <c r="O78" s="128"/>
      <c r="P78" s="131"/>
      <c r="Q78" s="128"/>
      <c r="R78" s="132"/>
      <c r="S78" s="132"/>
      <c r="T78" s="132"/>
      <c r="U78" s="132"/>
      <c r="V78" s="132"/>
      <c r="W78" s="132"/>
      <c r="X78" s="132"/>
      <c r="Y78" s="132"/>
      <c r="Z78" s="132"/>
    </row>
    <row r="79" s="69" customFormat="1" spans="1:26">
      <c r="A79" s="125"/>
      <c r="B79" s="126"/>
      <c r="C79" s="127"/>
      <c r="D79" s="128"/>
      <c r="E79" s="128"/>
      <c r="F79" s="127"/>
      <c r="G79" s="129"/>
      <c r="H79" s="127"/>
      <c r="I79" s="128"/>
      <c r="J79" s="128"/>
      <c r="K79" s="128"/>
      <c r="L79" s="130"/>
      <c r="M79" s="131"/>
      <c r="N79" s="128"/>
      <c r="O79" s="128"/>
      <c r="P79" s="131"/>
      <c r="Q79" s="128"/>
      <c r="R79" s="132"/>
      <c r="S79" s="132"/>
      <c r="T79" s="132"/>
      <c r="U79" s="132"/>
      <c r="V79" s="132"/>
      <c r="W79" s="132"/>
      <c r="X79" s="132"/>
      <c r="Y79" s="132"/>
      <c r="Z79" s="132"/>
    </row>
    <row r="80" s="69" customFormat="1" spans="1:26">
      <c r="A80" s="125"/>
      <c r="B80" s="126"/>
      <c r="C80" s="127"/>
      <c r="D80" s="128"/>
      <c r="E80" s="128"/>
      <c r="F80" s="127"/>
      <c r="G80" s="129"/>
      <c r="H80" s="127"/>
      <c r="I80" s="128"/>
      <c r="J80" s="128"/>
      <c r="K80" s="128"/>
      <c r="L80" s="130"/>
      <c r="M80" s="131"/>
      <c r="N80" s="128"/>
      <c r="O80" s="128"/>
      <c r="P80" s="131"/>
      <c r="Q80" s="128"/>
      <c r="R80" s="132"/>
      <c r="S80" s="132"/>
      <c r="T80" s="132"/>
      <c r="U80" s="132"/>
      <c r="V80" s="132"/>
      <c r="W80" s="132"/>
      <c r="X80" s="132"/>
      <c r="Y80" s="132"/>
      <c r="Z80" s="132"/>
    </row>
    <row r="81" s="69" customFormat="1" spans="1:26">
      <c r="A81" s="125"/>
      <c r="B81" s="126"/>
      <c r="C81" s="127"/>
      <c r="D81" s="128"/>
      <c r="E81" s="128"/>
      <c r="F81" s="127"/>
      <c r="G81" s="129"/>
      <c r="H81" s="127"/>
      <c r="I81" s="128"/>
      <c r="J81" s="128"/>
      <c r="K81" s="128"/>
      <c r="L81" s="130"/>
      <c r="M81" s="131"/>
      <c r="N81" s="128"/>
      <c r="O81" s="128"/>
      <c r="P81" s="131"/>
      <c r="Q81" s="128"/>
      <c r="R81" s="132"/>
      <c r="S81" s="132"/>
      <c r="T81" s="132"/>
      <c r="U81" s="132"/>
      <c r="V81" s="132"/>
      <c r="W81" s="132"/>
      <c r="X81" s="132"/>
      <c r="Y81" s="132"/>
      <c r="Z81" s="132"/>
    </row>
    <row r="82" s="67" customFormat="1" spans="1:26">
      <c r="A82" s="121"/>
      <c r="B82" s="85"/>
      <c r="C82" s="3"/>
      <c r="D82" s="14"/>
      <c r="E82" s="14"/>
      <c r="F82" s="3"/>
      <c r="G82" s="133"/>
      <c r="H82" s="3">
        <v>980</v>
      </c>
      <c r="I82" s="134">
        <v>4220</v>
      </c>
      <c r="J82" s="112"/>
      <c r="K82" s="112"/>
      <c r="L82" s="112"/>
      <c r="M82" s="111"/>
      <c r="N82" s="112">
        <v>2675</v>
      </c>
      <c r="O82" s="14">
        <v>4240</v>
      </c>
      <c r="P82" s="111"/>
      <c r="Q82" s="111"/>
      <c r="R82" s="113"/>
      <c r="S82" s="113"/>
      <c r="T82" s="113"/>
      <c r="U82" s="113"/>
      <c r="V82" s="113"/>
      <c r="W82" s="113"/>
      <c r="X82" s="113"/>
      <c r="Y82" s="113"/>
      <c r="Z82" s="113"/>
    </row>
    <row r="83" s="67" customFormat="1" spans="1:26">
      <c r="A83" s="135"/>
      <c r="B83" s="89"/>
      <c r="C83" s="3"/>
      <c r="D83" s="14"/>
      <c r="E83" s="14"/>
      <c r="F83" s="106"/>
      <c r="G83" s="136"/>
      <c r="H83" s="122">
        <v>5905</v>
      </c>
      <c r="I83" s="134">
        <v>3365</v>
      </c>
      <c r="J83" s="112"/>
      <c r="K83" s="112"/>
      <c r="L83" s="111"/>
      <c r="M83" s="111"/>
      <c r="N83" s="106">
        <v>2020</v>
      </c>
      <c r="O83" s="106">
        <v>4900</v>
      </c>
      <c r="P83" s="111"/>
      <c r="Q83" s="111"/>
      <c r="R83" s="113"/>
      <c r="S83" s="113"/>
      <c r="T83" s="113"/>
      <c r="U83" s="113"/>
      <c r="V83" s="113"/>
      <c r="W83" s="113"/>
      <c r="X83" s="113"/>
      <c r="Y83" s="113"/>
      <c r="Z83" s="113"/>
    </row>
    <row r="84" s="67" customFormat="1" spans="1:26">
      <c r="A84" s="135"/>
      <c r="B84" s="89"/>
      <c r="C84" s="3"/>
      <c r="D84" s="14"/>
      <c r="E84" s="14"/>
      <c r="F84" s="106"/>
      <c r="G84" s="136"/>
      <c r="H84" s="122">
        <v>4970</v>
      </c>
      <c r="I84" s="134">
        <v>7100</v>
      </c>
      <c r="J84" s="112"/>
      <c r="K84" s="112"/>
      <c r="L84" s="111"/>
      <c r="M84" s="111"/>
      <c r="N84" s="106">
        <v>4010</v>
      </c>
      <c r="O84" s="27">
        <v>8554</v>
      </c>
      <c r="P84" s="111"/>
      <c r="Q84" s="111"/>
      <c r="R84" s="113"/>
      <c r="S84" s="113"/>
      <c r="T84" s="113"/>
      <c r="U84" s="113"/>
      <c r="V84" s="113"/>
      <c r="W84" s="113"/>
      <c r="X84" s="113"/>
      <c r="Y84" s="113"/>
      <c r="Z84" s="113"/>
    </row>
    <row r="85" s="67" customFormat="1" spans="1:26">
      <c r="A85" s="85"/>
      <c r="B85" s="86"/>
      <c r="C85" s="3"/>
      <c r="D85" s="14"/>
      <c r="E85" s="86"/>
      <c r="F85" s="25"/>
      <c r="G85" s="106"/>
      <c r="H85" s="14">
        <v>3795</v>
      </c>
      <c r="I85" s="122">
        <v>5550</v>
      </c>
      <c r="J85" s="112"/>
      <c r="K85" s="112"/>
      <c r="L85" s="111"/>
      <c r="M85" s="111"/>
      <c r="N85" s="25">
        <v>5005</v>
      </c>
      <c r="O85" s="27">
        <v>3000</v>
      </c>
      <c r="P85" s="111"/>
      <c r="Q85" s="111"/>
      <c r="R85" s="112">
        <v>605</v>
      </c>
      <c r="S85" s="112"/>
      <c r="T85" s="111"/>
      <c r="U85" s="113"/>
      <c r="V85" s="113"/>
      <c r="W85" s="113"/>
      <c r="X85" s="113"/>
      <c r="Y85" s="113"/>
      <c r="Z85" s="113"/>
    </row>
    <row r="86" s="67" customFormat="1" spans="1:26">
      <c r="A86" s="85"/>
      <c r="B86" s="86"/>
      <c r="C86" s="3"/>
      <c r="D86" s="14"/>
      <c r="E86" s="137"/>
      <c r="F86" s="138"/>
      <c r="G86" s="27"/>
      <c r="H86" s="134">
        <v>2160</v>
      </c>
      <c r="I86" s="122">
        <v>7475</v>
      </c>
      <c r="J86" s="112"/>
      <c r="K86" s="112"/>
      <c r="L86" s="111"/>
      <c r="M86" s="111"/>
      <c r="N86" s="138">
        <v>4010</v>
      </c>
      <c r="O86" s="27">
        <v>2115</v>
      </c>
      <c r="P86" s="111"/>
      <c r="Q86" s="111"/>
      <c r="R86" s="112">
        <v>3089</v>
      </c>
      <c r="S86" s="112"/>
      <c r="T86" s="111">
        <v>7910</v>
      </c>
      <c r="U86" s="113"/>
      <c r="V86" s="113"/>
      <c r="W86" s="113"/>
      <c r="X86" s="113"/>
      <c r="Y86" s="113"/>
      <c r="Z86" s="113"/>
    </row>
    <row r="87" s="67" customFormat="1" spans="1:26">
      <c r="A87" s="85"/>
      <c r="B87" s="86"/>
      <c r="C87" s="3"/>
      <c r="D87" s="14"/>
      <c r="E87" s="137"/>
      <c r="F87" s="25"/>
      <c r="G87" s="27"/>
      <c r="H87" s="14">
        <v>5590</v>
      </c>
      <c r="I87" s="122">
        <v>2850</v>
      </c>
      <c r="J87" s="139">
        <v>3250</v>
      </c>
      <c r="K87" s="112"/>
      <c r="L87" s="140">
        <v>8170</v>
      </c>
      <c r="M87" s="111"/>
      <c r="N87" s="25">
        <v>7040</v>
      </c>
      <c r="O87" s="3">
        <v>8050</v>
      </c>
      <c r="P87" s="111"/>
      <c r="Q87" s="14"/>
      <c r="R87" s="112">
        <v>3460</v>
      </c>
      <c r="S87" s="112"/>
      <c r="T87" s="111">
        <v>9130</v>
      </c>
      <c r="U87" s="113"/>
      <c r="V87" s="113"/>
      <c r="W87" s="113"/>
      <c r="X87" s="113"/>
      <c r="Y87" s="113"/>
      <c r="Z87" s="113"/>
    </row>
    <row r="88" s="67" customFormat="1" spans="1:26">
      <c r="A88" s="85"/>
      <c r="B88" s="86"/>
      <c r="C88" s="3"/>
      <c r="D88" s="14"/>
      <c r="E88" s="137"/>
      <c r="F88" s="25"/>
      <c r="G88" s="136"/>
      <c r="H88" s="14">
        <v>3650</v>
      </c>
      <c r="I88" s="122">
        <v>2650</v>
      </c>
      <c r="J88" s="139">
        <v>3261</v>
      </c>
      <c r="K88" s="112"/>
      <c r="L88" s="140">
        <v>9100</v>
      </c>
      <c r="M88" s="111"/>
      <c r="N88" s="25">
        <v>-4240</v>
      </c>
      <c r="O88" s="3">
        <v>1605</v>
      </c>
      <c r="P88" s="112"/>
      <c r="Q88" s="14"/>
      <c r="R88" s="99">
        <v>81</v>
      </c>
      <c r="S88" s="112">
        <v>-4.5</v>
      </c>
      <c r="T88" s="112">
        <f>R88*S88</f>
        <v>-364.5</v>
      </c>
      <c r="U88" s="113"/>
      <c r="V88" s="113"/>
      <c r="W88" s="113"/>
      <c r="X88" s="113"/>
      <c r="Y88" s="113"/>
      <c r="Z88" s="113"/>
    </row>
    <row r="89" s="67" customFormat="1" spans="1:26">
      <c r="A89" s="85"/>
      <c r="B89" s="86"/>
      <c r="C89" s="3"/>
      <c r="D89" s="14"/>
      <c r="E89" s="137"/>
      <c r="F89" s="25"/>
      <c r="G89" s="136"/>
      <c r="H89" s="6">
        <v>-4220</v>
      </c>
      <c r="I89" s="134">
        <v>105</v>
      </c>
      <c r="J89" s="99">
        <v>194</v>
      </c>
      <c r="K89" s="112">
        <v>-4.5</v>
      </c>
      <c r="L89" s="112">
        <f>J89*K89</f>
        <v>-873</v>
      </c>
      <c r="M89" s="111"/>
      <c r="N89" s="25"/>
      <c r="O89" s="3">
        <v>3005</v>
      </c>
      <c r="P89" s="112"/>
      <c r="Q89" s="14"/>
      <c r="R89" s="112">
        <v>16</v>
      </c>
      <c r="S89" s="112">
        <v>-2.5</v>
      </c>
      <c r="T89" s="112">
        <f>R89*S89</f>
        <v>-40</v>
      </c>
      <c r="U89" s="113"/>
      <c r="V89" s="113"/>
      <c r="W89" s="113"/>
      <c r="X89" s="113"/>
      <c r="Y89" s="113"/>
      <c r="Z89" s="113"/>
    </row>
    <row r="90" s="67" customFormat="1" spans="1:26">
      <c r="A90" s="85"/>
      <c r="B90" s="86"/>
      <c r="C90" s="3"/>
      <c r="D90" s="14"/>
      <c r="E90" s="137"/>
      <c r="F90" s="25"/>
      <c r="G90" s="136"/>
      <c r="H90" s="14">
        <v>5980</v>
      </c>
      <c r="I90" s="134">
        <v>905</v>
      </c>
      <c r="J90" s="112">
        <v>35</v>
      </c>
      <c r="K90" s="112">
        <v>-2.5</v>
      </c>
      <c r="L90" s="112">
        <f>J90*K90</f>
        <v>-87.5</v>
      </c>
      <c r="M90" s="111"/>
      <c r="N90" s="25"/>
      <c r="O90" s="15">
        <v>1965</v>
      </c>
      <c r="P90" s="112"/>
      <c r="Q90" s="14"/>
      <c r="R90" s="112"/>
      <c r="S90" s="112"/>
      <c r="T90" s="112">
        <f>SUM(T83:T89)</f>
        <v>16635.5</v>
      </c>
      <c r="U90" s="113"/>
      <c r="V90" s="113"/>
      <c r="W90" s="113"/>
      <c r="X90" s="113"/>
      <c r="Y90" s="113"/>
      <c r="Z90" s="113"/>
    </row>
    <row r="91" s="67" customFormat="1" spans="1:26">
      <c r="A91" s="85"/>
      <c r="B91" s="86"/>
      <c r="C91" s="3"/>
      <c r="D91" s="14"/>
      <c r="E91" s="137"/>
      <c r="F91" s="14"/>
      <c r="G91" s="3"/>
      <c r="H91" s="14"/>
      <c r="I91" s="3"/>
      <c r="J91" s="112"/>
      <c r="K91" s="112"/>
      <c r="L91" s="112">
        <f>SUM(L84:L90)</f>
        <v>16309.5</v>
      </c>
      <c r="M91" s="111"/>
      <c r="N91" s="14"/>
      <c r="O91" s="14">
        <v>2926</v>
      </c>
      <c r="P91" s="112"/>
      <c r="Q91" s="14"/>
      <c r="R91" s="88"/>
      <c r="S91" s="112"/>
      <c r="T91" s="112"/>
      <c r="U91" s="113"/>
      <c r="V91" s="113"/>
      <c r="W91" s="113"/>
      <c r="X91" s="113"/>
      <c r="Y91" s="113"/>
      <c r="Z91" s="113"/>
    </row>
    <row r="92" s="67" customFormat="1" spans="1:26">
      <c r="A92" s="141"/>
      <c r="B92" s="142"/>
      <c r="C92" s="15"/>
      <c r="D92" s="93"/>
      <c r="E92" s="143"/>
      <c r="F92" s="93"/>
      <c r="G92" s="15"/>
      <c r="H92" s="93">
        <v>1000</v>
      </c>
      <c r="I92" s="15"/>
      <c r="J92" s="144"/>
      <c r="K92" s="144"/>
      <c r="M92" s="145"/>
      <c r="N92" s="93">
        <v>550</v>
      </c>
      <c r="O92" s="70">
        <v>-2130</v>
      </c>
      <c r="P92" s="93"/>
      <c r="Q92" s="93"/>
      <c r="R92" s="113"/>
      <c r="S92" s="113"/>
      <c r="T92" s="113"/>
      <c r="U92" s="113"/>
      <c r="V92" s="113"/>
      <c r="W92" s="113"/>
      <c r="X92" s="113"/>
      <c r="Y92" s="113"/>
      <c r="Z92" s="113"/>
    </row>
    <row r="93" s="70" customFormat="1" spans="1:26">
      <c r="A93" s="146"/>
      <c r="B93" s="147"/>
      <c r="D93" s="81"/>
      <c r="E93" s="14"/>
      <c r="F93" s="14"/>
      <c r="G93" s="14"/>
      <c r="H93" s="88">
        <f>SUM(H82:H92)</f>
        <v>29810</v>
      </c>
      <c r="I93" s="88">
        <f>SUM(I82:I92)</f>
        <v>34220</v>
      </c>
      <c r="J93" s="112"/>
      <c r="K93" s="112"/>
      <c r="L93" s="112"/>
      <c r="M93" s="111"/>
      <c r="N93" s="14">
        <f>SUM(N82:N92)</f>
        <v>21070</v>
      </c>
      <c r="O93" s="14">
        <f>SUM(O82:O92)</f>
        <v>38230</v>
      </c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="70" customFormat="1" spans="1:26">
      <c r="A94" s="146"/>
      <c r="B94" s="147"/>
      <c r="D94" s="88"/>
      <c r="E94" s="148"/>
      <c r="F94" s="14"/>
      <c r="G94" s="3"/>
      <c r="J94" s="112"/>
      <c r="K94" s="112"/>
      <c r="L94" s="112"/>
      <c r="M94" s="111"/>
      <c r="N94" s="88"/>
      <c r="O94" s="70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="70" customFormat="1" spans="1:26">
      <c r="A95" s="146"/>
      <c r="B95" s="147"/>
      <c r="D95" s="88"/>
      <c r="E95" s="148"/>
      <c r="F95" s="14"/>
      <c r="G95" s="3"/>
      <c r="J95" s="149"/>
      <c r="K95" s="112"/>
      <c r="L95" s="112"/>
      <c r="M95" s="111"/>
      <c r="N95" s="88"/>
      <c r="O95" s="70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="70" customFormat="1" spans="1:26">
      <c r="A96" s="146"/>
      <c r="B96" s="147"/>
      <c r="D96" s="88"/>
      <c r="E96" s="147"/>
      <c r="F96" s="88"/>
      <c r="G96" s="88"/>
      <c r="J96" s="149"/>
      <c r="K96" s="112"/>
      <c r="L96" s="150">
        <f>J96*K96</f>
        <v>0</v>
      </c>
      <c r="M96" s="112"/>
      <c r="N96" s="111"/>
      <c r="O96" s="70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="70" customFormat="1" spans="1:26">
      <c r="A97" s="146"/>
      <c r="B97" s="147"/>
      <c r="D97" s="88"/>
      <c r="E97" s="147"/>
      <c r="F97" s="88"/>
      <c r="J97" s="149">
        <v>2.48</v>
      </c>
      <c r="K97" s="112">
        <v>980</v>
      </c>
      <c r="L97" s="150">
        <f>J97*K97</f>
        <v>2430.4</v>
      </c>
      <c r="M97" s="112"/>
      <c r="N97" s="111"/>
      <c r="O97" s="70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="71" customFormat="1" ht="15" customHeight="1" spans="1:26">
      <c r="A98" s="151" t="s">
        <v>81</v>
      </c>
      <c r="B98" s="152" t="s">
        <v>82</v>
      </c>
      <c r="C98" s="152" t="s">
        <v>83</v>
      </c>
      <c r="D98" s="152" t="s">
        <v>84</v>
      </c>
      <c r="E98" s="153" t="s">
        <v>85</v>
      </c>
      <c r="F98" s="152" t="s">
        <v>86</v>
      </c>
      <c r="G98" s="152" t="s">
        <v>87</v>
      </c>
      <c r="H98" s="152"/>
      <c r="I98" s="152" t="s">
        <v>88</v>
      </c>
      <c r="J98" s="154">
        <v>2.53</v>
      </c>
      <c r="K98" s="154">
        <v>5905</v>
      </c>
      <c r="L98" s="150">
        <f t="shared" ref="L98:L113" si="14">J98*K98</f>
        <v>14939.65</v>
      </c>
      <c r="M98" s="152" t="s">
        <v>89</v>
      </c>
      <c r="N98" s="152" t="s">
        <v>90</v>
      </c>
      <c r="O98" s="155"/>
    </row>
    <row r="99" s="71" customFormat="1" ht="15" customHeight="1" spans="1:26">
      <c r="A99" s="151" t="s">
        <v>91</v>
      </c>
      <c r="B99" s="152" t="s">
        <v>82</v>
      </c>
      <c r="C99" s="152" t="s">
        <v>92</v>
      </c>
      <c r="D99" s="152" t="s">
        <v>84</v>
      </c>
      <c r="E99" s="153" t="s">
        <v>85</v>
      </c>
      <c r="F99" s="152" t="s">
        <v>86</v>
      </c>
      <c r="G99" s="152" t="s">
        <v>87</v>
      </c>
      <c r="H99" s="152"/>
      <c r="I99" s="152" t="s">
        <v>88</v>
      </c>
      <c r="J99" s="154">
        <v>2.53</v>
      </c>
      <c r="K99" s="154">
        <v>4970</v>
      </c>
      <c r="L99" s="150">
        <f t="shared" si="14"/>
        <v>12574.1</v>
      </c>
      <c r="M99" s="152" t="s">
        <v>89</v>
      </c>
      <c r="N99" s="152" t="s">
        <v>90</v>
      </c>
      <c r="O99" s="155"/>
    </row>
    <row r="100" s="71" customFormat="1" ht="15" customHeight="1" spans="1:26">
      <c r="A100" s="151" t="s">
        <v>93</v>
      </c>
      <c r="B100" s="152" t="s">
        <v>82</v>
      </c>
      <c r="C100" s="152" t="s">
        <v>94</v>
      </c>
      <c r="D100" s="152" t="s">
        <v>84</v>
      </c>
      <c r="E100" s="153" t="s">
        <v>85</v>
      </c>
      <c r="F100" s="152" t="s">
        <v>86</v>
      </c>
      <c r="G100" s="152" t="s">
        <v>87</v>
      </c>
      <c r="H100" s="152"/>
      <c r="I100" s="152" t="s">
        <v>88</v>
      </c>
      <c r="J100" s="154">
        <v>2.53</v>
      </c>
      <c r="K100" s="154">
        <v>3795</v>
      </c>
      <c r="L100" s="150">
        <f t="shared" si="14"/>
        <v>9601.35</v>
      </c>
      <c r="M100" s="152" t="s">
        <v>89</v>
      </c>
      <c r="N100" s="152" t="s">
        <v>90</v>
      </c>
      <c r="O100" s="155"/>
    </row>
    <row r="101" s="71" customFormat="1" ht="15" customHeight="1" spans="1:26">
      <c r="A101" s="151" t="s">
        <v>95</v>
      </c>
      <c r="B101" s="152" t="s">
        <v>82</v>
      </c>
      <c r="C101" s="152" t="s">
        <v>96</v>
      </c>
      <c r="D101" s="152" t="s">
        <v>84</v>
      </c>
      <c r="E101" s="153" t="s">
        <v>85</v>
      </c>
      <c r="F101" s="152" t="s">
        <v>86</v>
      </c>
      <c r="G101" s="152" t="s">
        <v>87</v>
      </c>
      <c r="H101" s="152"/>
      <c r="I101" s="152" t="s">
        <v>88</v>
      </c>
      <c r="J101" s="154">
        <v>2.53</v>
      </c>
      <c r="K101" s="154">
        <v>5980</v>
      </c>
      <c r="L101" s="150">
        <f t="shared" si="14"/>
        <v>15129.4</v>
      </c>
      <c r="M101" s="152" t="s">
        <v>89</v>
      </c>
      <c r="N101" s="152" t="s">
        <v>90</v>
      </c>
      <c r="O101" s="155"/>
    </row>
    <row r="102" s="71" customFormat="1" ht="15" customHeight="1" spans="1:26">
      <c r="A102" s="151" t="s">
        <v>97</v>
      </c>
      <c r="B102" s="152" t="s">
        <v>82</v>
      </c>
      <c r="C102" s="152" t="s">
        <v>98</v>
      </c>
      <c r="D102" s="152" t="s">
        <v>84</v>
      </c>
      <c r="E102" s="153" t="s">
        <v>85</v>
      </c>
      <c r="F102" s="152" t="s">
        <v>86</v>
      </c>
      <c r="G102" s="152" t="s">
        <v>87</v>
      </c>
      <c r="H102" s="152"/>
      <c r="I102" s="152" t="s">
        <v>88</v>
      </c>
      <c r="J102" s="154">
        <v>2.58</v>
      </c>
      <c r="K102" s="154">
        <v>2180</v>
      </c>
      <c r="L102" s="150">
        <f t="shared" si="14"/>
        <v>5624.4</v>
      </c>
      <c r="M102" s="152" t="s">
        <v>89</v>
      </c>
      <c r="N102" s="152" t="s">
        <v>90</v>
      </c>
      <c r="O102" s="155"/>
    </row>
    <row r="103" s="71" customFormat="1" ht="15" customHeight="1" spans="1:26">
      <c r="A103" s="151" t="s">
        <v>97</v>
      </c>
      <c r="B103" s="152" t="s">
        <v>82</v>
      </c>
      <c r="C103" s="152" t="s">
        <v>99</v>
      </c>
      <c r="D103" s="152" t="s">
        <v>100</v>
      </c>
      <c r="E103" s="153" t="s">
        <v>85</v>
      </c>
      <c r="F103" s="152" t="s">
        <v>101</v>
      </c>
      <c r="G103" s="152" t="s">
        <v>102</v>
      </c>
      <c r="H103" s="152"/>
      <c r="I103" s="152" t="s">
        <v>88</v>
      </c>
      <c r="J103" s="154">
        <v>2.295</v>
      </c>
      <c r="K103" s="154">
        <v>5590</v>
      </c>
      <c r="L103" s="150">
        <f t="shared" si="14"/>
        <v>12829.05</v>
      </c>
      <c r="M103" s="152" t="s">
        <v>89</v>
      </c>
      <c r="N103" s="152" t="s">
        <v>90</v>
      </c>
      <c r="O103" s="155"/>
    </row>
    <row r="104" s="71" customFormat="1" ht="15" customHeight="1" spans="1:26">
      <c r="A104" s="151" t="s">
        <v>103</v>
      </c>
      <c r="B104" s="152" t="s">
        <v>82</v>
      </c>
      <c r="C104" s="152" t="s">
        <v>104</v>
      </c>
      <c r="D104" s="152" t="s">
        <v>100</v>
      </c>
      <c r="E104" s="153" t="s">
        <v>85</v>
      </c>
      <c r="F104" s="152" t="s">
        <v>101</v>
      </c>
      <c r="G104" s="152" t="s">
        <v>102</v>
      </c>
      <c r="H104" s="152"/>
      <c r="I104" s="152" t="s">
        <v>88</v>
      </c>
      <c r="J104" s="154">
        <v>2.3169</v>
      </c>
      <c r="K104" s="154">
        <v>3650</v>
      </c>
      <c r="L104" s="150">
        <f t="shared" si="14"/>
        <v>8456.685</v>
      </c>
      <c r="M104" s="152" t="s">
        <v>89</v>
      </c>
      <c r="N104" s="152" t="s">
        <v>90</v>
      </c>
      <c r="O104" s="155"/>
    </row>
    <row r="105" s="71" customFormat="1" ht="15" customHeight="1" spans="1:26">
      <c r="A105" s="151" t="s">
        <v>105</v>
      </c>
      <c r="B105" s="152" t="s">
        <v>82</v>
      </c>
      <c r="C105" s="152" t="s">
        <v>106</v>
      </c>
      <c r="D105" s="152" t="s">
        <v>100</v>
      </c>
      <c r="E105" s="153" t="s">
        <v>85</v>
      </c>
      <c r="F105" s="152" t="s">
        <v>101</v>
      </c>
      <c r="G105" s="152" t="s">
        <v>102</v>
      </c>
      <c r="H105" s="152"/>
      <c r="I105" s="152" t="s">
        <v>88</v>
      </c>
      <c r="J105" s="154">
        <v>2.295</v>
      </c>
      <c r="K105" s="154">
        <v>3375</v>
      </c>
      <c r="L105" s="150">
        <f t="shared" si="14"/>
        <v>7745.625</v>
      </c>
      <c r="M105" s="152" t="s">
        <v>89</v>
      </c>
      <c r="N105" s="152" t="s">
        <v>90</v>
      </c>
      <c r="O105" s="155"/>
      <c r="P105" s="156"/>
    </row>
    <row r="106" s="71" customFormat="1" ht="15" customHeight="1" spans="1:26">
      <c r="A106" s="157">
        <v>45989</v>
      </c>
      <c r="B106" s="158"/>
      <c r="C106" s="158"/>
      <c r="D106" s="158"/>
      <c r="E106" s="159"/>
      <c r="F106" s="158"/>
      <c r="G106" s="158"/>
      <c r="H106" s="158"/>
      <c r="I106" s="158"/>
      <c r="J106" s="154">
        <v>2.295</v>
      </c>
      <c r="K106" s="160">
        <v>7090</v>
      </c>
      <c r="L106" s="150">
        <f t="shared" si="14"/>
        <v>16271.55</v>
      </c>
      <c r="M106" s="158"/>
      <c r="N106" s="158"/>
      <c r="O106" s="161"/>
      <c r="P106" s="162"/>
    </row>
    <row r="107" s="71" customFormat="1" ht="15" customHeight="1" spans="1:26">
      <c r="A107" s="163" t="s">
        <v>107</v>
      </c>
      <c r="B107" s="164" t="s">
        <v>82</v>
      </c>
      <c r="C107" s="164" t="s">
        <v>108</v>
      </c>
      <c r="D107" s="164" t="s">
        <v>109</v>
      </c>
      <c r="E107" s="164" t="s">
        <v>85</v>
      </c>
      <c r="F107" s="164" t="s">
        <v>110</v>
      </c>
      <c r="G107" s="164" t="s">
        <v>111</v>
      </c>
      <c r="H107" s="164"/>
      <c r="I107" s="164" t="s">
        <v>88</v>
      </c>
      <c r="J107" s="164">
        <v>2.16</v>
      </c>
      <c r="K107" s="156">
        <v>5400</v>
      </c>
      <c r="L107" s="150">
        <f t="shared" si="14"/>
        <v>11664</v>
      </c>
      <c r="M107" s="165">
        <v>0</v>
      </c>
      <c r="N107" s="165">
        <v>0</v>
      </c>
      <c r="O107" s="166"/>
    </row>
    <row r="108" s="71" customFormat="1" ht="15" customHeight="1" spans="1:26">
      <c r="A108" s="167"/>
      <c r="B108" s="168"/>
      <c r="C108" s="168"/>
      <c r="D108" s="168" t="s">
        <v>109</v>
      </c>
      <c r="E108" s="168" t="s">
        <v>85</v>
      </c>
      <c r="F108" s="168" t="s">
        <v>110</v>
      </c>
      <c r="G108" s="168" t="s">
        <v>111</v>
      </c>
      <c r="H108" s="168"/>
      <c r="I108" s="168" t="s">
        <v>88</v>
      </c>
      <c r="J108" s="164">
        <v>2.16</v>
      </c>
      <c r="K108" s="169">
        <v>7500</v>
      </c>
      <c r="L108" s="150">
        <f t="shared" si="14"/>
        <v>16200</v>
      </c>
      <c r="M108" s="170">
        <v>0</v>
      </c>
      <c r="N108" s="170">
        <v>0</v>
      </c>
      <c r="O108" s="171"/>
    </row>
    <row r="109" s="71" customFormat="1" ht="15" customHeight="1" spans="1:26">
      <c r="A109" s="167"/>
      <c r="B109" s="168"/>
      <c r="C109" s="168"/>
      <c r="D109" s="168" t="s">
        <v>109</v>
      </c>
      <c r="E109" s="168" t="s">
        <v>85</v>
      </c>
      <c r="F109" s="168" t="s">
        <v>110</v>
      </c>
      <c r="G109" s="168" t="s">
        <v>111</v>
      </c>
      <c r="H109" s="168"/>
      <c r="I109" s="168" t="s">
        <v>88</v>
      </c>
      <c r="J109" s="164">
        <v>2.16</v>
      </c>
      <c r="K109" s="169">
        <v>2850</v>
      </c>
      <c r="L109" s="150">
        <f t="shared" si="14"/>
        <v>6156</v>
      </c>
      <c r="M109" s="170">
        <v>0</v>
      </c>
      <c r="N109" s="170">
        <v>0</v>
      </c>
      <c r="O109" s="171"/>
    </row>
    <row r="110" s="71" customFormat="1" ht="15" customHeight="1" spans="1:26">
      <c r="A110" s="167"/>
      <c r="B110" s="168"/>
      <c r="C110" s="168"/>
      <c r="D110" s="168" t="s">
        <v>109</v>
      </c>
      <c r="E110" s="168" t="s">
        <v>85</v>
      </c>
      <c r="F110" s="168" t="s">
        <v>110</v>
      </c>
      <c r="G110" s="168" t="s">
        <v>111</v>
      </c>
      <c r="H110" s="168"/>
      <c r="I110" s="168" t="s">
        <v>88</v>
      </c>
      <c r="J110" s="164">
        <v>2.16</v>
      </c>
      <c r="K110" s="169">
        <v>2650</v>
      </c>
      <c r="L110" s="150">
        <f t="shared" si="14"/>
        <v>5724</v>
      </c>
      <c r="M110" s="170">
        <v>0</v>
      </c>
      <c r="N110" s="170">
        <v>0</v>
      </c>
      <c r="O110" s="171"/>
    </row>
    <row r="111" s="71" customFormat="1" ht="15" customHeight="1" spans="1:26">
      <c r="A111" s="167"/>
      <c r="B111" s="168"/>
      <c r="C111" s="168"/>
      <c r="D111" s="168" t="s">
        <v>109</v>
      </c>
      <c r="E111" s="168" t="s">
        <v>85</v>
      </c>
      <c r="F111" s="168" t="s">
        <v>110</v>
      </c>
      <c r="G111" s="168" t="s">
        <v>111</v>
      </c>
      <c r="H111" s="168"/>
      <c r="I111" s="168" t="s">
        <v>88</v>
      </c>
      <c r="J111" s="164">
        <v>2.16</v>
      </c>
      <c r="K111" s="169">
        <v>905</v>
      </c>
      <c r="L111" s="150">
        <f t="shared" si="14"/>
        <v>1954.8</v>
      </c>
      <c r="M111" s="170">
        <v>0</v>
      </c>
      <c r="N111" s="170">
        <v>0</v>
      </c>
      <c r="O111" s="171"/>
    </row>
    <row r="112" s="72" customFormat="1" ht="15" customHeight="1" spans="1:26">
      <c r="A112" s="172"/>
      <c r="B112" s="172"/>
      <c r="C112" s="172"/>
      <c r="D112" s="172"/>
      <c r="E112" s="172"/>
      <c r="F112" s="172"/>
      <c r="G112" s="172"/>
      <c r="H112" s="172"/>
      <c r="I112" s="172"/>
      <c r="J112" s="3">
        <v>2.16</v>
      </c>
      <c r="K112" s="173">
        <v>105</v>
      </c>
      <c r="L112" s="150">
        <f t="shared" si="14"/>
        <v>226.8</v>
      </c>
      <c r="M112" s="174"/>
      <c r="N112" s="174"/>
      <c r="O112" s="172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customHeight="1" spans="1:15">
      <c r="J113" s="2">
        <v>4</v>
      </c>
      <c r="K113" s="99">
        <v>1000</v>
      </c>
      <c r="L113" s="150">
        <f t="shared" si="14"/>
        <v>4000</v>
      </c>
    </row>
    <row r="114" spans="1:15">
      <c r="J114" s="2"/>
      <c r="K114" s="4">
        <f>SUM(K95:K113)</f>
        <v>63925</v>
      </c>
      <c r="L114" s="4">
        <f>SUM(L95:L113)</f>
        <v>151527.81</v>
      </c>
    </row>
    <row r="116" ht="15" customHeight="1" spans="1:15">
      <c r="J116" s="175">
        <v>2.245</v>
      </c>
      <c r="K116" s="90">
        <v>4695</v>
      </c>
      <c r="L116" s="112">
        <f>J116*K116</f>
        <v>10540.275</v>
      </c>
    </row>
    <row r="117" s="71" customFormat="1" ht="15" customHeight="1" spans="1:15">
      <c r="A117" s="151" t="s">
        <v>91</v>
      </c>
      <c r="B117" s="152" t="s">
        <v>82</v>
      </c>
      <c r="C117" s="152" t="s">
        <v>92</v>
      </c>
      <c r="D117" s="152" t="s">
        <v>84</v>
      </c>
      <c r="E117" s="153" t="s">
        <v>112</v>
      </c>
      <c r="F117" s="152" t="s">
        <v>86</v>
      </c>
      <c r="G117" s="152" t="s">
        <v>87</v>
      </c>
      <c r="H117" s="152"/>
      <c r="I117" s="152" t="s">
        <v>88</v>
      </c>
      <c r="J117" s="176">
        <v>2.53</v>
      </c>
      <c r="K117" s="176">
        <v>4010</v>
      </c>
      <c r="L117" s="112">
        <f t="shared" ref="L117:L131" si="15">J117*K117</f>
        <v>10145.3</v>
      </c>
      <c r="M117" s="152" t="s">
        <v>89</v>
      </c>
      <c r="N117" s="152" t="s">
        <v>90</v>
      </c>
      <c r="O117" s="155"/>
    </row>
    <row r="118" s="71" customFormat="1" ht="15" customHeight="1" spans="1:15">
      <c r="A118" s="151" t="s">
        <v>113</v>
      </c>
      <c r="B118" s="152" t="s">
        <v>82</v>
      </c>
      <c r="C118" s="152" t="s">
        <v>114</v>
      </c>
      <c r="D118" s="152" t="s">
        <v>84</v>
      </c>
      <c r="E118" s="153" t="s">
        <v>112</v>
      </c>
      <c r="F118" s="152" t="s">
        <v>86</v>
      </c>
      <c r="G118" s="152" t="s">
        <v>87</v>
      </c>
      <c r="H118" s="152"/>
      <c r="I118" s="152" t="s">
        <v>88</v>
      </c>
      <c r="J118" s="176">
        <v>2.48</v>
      </c>
      <c r="K118" s="176">
        <v>5005</v>
      </c>
      <c r="L118" s="112">
        <f t="shared" si="15"/>
        <v>12412.4</v>
      </c>
      <c r="M118" s="152" t="s">
        <v>89</v>
      </c>
      <c r="N118" s="152" t="s">
        <v>90</v>
      </c>
      <c r="O118" s="155"/>
    </row>
    <row r="119" s="71" customFormat="1" ht="15" customHeight="1" spans="1:15">
      <c r="A119" s="151" t="s">
        <v>115</v>
      </c>
      <c r="B119" s="152" t="s">
        <v>82</v>
      </c>
      <c r="C119" s="152" t="s">
        <v>116</v>
      </c>
      <c r="D119" s="152" t="s">
        <v>84</v>
      </c>
      <c r="E119" s="153" t="s">
        <v>112</v>
      </c>
      <c r="F119" s="152" t="s">
        <v>86</v>
      </c>
      <c r="G119" s="152" t="s">
        <v>87</v>
      </c>
      <c r="H119" s="152"/>
      <c r="I119" s="152" t="s">
        <v>88</v>
      </c>
      <c r="J119" s="176">
        <v>2.53</v>
      </c>
      <c r="K119" s="176">
        <v>4005</v>
      </c>
      <c r="L119" s="112">
        <f t="shared" si="15"/>
        <v>10132.65</v>
      </c>
      <c r="M119" s="152" t="s">
        <v>89</v>
      </c>
      <c r="N119" s="152" t="s">
        <v>90</v>
      </c>
      <c r="O119" s="155"/>
    </row>
    <row r="120" s="71" customFormat="1" ht="15" customHeight="1" spans="1:15">
      <c r="A120" s="151" t="s">
        <v>103</v>
      </c>
      <c r="B120" s="152" t="s">
        <v>82</v>
      </c>
      <c r="C120" s="152" t="s">
        <v>104</v>
      </c>
      <c r="D120" s="152" t="s">
        <v>100</v>
      </c>
      <c r="E120" s="153" t="s">
        <v>112</v>
      </c>
      <c r="F120" s="152" t="s">
        <v>101</v>
      </c>
      <c r="G120" s="152" t="s">
        <v>102</v>
      </c>
      <c r="H120" s="152"/>
      <c r="I120" s="152" t="s">
        <v>88</v>
      </c>
      <c r="J120" s="176">
        <v>2.3169</v>
      </c>
      <c r="K120" s="176">
        <v>7030</v>
      </c>
      <c r="L120" s="112">
        <f t="shared" si="15"/>
        <v>16287.807</v>
      </c>
      <c r="M120" s="152" t="s">
        <v>89</v>
      </c>
      <c r="N120" s="152" t="s">
        <v>90</v>
      </c>
      <c r="O120" s="155"/>
    </row>
    <row r="121" s="71" customFormat="1" ht="15" customHeight="1" spans="1:15">
      <c r="A121" s="151" t="s">
        <v>117</v>
      </c>
      <c r="B121" s="152" t="s">
        <v>82</v>
      </c>
      <c r="C121" s="152" t="s">
        <v>118</v>
      </c>
      <c r="D121" s="152" t="s">
        <v>100</v>
      </c>
      <c r="E121" s="153" t="s">
        <v>112</v>
      </c>
      <c r="F121" s="152" t="s">
        <v>101</v>
      </c>
      <c r="G121" s="152" t="s">
        <v>102</v>
      </c>
      <c r="H121" s="152"/>
      <c r="I121" s="152" t="s">
        <v>88</v>
      </c>
      <c r="J121" s="176">
        <v>2.295</v>
      </c>
      <c r="K121" s="176">
        <v>4910</v>
      </c>
      <c r="L121" s="112">
        <f t="shared" si="15"/>
        <v>11268.45</v>
      </c>
      <c r="M121" s="152" t="s">
        <v>89</v>
      </c>
      <c r="N121" s="152" t="s">
        <v>90</v>
      </c>
      <c r="O121" s="155"/>
    </row>
    <row r="122" s="71" customFormat="1" ht="15" customHeight="1" spans="1:15">
      <c r="A122" s="151" t="s">
        <v>119</v>
      </c>
      <c r="B122" s="152" t="s">
        <v>82</v>
      </c>
      <c r="C122" s="152" t="s">
        <v>120</v>
      </c>
      <c r="D122" s="152" t="s">
        <v>100</v>
      </c>
      <c r="E122" s="153" t="s">
        <v>112</v>
      </c>
      <c r="F122" s="152" t="s">
        <v>101</v>
      </c>
      <c r="G122" s="152" t="s">
        <v>102</v>
      </c>
      <c r="H122" s="152"/>
      <c r="I122" s="152" t="s">
        <v>88</v>
      </c>
      <c r="J122" s="176">
        <v>2.295</v>
      </c>
      <c r="K122" s="176">
        <v>8510</v>
      </c>
      <c r="L122" s="112">
        <f t="shared" si="15"/>
        <v>19530.45</v>
      </c>
      <c r="M122" s="152" t="s">
        <v>89</v>
      </c>
      <c r="N122" s="152" t="s">
        <v>90</v>
      </c>
      <c r="O122" s="155"/>
    </row>
    <row r="123" s="71" customFormat="1" ht="15" customHeight="1" spans="1:15">
      <c r="A123" s="177" t="s">
        <v>121</v>
      </c>
      <c r="B123" s="177" t="s">
        <v>82</v>
      </c>
      <c r="C123" s="177" t="s">
        <v>122</v>
      </c>
      <c r="D123" s="177" t="s">
        <v>100</v>
      </c>
      <c r="E123" s="178" t="s">
        <v>112</v>
      </c>
      <c r="F123" s="177" t="s">
        <v>101</v>
      </c>
      <c r="G123" s="177" t="s">
        <v>102</v>
      </c>
      <c r="H123" s="177"/>
      <c r="I123" s="177" t="s">
        <v>88</v>
      </c>
      <c r="J123" s="179">
        <v>2.295</v>
      </c>
      <c r="K123" s="179">
        <v>3010</v>
      </c>
      <c r="L123" s="112">
        <f t="shared" si="15"/>
        <v>6907.95</v>
      </c>
      <c r="M123" s="152" t="s">
        <v>89</v>
      </c>
      <c r="N123" s="152" t="s">
        <v>90</v>
      </c>
      <c r="O123" s="155"/>
    </row>
    <row r="124" s="71" customFormat="1" ht="15" customHeight="1" spans="1:15">
      <c r="A124" s="166" t="s">
        <v>123</v>
      </c>
      <c r="B124" s="166" t="s">
        <v>82</v>
      </c>
      <c r="C124" s="166" t="s">
        <v>124</v>
      </c>
      <c r="D124" s="166" t="s">
        <v>84</v>
      </c>
      <c r="E124" s="180" t="s">
        <v>112</v>
      </c>
      <c r="F124" s="166" t="s">
        <v>86</v>
      </c>
      <c r="G124" s="166" t="s">
        <v>87</v>
      </c>
      <c r="H124" s="166"/>
      <c r="I124" s="166" t="s">
        <v>88</v>
      </c>
      <c r="J124" s="181">
        <v>2.53</v>
      </c>
      <c r="K124" s="181">
        <v>2900</v>
      </c>
      <c r="L124" s="112">
        <f t="shared" si="15"/>
        <v>7337</v>
      </c>
      <c r="M124" s="152" t="s">
        <v>89</v>
      </c>
      <c r="N124" s="152" t="s">
        <v>90</v>
      </c>
      <c r="O124" s="155"/>
    </row>
    <row r="125" s="73" customFormat="1" ht="15" customHeight="1" spans="1:15">
      <c r="A125" s="182"/>
      <c r="B125" s="182"/>
      <c r="C125" s="182"/>
      <c r="D125" s="182"/>
      <c r="E125" s="183"/>
      <c r="F125" s="182"/>
      <c r="G125" s="182"/>
      <c r="H125" s="182"/>
      <c r="I125" s="182"/>
      <c r="J125" s="184">
        <v>2.16</v>
      </c>
      <c r="K125" s="185">
        <v>2120</v>
      </c>
      <c r="L125" s="112">
        <f t="shared" si="15"/>
        <v>4579.2</v>
      </c>
      <c r="M125" s="182"/>
      <c r="N125" s="182"/>
      <c r="O125" s="182"/>
    </row>
    <row r="126" s="73" customFormat="1" ht="15" customHeight="1" spans="1:15">
      <c r="A126" s="182"/>
      <c r="B126" s="182"/>
      <c r="C126" s="182"/>
      <c r="D126" s="182"/>
      <c r="E126" s="183"/>
      <c r="F126" s="182"/>
      <c r="G126" s="182"/>
      <c r="H126" s="182"/>
      <c r="I126" s="182"/>
      <c r="J126" s="184">
        <v>2.16</v>
      </c>
      <c r="K126" s="185">
        <v>8050</v>
      </c>
      <c r="L126" s="112">
        <f t="shared" si="15"/>
        <v>17388</v>
      </c>
      <c r="M126" s="182"/>
      <c r="N126" s="182"/>
      <c r="O126" s="182"/>
    </row>
    <row r="127" s="73" customFormat="1" ht="15" customHeight="1" spans="1:15">
      <c r="A127" s="182"/>
      <c r="B127" s="182"/>
      <c r="C127" s="182"/>
      <c r="D127" s="182"/>
      <c r="E127" s="183"/>
      <c r="F127" s="182"/>
      <c r="G127" s="182"/>
      <c r="H127" s="182"/>
      <c r="I127" s="182"/>
      <c r="J127" s="184">
        <v>2.16</v>
      </c>
      <c r="K127" s="185">
        <v>1590</v>
      </c>
      <c r="L127" s="112">
        <f t="shared" si="15"/>
        <v>3434.4</v>
      </c>
      <c r="M127" s="182"/>
      <c r="N127" s="182"/>
      <c r="O127" s="182"/>
    </row>
    <row r="128" s="73" customFormat="1" ht="15" customHeight="1" spans="1:15">
      <c r="A128" s="182"/>
      <c r="B128" s="182"/>
      <c r="C128" s="182"/>
      <c r="D128" s="182"/>
      <c r="E128" s="183"/>
      <c r="F128" s="182"/>
      <c r="G128" s="182"/>
      <c r="H128" s="182"/>
      <c r="I128" s="182"/>
      <c r="J128" s="184">
        <v>2.16</v>
      </c>
      <c r="K128" s="185">
        <v>3005</v>
      </c>
      <c r="L128" s="112">
        <f t="shared" si="15"/>
        <v>6490.8</v>
      </c>
      <c r="M128" s="182"/>
      <c r="N128" s="182"/>
      <c r="O128" s="182"/>
    </row>
    <row r="129" s="73" customFormat="1" ht="15" customHeight="1" spans="1:26">
      <c r="A129" s="182"/>
      <c r="B129" s="182"/>
      <c r="C129" s="182"/>
      <c r="D129" s="182"/>
      <c r="E129" s="183"/>
      <c r="F129" s="182"/>
      <c r="G129" s="182"/>
      <c r="H129" s="182"/>
      <c r="I129" s="182"/>
      <c r="J129" s="184">
        <v>2.16</v>
      </c>
      <c r="K129" s="185">
        <v>1965</v>
      </c>
      <c r="L129" s="112">
        <f t="shared" si="15"/>
        <v>4244.4</v>
      </c>
      <c r="M129" s="182"/>
      <c r="N129" s="182"/>
      <c r="O129" s="182"/>
    </row>
    <row r="130" customFormat="1" customHeight="1" spans="1:26">
      <c r="A130" s="74"/>
      <c r="B130" s="75"/>
      <c r="D130" s="76"/>
      <c r="E130" s="75"/>
      <c r="F130" s="76"/>
      <c r="J130" s="184">
        <v>2.16</v>
      </c>
      <c r="K130" s="186">
        <v>-2130</v>
      </c>
      <c r="L130" s="112">
        <f t="shared" si="15"/>
        <v>-4600.8</v>
      </c>
      <c r="N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customFormat="1" customHeight="1" spans="1:26">
      <c r="A131" s="74"/>
      <c r="B131" s="75"/>
      <c r="D131" s="76"/>
      <c r="E131" s="75"/>
      <c r="F131" s="76"/>
      <c r="J131" s="3">
        <v>4</v>
      </c>
      <c r="K131" s="90">
        <v>550</v>
      </c>
      <c r="L131" s="112">
        <f t="shared" si="15"/>
        <v>2200</v>
      </c>
      <c r="N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customFormat="1" spans="1:26">
      <c r="A132" s="74"/>
      <c r="B132" s="75"/>
      <c r="D132" s="76"/>
      <c r="E132" s="75"/>
      <c r="F132" s="76"/>
      <c r="J132" s="3"/>
      <c r="K132" s="106">
        <f>SUM(K116:K131)</f>
        <v>59225</v>
      </c>
      <c r="L132" s="106">
        <f>SUM(L116:L131)</f>
        <v>138298.282</v>
      </c>
      <c r="N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59" spans="9:10">
      <c r="I159">
        <v>2410</v>
      </c>
      <c r="J159" s="77">
        <v>6260</v>
      </c>
    </row>
    <row r="160" spans="9:10">
      <c r="I160">
        <v>2261</v>
      </c>
      <c r="J160" s="77">
        <v>6340</v>
      </c>
    </row>
    <row r="161" spans="8:10">
      <c r="H161">
        <v>-2.5</v>
      </c>
      <c r="I161">
        <v>75</v>
      </c>
      <c r="J161" s="77">
        <f>H161*I161</f>
        <v>-187.5</v>
      </c>
    </row>
    <row r="162" spans="8:10">
      <c r="H162">
        <v>-4.5</v>
      </c>
      <c r="I162">
        <v>124</v>
      </c>
      <c r="J162" s="77">
        <f>H162*I162</f>
        <v>-558</v>
      </c>
    </row>
    <row r="163" spans="8:10">
      <c r="J163" s="77">
        <f>SUM(J159:J162)</f>
        <v>11854.5</v>
      </c>
    </row>
  </sheetData>
  <mergeCells count="3">
    <mergeCell ref="D93:E93"/>
    <mergeCell ref="J4:J5"/>
    <mergeCell ref="K4:K5"/>
  </mergeCells>
  <pageMargins left="0.75" right="0.75" top="1" bottom="1" header="0.5" footer="0.5"/>
  <headerFooter/>
  <ignoredErrors>
    <ignoredError sqref="A70:A7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O67"/>
  <sheetViews>
    <sheetView workbookViewId="0">
      <pane ySplit="1" topLeftCell="A47" activePane="bottomLeft" state="frozen"/>
      <selection/>
      <selection pane="bottomLeft" activeCell="C66" sqref="C66:C67"/>
    </sheetView>
  </sheetViews>
  <sheetFormatPr defaultColWidth="8.66666666666667" defaultRowHeight="14"/>
  <cols>
    <col min="1" max="1" width="11.4166666666667" style="4" customWidth="1"/>
    <col min="2" max="2" width="11.5" style="48" customWidth="1"/>
    <col min="3" max="3" width="16.25" style="4" customWidth="1"/>
    <col min="4" max="4" width="18.9166666666667" style="4" customWidth="1"/>
    <col min="5" max="5" width="9.91666666666667" style="4" customWidth="1"/>
    <col min="6" max="6" width="12.3333333333333" style="4" customWidth="1"/>
    <col min="7" max="7" width="14.3333333333333" style="4" customWidth="1"/>
    <col min="8" max="8" width="9.91666666666667" style="4" customWidth="1"/>
    <col min="9" max="9" width="9.66666666666667" style="4" customWidth="1"/>
    <col min="10" max="10" width="8.25" style="4" customWidth="1"/>
    <col min="11" max="11" width="55.6666666666667" style="4" customWidth="1"/>
    <col min="12" max="12" width="14.8333333333333" style="4" customWidth="1"/>
    <col min="13" max="13" width="8.91666666666667" style="4"/>
    <col min="14" max="16384" width="8.66666666666667" style="4"/>
  </cols>
  <sheetData>
    <row r="1" s="1" customFormat="1" spans="1:15">
      <c r="A1" s="10" t="s">
        <v>0</v>
      </c>
      <c r="B1" s="49" t="s">
        <v>59</v>
      </c>
      <c r="C1" s="10" t="s">
        <v>125</v>
      </c>
      <c r="D1" s="10" t="s">
        <v>126</v>
      </c>
      <c r="E1" s="10" t="s">
        <v>127</v>
      </c>
      <c r="F1" s="10" t="s">
        <v>128</v>
      </c>
      <c r="G1" s="10" t="s">
        <v>129</v>
      </c>
      <c r="H1" s="10" t="s">
        <v>7</v>
      </c>
      <c r="I1" s="10" t="s">
        <v>130</v>
      </c>
      <c r="J1" s="10" t="s">
        <v>29</v>
      </c>
      <c r="K1" s="10" t="s">
        <v>73</v>
      </c>
      <c r="L1" s="50"/>
      <c r="M1" s="50" t="s">
        <v>131</v>
      </c>
      <c r="N1" s="10" t="s">
        <v>132</v>
      </c>
      <c r="O1" s="10" t="s">
        <v>133</v>
      </c>
    </row>
    <row r="2" s="1" customFormat="1" spans="1:15">
      <c r="A2" s="40" t="s">
        <v>134</v>
      </c>
      <c r="B2" s="51" t="s">
        <v>135</v>
      </c>
      <c r="C2" s="40">
        <v>13243</v>
      </c>
      <c r="D2" s="40">
        <v>44575</v>
      </c>
      <c r="E2" s="40">
        <v>3.36592917012761</v>
      </c>
      <c r="F2" s="40">
        <v>109388.71</v>
      </c>
      <c r="G2" s="40">
        <v>8.26011553273428</v>
      </c>
      <c r="H2" s="6"/>
      <c r="I2" s="6"/>
      <c r="J2" s="6"/>
      <c r="K2" s="6"/>
      <c r="L2" s="52"/>
      <c r="M2" s="52">
        <v>0.94419176398279</v>
      </c>
      <c r="N2" s="6">
        <v>0.868376513474808</v>
      </c>
      <c r="O2" s="6">
        <v>3.59</v>
      </c>
    </row>
    <row r="3" s="1" customFormat="1" spans="1:15">
      <c r="A3" s="6" t="s">
        <v>136</v>
      </c>
      <c r="B3" s="7" t="s">
        <v>137</v>
      </c>
      <c r="C3" s="6">
        <v>14351</v>
      </c>
      <c r="D3" s="6">
        <v>50545</v>
      </c>
      <c r="E3" s="6">
        <v>3.52205421225002</v>
      </c>
      <c r="F3" s="6">
        <v>118960.3</v>
      </c>
      <c r="G3" s="6">
        <v>8.28933872204028</v>
      </c>
      <c r="H3" s="6"/>
      <c r="I3" s="6"/>
      <c r="J3" s="6"/>
      <c r="K3" s="6"/>
      <c r="L3" s="52"/>
      <c r="M3" s="52">
        <v>0.923029556650246</v>
      </c>
      <c r="N3" s="6">
        <v>0.9153</v>
      </c>
      <c r="O3" s="6">
        <v>3.39</v>
      </c>
    </row>
    <row r="4" s="1" customFormat="1" spans="1:15">
      <c r="A4" s="6" t="s">
        <v>138</v>
      </c>
      <c r="B4" s="7" t="s">
        <v>139</v>
      </c>
      <c r="C4" s="6">
        <v>13489</v>
      </c>
      <c r="D4" s="6">
        <v>45751</v>
      </c>
      <c r="E4" s="6">
        <v>3.39172659203796</v>
      </c>
      <c r="F4" s="6">
        <v>112738.273</v>
      </c>
      <c r="G4" s="6">
        <v>8.35779323893543</v>
      </c>
      <c r="H4" s="6"/>
      <c r="I4" s="6"/>
      <c r="J4" s="6"/>
      <c r="K4" s="6"/>
      <c r="L4" s="52"/>
      <c r="M4" s="52">
        <v>0.949</v>
      </c>
      <c r="N4" s="6">
        <v>0.8925</v>
      </c>
      <c r="O4" s="6">
        <v>3.5</v>
      </c>
    </row>
    <row r="5" s="1" customFormat="1" spans="1:15">
      <c r="A5" s="40" t="s">
        <v>140</v>
      </c>
      <c r="B5" s="51" t="s">
        <v>141</v>
      </c>
      <c r="C5" s="40">
        <v>11172.7</v>
      </c>
      <c r="D5" s="40">
        <v>35465</v>
      </c>
      <c r="E5" s="40">
        <v>3.17425510395876</v>
      </c>
      <c r="F5" s="40">
        <v>89525.18</v>
      </c>
      <c r="G5" s="40">
        <v>8.01285096708942</v>
      </c>
      <c r="H5" s="6"/>
      <c r="I5" s="6"/>
      <c r="J5" s="6"/>
      <c r="K5" s="6"/>
      <c r="L5" s="52"/>
      <c r="M5" s="52">
        <v>0.9398</v>
      </c>
      <c r="N5" s="6">
        <v>0.9369</v>
      </c>
      <c r="O5" s="6">
        <v>3.09</v>
      </c>
    </row>
    <row r="6" s="46" customFormat="1" spans="1:15">
      <c r="A6" s="24" t="s">
        <v>142</v>
      </c>
      <c r="B6" s="53" t="s">
        <v>143</v>
      </c>
      <c r="C6" s="24">
        <v>10901.75</v>
      </c>
      <c r="D6" s="24">
        <v>37815</v>
      </c>
      <c r="E6" s="24">
        <f t="shared" ref="E2:E54" si="0">D6/C6</f>
        <v>3.46870915220033</v>
      </c>
      <c r="F6" s="24">
        <v>84530</v>
      </c>
      <c r="G6" s="24">
        <f t="shared" ref="G2:G54" si="1">F6/C6</f>
        <v>7.75380099525306</v>
      </c>
      <c r="H6" s="6"/>
      <c r="I6" s="6"/>
      <c r="J6" s="6"/>
      <c r="K6" s="6"/>
      <c r="L6" s="52"/>
      <c r="M6" s="52">
        <v>0.94</v>
      </c>
      <c r="N6" s="6">
        <v>0.81</v>
      </c>
      <c r="O6" s="6">
        <v>3.42</v>
      </c>
    </row>
    <row r="7" s="1" customFormat="1" spans="1:15">
      <c r="A7" s="6" t="s">
        <v>144</v>
      </c>
      <c r="B7" s="7" t="s">
        <v>145</v>
      </c>
      <c r="C7" s="6">
        <v>13534</v>
      </c>
      <c r="D7" s="6">
        <v>46725</v>
      </c>
      <c r="E7" s="6">
        <f t="shared" si="0"/>
        <v>3.4524161371361</v>
      </c>
      <c r="F7" s="6">
        <v>113671</v>
      </c>
      <c r="G7" s="6">
        <f t="shared" si="1"/>
        <v>8.39892123540712</v>
      </c>
      <c r="H7" s="6"/>
      <c r="I7" s="6"/>
      <c r="J7" s="6"/>
      <c r="K7" s="6"/>
      <c r="L7" s="52"/>
      <c r="M7" s="52"/>
      <c r="N7" s="6"/>
      <c r="O7" s="6"/>
    </row>
    <row r="8" s="1" customFormat="1" spans="1:15">
      <c r="A8" s="6" t="s">
        <v>146</v>
      </c>
      <c r="B8" s="7" t="s">
        <v>147</v>
      </c>
      <c r="C8" s="6">
        <v>13313.43</v>
      </c>
      <c r="D8" s="6">
        <v>51748</v>
      </c>
      <c r="E8" s="6">
        <f t="shared" si="0"/>
        <v>3.88690217321907</v>
      </c>
      <c r="F8" s="6">
        <v>121522</v>
      </c>
      <c r="G8" s="6">
        <f t="shared" si="1"/>
        <v>9.12777548685801</v>
      </c>
      <c r="H8" s="6"/>
      <c r="I8" s="6"/>
      <c r="J8" s="6"/>
      <c r="K8" s="6"/>
      <c r="L8" s="1"/>
      <c r="M8" s="11"/>
    </row>
    <row r="9" s="1" customFormat="1" spans="1:15">
      <c r="A9" s="6" t="s">
        <v>148</v>
      </c>
      <c r="B9" s="7" t="s">
        <v>149</v>
      </c>
      <c r="C9" s="6">
        <v>14705.2</v>
      </c>
      <c r="D9" s="6">
        <v>52185</v>
      </c>
      <c r="E9" s="6">
        <f t="shared" si="0"/>
        <v>3.5487446617523</v>
      </c>
      <c r="F9" s="6">
        <v>132053.639</v>
      </c>
      <c r="G9" s="6">
        <f t="shared" si="1"/>
        <v>8.98006412697549</v>
      </c>
      <c r="H9" s="54">
        <v>0.730574324324324</v>
      </c>
      <c r="I9" s="9">
        <v>0.728040540540541</v>
      </c>
      <c r="J9" s="10"/>
      <c r="K9" s="10" t="s">
        <v>150</v>
      </c>
      <c r="M9" s="11"/>
    </row>
    <row r="10" s="1" customFormat="1" spans="1:15">
      <c r="A10" s="6" t="s">
        <v>151</v>
      </c>
      <c r="B10" s="7" t="s">
        <v>152</v>
      </c>
      <c r="C10" s="6">
        <v>15591</v>
      </c>
      <c r="D10" s="6">
        <v>53775</v>
      </c>
      <c r="E10" s="6">
        <f t="shared" si="0"/>
        <v>3.44910525303059</v>
      </c>
      <c r="F10" s="6">
        <v>131097</v>
      </c>
      <c r="G10" s="6">
        <f t="shared" si="1"/>
        <v>8.40850490667693</v>
      </c>
      <c r="H10" s="54">
        <v>0.80078125</v>
      </c>
      <c r="I10" s="9">
        <v>0.725</v>
      </c>
      <c r="J10" s="10"/>
      <c r="K10" s="10" t="s">
        <v>153</v>
      </c>
      <c r="L10" s="1"/>
      <c r="M10" s="11"/>
    </row>
    <row r="11" s="1" customFormat="1" spans="1:15">
      <c r="A11" s="6" t="s">
        <v>154</v>
      </c>
      <c r="B11" s="7" t="s">
        <v>155</v>
      </c>
      <c r="C11" s="6">
        <v>17176</v>
      </c>
      <c r="D11" s="6">
        <v>60730</v>
      </c>
      <c r="E11" s="6">
        <f t="shared" si="0"/>
        <v>3.53574755472753</v>
      </c>
      <c r="F11" s="8">
        <v>141064</v>
      </c>
      <c r="G11" s="6">
        <f t="shared" si="1"/>
        <v>8.21285514671635</v>
      </c>
      <c r="H11" s="9">
        <v>0.782574568288854</v>
      </c>
      <c r="I11" s="9">
        <v>0.744113029827316</v>
      </c>
      <c r="J11" s="10"/>
      <c r="K11" s="10" t="s">
        <v>156</v>
      </c>
      <c r="M11" s="11"/>
    </row>
    <row r="12" s="1" customFormat="1" spans="1:15">
      <c r="A12" s="6" t="s">
        <v>157</v>
      </c>
      <c r="B12" s="7" t="s">
        <v>158</v>
      </c>
      <c r="C12" s="6">
        <v>19462.75</v>
      </c>
      <c r="D12" s="6">
        <v>65075</v>
      </c>
      <c r="E12" s="6">
        <f t="shared" si="0"/>
        <v>3.3435665566274</v>
      </c>
      <c r="F12" s="8">
        <v>157764</v>
      </c>
      <c r="G12" s="6">
        <f t="shared" si="1"/>
        <v>8.10594597371903</v>
      </c>
      <c r="H12" s="9">
        <v>0.8287</v>
      </c>
      <c r="I12" s="9">
        <v>0.7673</v>
      </c>
      <c r="J12" s="10"/>
      <c r="K12" s="10" t="s">
        <v>153</v>
      </c>
      <c r="L12" s="1"/>
      <c r="M12" s="11"/>
    </row>
    <row r="13" s="1" customFormat="1" ht="13" customHeight="1" spans="1:15">
      <c r="A13" s="6" t="s">
        <v>159</v>
      </c>
      <c r="B13" s="7" t="s">
        <v>160</v>
      </c>
      <c r="C13" s="6">
        <v>22574</v>
      </c>
      <c r="D13" s="6">
        <v>72960</v>
      </c>
      <c r="E13" s="6">
        <f t="shared" si="0"/>
        <v>3.23203685656064</v>
      </c>
      <c r="F13" s="8">
        <v>164093</v>
      </c>
      <c r="G13" s="6">
        <f t="shared" si="1"/>
        <v>7.26911491095951</v>
      </c>
      <c r="H13" s="9">
        <v>0.8791</v>
      </c>
      <c r="I13" s="9">
        <v>0.8217</v>
      </c>
      <c r="J13" s="10"/>
      <c r="K13" s="10" t="s">
        <v>161</v>
      </c>
      <c r="L13" s="1"/>
      <c r="M13" s="11"/>
    </row>
    <row r="14" s="1" customFormat="1" spans="1:15">
      <c r="A14" s="6" t="s">
        <v>162</v>
      </c>
      <c r="B14" s="7" t="s">
        <v>163</v>
      </c>
      <c r="C14" s="6">
        <v>20579</v>
      </c>
      <c r="D14" s="6">
        <v>68865</v>
      </c>
      <c r="E14" s="6">
        <f t="shared" si="0"/>
        <v>3.34637251567132</v>
      </c>
      <c r="F14" s="8">
        <v>166905</v>
      </c>
      <c r="G14" s="6">
        <f t="shared" si="1"/>
        <v>8.11045240293503</v>
      </c>
      <c r="H14" s="9">
        <v>0.8401</v>
      </c>
      <c r="I14" s="9">
        <v>0.8165</v>
      </c>
      <c r="J14" s="10"/>
      <c r="K14" s="10" t="s">
        <v>150</v>
      </c>
      <c r="L14" s="1"/>
      <c r="M14" s="11"/>
    </row>
    <row r="15" s="47" customFormat="1" ht="15" customHeight="1" spans="1:15">
      <c r="A15" s="24" t="s">
        <v>142</v>
      </c>
      <c r="B15" s="53" t="s">
        <v>164</v>
      </c>
      <c r="C15" s="24">
        <v>23279.5</v>
      </c>
      <c r="D15" s="24">
        <v>76280</v>
      </c>
      <c r="E15" s="24">
        <f t="shared" si="0"/>
        <v>3.27670267832213</v>
      </c>
      <c r="F15" s="55">
        <v>172243</v>
      </c>
      <c r="G15" s="24">
        <f t="shared" si="1"/>
        <v>7.39891320689877</v>
      </c>
      <c r="H15" s="33">
        <v>0.872</v>
      </c>
      <c r="I15" s="33">
        <v>0.8429</v>
      </c>
      <c r="J15" s="56"/>
      <c r="K15" s="56" t="s">
        <v>165</v>
      </c>
      <c r="M15" s="57"/>
    </row>
    <row r="16" s="1" customFormat="1" spans="1:15">
      <c r="A16" s="6" t="s">
        <v>144</v>
      </c>
      <c r="B16" s="7" t="s">
        <v>166</v>
      </c>
      <c r="C16" s="6">
        <v>22726</v>
      </c>
      <c r="D16" s="6">
        <v>75540</v>
      </c>
      <c r="E16" s="6">
        <f t="shared" si="0"/>
        <v>3.32394614098389</v>
      </c>
      <c r="F16" s="8">
        <v>163163.6</v>
      </c>
      <c r="G16" s="6">
        <f t="shared" si="1"/>
        <v>7.17960045762563</v>
      </c>
      <c r="H16" s="9">
        <v>0.809</v>
      </c>
      <c r="I16" s="9">
        <v>0.7858</v>
      </c>
      <c r="J16" s="10"/>
      <c r="K16" s="10" t="s">
        <v>167</v>
      </c>
      <c r="M16" s="11"/>
    </row>
    <row r="17" s="1" customFormat="1" spans="1:13">
      <c r="A17" s="6" t="s">
        <v>168</v>
      </c>
      <c r="B17" s="7" t="s">
        <v>169</v>
      </c>
      <c r="C17" s="6">
        <v>24155</v>
      </c>
      <c r="D17" s="6">
        <v>78385</v>
      </c>
      <c r="E17" s="6">
        <f t="shared" si="0"/>
        <v>3.24508383357483</v>
      </c>
      <c r="F17" s="8">
        <v>178019</v>
      </c>
      <c r="G17" s="6">
        <f t="shared" si="1"/>
        <v>7.36986131235769</v>
      </c>
      <c r="H17" s="9">
        <v>0.853568800588668</v>
      </c>
      <c r="I17" s="9">
        <v>0.838852097130243</v>
      </c>
      <c r="J17" s="10"/>
      <c r="K17" s="10" t="s">
        <v>161</v>
      </c>
      <c r="L17" s="1"/>
      <c r="M17" s="11"/>
    </row>
    <row r="18" s="1" customFormat="1" spans="1:13">
      <c r="A18" s="6" t="s">
        <v>170</v>
      </c>
      <c r="B18" s="7" t="s">
        <v>171</v>
      </c>
      <c r="C18" s="6">
        <v>26112.3</v>
      </c>
      <c r="D18" s="6">
        <v>86582</v>
      </c>
      <c r="E18" s="6">
        <f t="shared" si="0"/>
        <v>3.31575541028557</v>
      </c>
      <c r="F18" s="6">
        <v>208062</v>
      </c>
      <c r="G18" s="6">
        <f t="shared" si="1"/>
        <v>7.96796911800186</v>
      </c>
      <c r="H18" s="9">
        <v>0.8674</v>
      </c>
      <c r="I18" s="9">
        <v>0.8367</v>
      </c>
      <c r="J18" s="10"/>
      <c r="K18" s="10" t="s">
        <v>153</v>
      </c>
      <c r="L18" s="1"/>
      <c r="M18" s="11"/>
    </row>
    <row r="19" s="1" customFormat="1" spans="1:13">
      <c r="A19" s="6" t="s">
        <v>148</v>
      </c>
      <c r="B19" s="7" t="s">
        <v>172</v>
      </c>
      <c r="C19" s="6">
        <v>23519.2</v>
      </c>
      <c r="D19" s="6">
        <v>80135</v>
      </c>
      <c r="E19" s="6">
        <f t="shared" si="0"/>
        <v>3.40721623184462</v>
      </c>
      <c r="F19" s="6">
        <v>196878</v>
      </c>
      <c r="G19" s="6">
        <f t="shared" si="1"/>
        <v>8.37094799142828</v>
      </c>
      <c r="H19" s="9">
        <v>0.8523</v>
      </c>
      <c r="I19" s="9">
        <v>0.8486</v>
      </c>
      <c r="J19" s="10"/>
      <c r="K19" s="10" t="s">
        <v>173</v>
      </c>
      <c r="M19" s="11"/>
    </row>
    <row r="20" s="1" customFormat="1" spans="1:13">
      <c r="A20" s="6" t="s">
        <v>151</v>
      </c>
      <c r="B20" s="7" t="s">
        <v>174</v>
      </c>
      <c r="C20" s="6">
        <v>21790</v>
      </c>
      <c r="D20" s="6">
        <v>72983</v>
      </c>
      <c r="E20" s="6">
        <f t="shared" si="0"/>
        <v>3.34938044974759</v>
      </c>
      <c r="F20" s="6">
        <v>164491</v>
      </c>
      <c r="G20" s="6">
        <f t="shared" si="1"/>
        <v>7.54892152363469</v>
      </c>
      <c r="H20" s="9">
        <v>0.8782</v>
      </c>
      <c r="I20" s="9">
        <v>0.8217</v>
      </c>
      <c r="J20" s="10"/>
      <c r="K20" s="10" t="s">
        <v>175</v>
      </c>
      <c r="L20" s="1"/>
      <c r="M20" s="11"/>
    </row>
    <row r="21" s="1" customFormat="1" spans="1:13">
      <c r="A21" s="6" t="s">
        <v>176</v>
      </c>
      <c r="B21" s="7" t="s">
        <v>177</v>
      </c>
      <c r="C21" s="6">
        <v>22115</v>
      </c>
      <c r="D21" s="6">
        <v>71438</v>
      </c>
      <c r="E21" s="6">
        <f t="shared" si="0"/>
        <v>3.23029617906398</v>
      </c>
      <c r="F21" s="6">
        <v>167097</v>
      </c>
      <c r="G21" s="6">
        <f t="shared" si="1"/>
        <v>7.55582184037983</v>
      </c>
      <c r="H21" s="9">
        <v>0.8458</v>
      </c>
      <c r="I21" s="9">
        <v>0.8129</v>
      </c>
      <c r="J21" s="10"/>
      <c r="K21" s="10" t="s">
        <v>175</v>
      </c>
      <c r="L21" s="1"/>
      <c r="M21" s="11"/>
    </row>
    <row r="22" s="1" customFormat="1" spans="1:13">
      <c r="A22" s="6" t="s">
        <v>157</v>
      </c>
      <c r="B22" s="7" t="s">
        <v>178</v>
      </c>
      <c r="C22" s="6">
        <v>21470.4</v>
      </c>
      <c r="D22" s="6">
        <v>72821</v>
      </c>
      <c r="E22" s="6">
        <f t="shared" si="0"/>
        <v>3.39169274908711</v>
      </c>
      <c r="F22" s="6">
        <v>167051</v>
      </c>
      <c r="G22" s="6">
        <f t="shared" si="1"/>
        <v>7.78052574707504</v>
      </c>
      <c r="H22" s="9">
        <v>0.8463</v>
      </c>
      <c r="I22" s="9">
        <v>0.7585</v>
      </c>
      <c r="J22" s="10"/>
      <c r="K22" s="10" t="s">
        <v>179</v>
      </c>
      <c r="L22" s="1"/>
      <c r="M22" s="11"/>
    </row>
    <row r="23" s="1" customFormat="1" spans="1:13">
      <c r="A23" s="6" t="s">
        <v>159</v>
      </c>
      <c r="B23" s="7" t="s">
        <v>180</v>
      </c>
      <c r="C23" s="6">
        <v>23887.6</v>
      </c>
      <c r="D23" s="6">
        <v>77963</v>
      </c>
      <c r="E23" s="6">
        <f t="shared" si="0"/>
        <v>3.26374353220918</v>
      </c>
      <c r="F23" s="6">
        <v>190510</v>
      </c>
      <c r="G23" s="6">
        <f t="shared" si="1"/>
        <v>7.9752675028048</v>
      </c>
      <c r="H23" s="9">
        <v>0.876</v>
      </c>
      <c r="I23" s="9">
        <v>0.8218</v>
      </c>
      <c r="J23" s="10"/>
      <c r="K23" s="10" t="s">
        <v>181</v>
      </c>
      <c r="L23" s="1"/>
      <c r="M23" s="11"/>
    </row>
    <row r="24" s="2" customFormat="1" spans="1:13">
      <c r="A24" s="12" t="s">
        <v>162</v>
      </c>
      <c r="B24" s="13" t="s">
        <v>182</v>
      </c>
      <c r="C24" s="14">
        <v>22704.4</v>
      </c>
      <c r="D24" s="14">
        <v>76968</v>
      </c>
      <c r="E24" s="6">
        <f t="shared" si="0"/>
        <v>3.3900036997234</v>
      </c>
      <c r="F24" s="3">
        <v>185298.57</v>
      </c>
      <c r="G24" s="6">
        <f t="shared" si="1"/>
        <v>8.16135066330755</v>
      </c>
      <c r="H24" s="9">
        <v>0.8742</v>
      </c>
      <c r="I24" s="9">
        <v>0.8278</v>
      </c>
      <c r="J24" s="10"/>
      <c r="K24" s="10" t="s">
        <v>183</v>
      </c>
    </row>
    <row r="25" s="2" customFormat="1" spans="1:13">
      <c r="A25" s="15" t="s">
        <v>184</v>
      </c>
      <c r="B25" s="13" t="s">
        <v>185</v>
      </c>
      <c r="C25" s="14">
        <v>16835</v>
      </c>
      <c r="D25" s="14">
        <v>54279</v>
      </c>
      <c r="E25" s="16">
        <f t="shared" si="0"/>
        <v>3.22417582417582</v>
      </c>
      <c r="F25" s="15">
        <v>126483</v>
      </c>
      <c r="G25" s="16">
        <f t="shared" si="1"/>
        <v>7.51309771309771</v>
      </c>
      <c r="H25" s="15"/>
      <c r="I25" s="15"/>
      <c r="J25" s="15"/>
      <c r="K25" s="17" t="s">
        <v>186</v>
      </c>
    </row>
    <row r="26" s="3" customFormat="1" spans="1:13">
      <c r="A26" s="18" t="s">
        <v>187</v>
      </c>
      <c r="B26" s="19" t="s">
        <v>188</v>
      </c>
      <c r="C26" s="6">
        <v>23415.5</v>
      </c>
      <c r="D26" s="14">
        <v>73083</v>
      </c>
      <c r="E26" s="16">
        <f t="shared" si="0"/>
        <v>3.12113770792851</v>
      </c>
      <c r="F26" s="3">
        <v>168257</v>
      </c>
      <c r="G26" s="16">
        <f t="shared" si="1"/>
        <v>7.18571032008712</v>
      </c>
      <c r="H26" s="20">
        <v>0.8091</v>
      </c>
      <c r="I26" s="20">
        <v>0.7849</v>
      </c>
      <c r="J26" s="10"/>
      <c r="K26" s="10" t="s">
        <v>189</v>
      </c>
    </row>
    <row r="27" s="3" customFormat="1" spans="1:13">
      <c r="A27" s="18" t="s">
        <v>190</v>
      </c>
      <c r="B27" s="19" t="s">
        <v>191</v>
      </c>
      <c r="C27" s="6">
        <v>23118.6</v>
      </c>
      <c r="D27" s="14">
        <v>77090</v>
      </c>
      <c r="E27" s="16">
        <f t="shared" si="0"/>
        <v>3.33454447933698</v>
      </c>
      <c r="F27" s="3">
        <v>170300</v>
      </c>
      <c r="G27" s="16">
        <f t="shared" si="1"/>
        <v>7.36636301506147</v>
      </c>
      <c r="H27" s="20">
        <v>0.8404</v>
      </c>
      <c r="I27" s="20">
        <v>0.8661</v>
      </c>
      <c r="J27" s="10"/>
      <c r="K27" s="10" t="s">
        <v>192</v>
      </c>
    </row>
    <row r="28" s="3" customFormat="1" spans="1:13">
      <c r="A28" s="18" t="s">
        <v>193</v>
      </c>
      <c r="B28" s="19" t="s">
        <v>194</v>
      </c>
      <c r="C28" s="6">
        <v>18144</v>
      </c>
      <c r="D28" s="14">
        <v>68795</v>
      </c>
      <c r="E28" s="16">
        <f t="shared" si="0"/>
        <v>3.79161155202822</v>
      </c>
      <c r="F28" s="2">
        <v>145713</v>
      </c>
      <c r="G28" s="16">
        <f t="shared" si="1"/>
        <v>8.03091931216931</v>
      </c>
      <c r="H28" s="20">
        <v>0.882711348057883</v>
      </c>
      <c r="I28" s="20">
        <v>0.765422696115765</v>
      </c>
      <c r="J28" s="21"/>
      <c r="K28" s="21" t="s">
        <v>195</v>
      </c>
    </row>
    <row r="29" s="3" customFormat="1" spans="1:13">
      <c r="A29" s="22" t="s">
        <v>134</v>
      </c>
      <c r="B29" s="23" t="s">
        <v>196</v>
      </c>
      <c r="C29" s="24">
        <v>13478</v>
      </c>
      <c r="D29" s="25">
        <v>44788</v>
      </c>
      <c r="E29" s="26">
        <f t="shared" si="0"/>
        <v>3.32304496216056</v>
      </c>
      <c r="F29" s="27">
        <v>102737</v>
      </c>
      <c r="G29" s="26">
        <f t="shared" si="1"/>
        <v>7.62257011426028</v>
      </c>
      <c r="H29" s="28">
        <v>0.865979381443299</v>
      </c>
      <c r="I29" s="28">
        <v>0.608983799705449</v>
      </c>
      <c r="J29" s="27">
        <v>57.1</v>
      </c>
      <c r="K29" s="29" t="s">
        <v>195</v>
      </c>
    </row>
    <row r="30" s="3" customFormat="1" spans="1:13">
      <c r="A30" s="22" t="s">
        <v>197</v>
      </c>
      <c r="B30" s="23" t="s">
        <v>198</v>
      </c>
      <c r="C30" s="24">
        <v>17508.2</v>
      </c>
      <c r="D30" s="25">
        <v>54715</v>
      </c>
      <c r="E30" s="26">
        <f t="shared" si="0"/>
        <v>3.12510709267657</v>
      </c>
      <c r="F30" s="27">
        <v>130558</v>
      </c>
      <c r="G30" s="26">
        <f t="shared" si="1"/>
        <v>7.45696302304063</v>
      </c>
      <c r="H30" s="28">
        <v>0.935910478128179</v>
      </c>
      <c r="I30" s="27"/>
      <c r="J30" s="27">
        <v>57.8</v>
      </c>
      <c r="K30" s="27" t="s">
        <v>199</v>
      </c>
    </row>
    <row r="31" s="3" customFormat="1" spans="1:13">
      <c r="A31" s="22" t="s">
        <v>200</v>
      </c>
      <c r="B31" s="23" t="s">
        <v>201</v>
      </c>
      <c r="C31" s="25">
        <v>20125.2</v>
      </c>
      <c r="D31" s="25">
        <v>64878</v>
      </c>
      <c r="E31" s="26">
        <f t="shared" si="0"/>
        <v>3.2237195158309</v>
      </c>
      <c r="F31" s="27">
        <v>151248</v>
      </c>
      <c r="G31" s="26">
        <f t="shared" si="1"/>
        <v>7.51535388468189</v>
      </c>
      <c r="H31" s="28">
        <v>0.888163265306122</v>
      </c>
      <c r="I31" s="28">
        <v>0.868571428571429</v>
      </c>
      <c r="J31" s="27">
        <v>56.7</v>
      </c>
      <c r="K31" s="27" t="s">
        <v>199</v>
      </c>
    </row>
    <row r="32" s="3" customFormat="1" spans="1:13">
      <c r="A32" s="22" t="s">
        <v>138</v>
      </c>
      <c r="B32" s="23" t="s">
        <v>202</v>
      </c>
      <c r="C32" s="25">
        <v>20588</v>
      </c>
      <c r="D32" s="25">
        <v>66127</v>
      </c>
      <c r="E32" s="26">
        <f t="shared" si="0"/>
        <v>3.21191956479503</v>
      </c>
      <c r="F32" s="27">
        <v>151427</v>
      </c>
      <c r="G32" s="26">
        <f t="shared" si="1"/>
        <v>7.35510977268312</v>
      </c>
      <c r="H32" s="28">
        <v>0.9078</v>
      </c>
      <c r="I32" s="28">
        <v>0.8641</v>
      </c>
      <c r="J32" s="27">
        <v>57.3</v>
      </c>
      <c r="K32" s="29" t="s">
        <v>203</v>
      </c>
    </row>
    <row r="33" s="3" customFormat="1" spans="1:12">
      <c r="A33" s="22" t="s">
        <v>204</v>
      </c>
      <c r="B33" s="23" t="s">
        <v>205</v>
      </c>
      <c r="C33" s="25">
        <v>21702</v>
      </c>
      <c r="D33" s="25">
        <v>70650</v>
      </c>
      <c r="E33" s="26">
        <f t="shared" si="0"/>
        <v>3.25546032623721</v>
      </c>
      <c r="F33" s="27">
        <v>162071</v>
      </c>
      <c r="G33" s="26">
        <f t="shared" si="1"/>
        <v>7.46802138051792</v>
      </c>
      <c r="H33" s="28">
        <v>0.8574</v>
      </c>
      <c r="I33" s="28">
        <v>0.8215</v>
      </c>
      <c r="J33" s="27">
        <v>56.9</v>
      </c>
      <c r="K33" s="29" t="s">
        <v>206</v>
      </c>
    </row>
    <row r="34" s="3" customFormat="1" spans="1:12">
      <c r="A34" s="22" t="s">
        <v>207</v>
      </c>
      <c r="B34" s="23" t="s">
        <v>208</v>
      </c>
      <c r="C34" s="25">
        <v>19089.1</v>
      </c>
      <c r="D34" s="25">
        <v>64620</v>
      </c>
      <c r="E34" s="26">
        <f t="shared" si="0"/>
        <v>3.38517792876563</v>
      </c>
      <c r="F34" s="27">
        <v>146625</v>
      </c>
      <c r="G34" s="26">
        <f t="shared" si="1"/>
        <v>7.681085017104</v>
      </c>
      <c r="H34" s="28">
        <v>0.897358490566038</v>
      </c>
      <c r="I34" s="28">
        <v>0.8392</v>
      </c>
      <c r="J34" s="27">
        <v>57.4</v>
      </c>
      <c r="K34" s="29" t="s">
        <v>209</v>
      </c>
    </row>
    <row r="35" s="3" customFormat="1" spans="1:12">
      <c r="A35" s="22" t="s">
        <v>140</v>
      </c>
      <c r="B35" s="23" t="s">
        <v>210</v>
      </c>
      <c r="C35" s="25">
        <v>19225.4</v>
      </c>
      <c r="D35" s="25">
        <v>60572</v>
      </c>
      <c r="E35" s="26">
        <f t="shared" si="0"/>
        <v>3.15062365412423</v>
      </c>
      <c r="F35" s="27">
        <v>137739</v>
      </c>
      <c r="G35" s="26">
        <f t="shared" si="1"/>
        <v>7.1644283083837</v>
      </c>
      <c r="H35" s="28">
        <v>0.8682</v>
      </c>
      <c r="I35" s="28">
        <v>0.8208</v>
      </c>
      <c r="J35" s="27">
        <v>58.2</v>
      </c>
      <c r="K35" s="29" t="s">
        <v>211</v>
      </c>
    </row>
    <row r="36" s="3" customFormat="1" spans="1:12">
      <c r="A36" s="22" t="s">
        <v>212</v>
      </c>
      <c r="B36" s="23" t="s">
        <v>213</v>
      </c>
      <c r="C36" s="25">
        <v>17835</v>
      </c>
      <c r="D36" s="25">
        <v>55019</v>
      </c>
      <c r="E36" s="26">
        <f t="shared" si="0"/>
        <v>3.08488926268573</v>
      </c>
      <c r="F36" s="27">
        <v>127828</v>
      </c>
      <c r="G36" s="26">
        <f t="shared" si="1"/>
        <v>7.1672553966919</v>
      </c>
      <c r="H36" s="28">
        <v>0.85</v>
      </c>
      <c r="I36" s="28">
        <v>0.781</v>
      </c>
      <c r="J36" s="29" t="s">
        <v>214</v>
      </c>
      <c r="K36" s="29" t="s">
        <v>215</v>
      </c>
    </row>
    <row r="37" s="3" customFormat="1" spans="1:12">
      <c r="A37" s="22" t="s">
        <v>216</v>
      </c>
      <c r="B37" s="23" t="s">
        <v>217</v>
      </c>
      <c r="C37" s="25">
        <v>19078</v>
      </c>
      <c r="D37" s="25">
        <v>59850</v>
      </c>
      <c r="E37" s="26">
        <f t="shared" si="0"/>
        <v>3.13712129153999</v>
      </c>
      <c r="F37" s="27">
        <v>137579</v>
      </c>
      <c r="G37" s="26">
        <f t="shared" si="1"/>
        <v>7.21139532445749</v>
      </c>
      <c r="H37" s="28">
        <v>0.9189</v>
      </c>
      <c r="I37" s="28">
        <v>0.852</v>
      </c>
      <c r="J37" s="27"/>
      <c r="K37" s="29" t="s">
        <v>218</v>
      </c>
    </row>
    <row r="38" s="3" customFormat="1" spans="1:12">
      <c r="A38" s="27" t="s">
        <v>219</v>
      </c>
      <c r="B38" s="23" t="s">
        <v>220</v>
      </c>
      <c r="C38" s="25">
        <v>19884.4</v>
      </c>
      <c r="D38" s="25">
        <v>62610</v>
      </c>
      <c r="E38" s="26">
        <f t="shared" si="0"/>
        <v>3.14869948301181</v>
      </c>
      <c r="F38" s="27">
        <v>144222</v>
      </c>
      <c r="G38" s="26">
        <f t="shared" si="1"/>
        <v>7.25302246987588</v>
      </c>
      <c r="H38" s="28">
        <v>0.862759643916914</v>
      </c>
      <c r="I38" s="28">
        <v>0.823442136498516</v>
      </c>
      <c r="J38" s="27"/>
      <c r="K38" s="29" t="s">
        <v>221</v>
      </c>
    </row>
    <row r="39" s="3" customFormat="1" spans="1:12">
      <c r="A39" s="30" t="s">
        <v>190</v>
      </c>
      <c r="B39" s="23" t="s">
        <v>222</v>
      </c>
      <c r="C39" s="25">
        <v>18643.3</v>
      </c>
      <c r="D39" s="25">
        <v>60585</v>
      </c>
      <c r="E39" s="26">
        <f t="shared" si="0"/>
        <v>3.24969291917203</v>
      </c>
      <c r="F39" s="27">
        <v>139124</v>
      </c>
      <c r="G39" s="26">
        <f t="shared" si="1"/>
        <v>7.46241277027136</v>
      </c>
      <c r="H39" s="28">
        <v>0.871661721068249</v>
      </c>
      <c r="I39" s="28">
        <v>0.839020771513353</v>
      </c>
      <c r="J39" s="27"/>
      <c r="K39" s="29" t="s">
        <v>223</v>
      </c>
    </row>
    <row r="40" s="3" customFormat="1" spans="1:12">
      <c r="A40" s="30" t="s">
        <v>193</v>
      </c>
      <c r="B40" s="23" t="s">
        <v>224</v>
      </c>
      <c r="C40" s="25">
        <v>18082.5</v>
      </c>
      <c r="D40" s="25">
        <v>58015</v>
      </c>
      <c r="E40" s="26">
        <f t="shared" si="0"/>
        <v>3.20835061523573</v>
      </c>
      <c r="F40" s="27">
        <v>136408</v>
      </c>
      <c r="G40" s="26">
        <f t="shared" si="1"/>
        <v>7.54364717268077</v>
      </c>
      <c r="H40" s="28">
        <v>0.884848484848485</v>
      </c>
      <c r="I40" s="28">
        <v>0.829545454545455</v>
      </c>
      <c r="J40" s="27"/>
      <c r="K40" s="31" t="s">
        <v>225</v>
      </c>
    </row>
    <row r="41" s="3" customFormat="1" spans="1:12">
      <c r="A41" s="30" t="s">
        <v>134</v>
      </c>
      <c r="B41" s="23" t="s">
        <v>226</v>
      </c>
      <c r="C41" s="25">
        <v>16807.2</v>
      </c>
      <c r="D41" s="25">
        <v>53790</v>
      </c>
      <c r="E41" s="26">
        <f t="shared" si="0"/>
        <v>3.20041410823933</v>
      </c>
      <c r="F41" s="27">
        <v>122193</v>
      </c>
      <c r="G41" s="26">
        <f t="shared" si="1"/>
        <v>7.27027702413251</v>
      </c>
      <c r="H41" s="28">
        <v>0.86036036036036</v>
      </c>
      <c r="I41" s="28">
        <v>0.797297297297297</v>
      </c>
      <c r="J41" s="27"/>
      <c r="K41" s="29" t="s">
        <v>227</v>
      </c>
    </row>
    <row r="42" s="3" customFormat="1" spans="1:12">
      <c r="A42" s="30" t="s">
        <v>197</v>
      </c>
      <c r="B42" s="32" t="s">
        <v>228</v>
      </c>
      <c r="C42" s="25">
        <v>18068</v>
      </c>
      <c r="D42" s="25">
        <v>52643</v>
      </c>
      <c r="E42" s="24">
        <f t="shared" si="0"/>
        <v>2.91360416205446</v>
      </c>
      <c r="F42" s="27">
        <v>118649</v>
      </c>
      <c r="G42" s="24">
        <f t="shared" si="1"/>
        <v>6.56680318795661</v>
      </c>
      <c r="H42" s="33">
        <v>0.9057</v>
      </c>
      <c r="I42" s="28">
        <v>0.8357</v>
      </c>
      <c r="J42" s="27"/>
      <c r="K42" s="29" t="s">
        <v>229</v>
      </c>
      <c r="L42" s="34"/>
    </row>
    <row r="43" spans="1:12">
      <c r="A43" s="30" t="s">
        <v>200</v>
      </c>
      <c r="B43" s="32" t="s">
        <v>230</v>
      </c>
      <c r="C43" s="25">
        <v>16312.4</v>
      </c>
      <c r="D43" s="25">
        <v>52049</v>
      </c>
      <c r="E43" s="24">
        <f t="shared" si="0"/>
        <v>3.19076285525122</v>
      </c>
      <c r="F43" s="27">
        <v>119930</v>
      </c>
      <c r="G43" s="24">
        <f t="shared" si="1"/>
        <v>7.35207572153699</v>
      </c>
      <c r="H43" s="28">
        <v>0.910334346504559</v>
      </c>
      <c r="I43" s="28">
        <v>0.82370820668693</v>
      </c>
      <c r="J43" s="27">
        <v>58</v>
      </c>
      <c r="K43" s="29" t="s">
        <v>231</v>
      </c>
    </row>
    <row r="44" spans="1:12">
      <c r="A44" s="30" t="s">
        <v>138</v>
      </c>
      <c r="B44" s="32">
        <v>45883</v>
      </c>
      <c r="C44" s="25">
        <v>20036.6</v>
      </c>
      <c r="D44" s="25">
        <v>59888</v>
      </c>
      <c r="E44" s="24">
        <f t="shared" si="0"/>
        <v>2.98893025762854</v>
      </c>
      <c r="F44" s="27">
        <v>138383</v>
      </c>
      <c r="G44" s="24">
        <f t="shared" si="1"/>
        <v>6.90651108471497</v>
      </c>
      <c r="H44" s="28">
        <v>0.877927608232789</v>
      </c>
      <c r="I44" s="28">
        <v>0.845990063875089</v>
      </c>
      <c r="J44" s="27">
        <v>58</v>
      </c>
      <c r="K44" s="29" t="s">
        <v>232</v>
      </c>
    </row>
    <row r="45" spans="1:12">
      <c r="A45" s="30" t="s">
        <v>204</v>
      </c>
      <c r="B45" s="35">
        <f>B44+7</f>
        <v>45890</v>
      </c>
      <c r="C45" s="25">
        <v>15743.6</v>
      </c>
      <c r="D45" s="25">
        <v>48235</v>
      </c>
      <c r="E45" s="24">
        <f t="shared" si="0"/>
        <v>3.06378464900023</v>
      </c>
      <c r="F45" s="27">
        <v>110610</v>
      </c>
      <c r="G45" s="24">
        <f t="shared" si="1"/>
        <v>7.02571203536675</v>
      </c>
      <c r="H45" s="28">
        <v>0.851221317542561</v>
      </c>
      <c r="I45" s="36">
        <v>0.820133234641007</v>
      </c>
      <c r="J45" s="27">
        <v>58</v>
      </c>
      <c r="K45" s="29" t="s">
        <v>233</v>
      </c>
    </row>
    <row r="46" spans="1:12">
      <c r="A46" s="30" t="s">
        <v>193</v>
      </c>
      <c r="B46" s="35">
        <f>B45+7</f>
        <v>45897</v>
      </c>
      <c r="C46" s="25">
        <v>14492.1</v>
      </c>
      <c r="D46" s="25">
        <v>45910</v>
      </c>
      <c r="E46" s="24">
        <f t="shared" si="0"/>
        <v>3.16793287377261</v>
      </c>
      <c r="F46" s="27">
        <v>105504</v>
      </c>
      <c r="G46" s="24">
        <f t="shared" si="1"/>
        <v>7.28010433270541</v>
      </c>
      <c r="H46" s="28">
        <v>0.87168458781362</v>
      </c>
      <c r="I46" s="28">
        <v>0.80068458781362</v>
      </c>
      <c r="J46" s="27"/>
      <c r="K46" s="29" t="s">
        <v>234</v>
      </c>
    </row>
    <row r="47" s="2" customFormat="1" spans="1:12">
      <c r="A47" s="30" t="s">
        <v>140</v>
      </c>
      <c r="B47" s="35">
        <f>B46+7+2</f>
        <v>45906</v>
      </c>
      <c r="C47" s="25">
        <v>14566.9</v>
      </c>
      <c r="D47" s="25">
        <v>45215</v>
      </c>
      <c r="E47" s="24">
        <f t="shared" si="0"/>
        <v>3.10395485655836</v>
      </c>
      <c r="F47" s="27">
        <v>106523</v>
      </c>
      <c r="G47" s="24">
        <f t="shared" si="1"/>
        <v>7.31267462534925</v>
      </c>
      <c r="H47" s="28">
        <v>0.890494296577947</v>
      </c>
      <c r="I47" s="36">
        <v>0.821292775665399</v>
      </c>
      <c r="J47" s="27"/>
      <c r="K47" s="29" t="s">
        <v>235</v>
      </c>
    </row>
    <row r="48" spans="1:12">
      <c r="A48" s="30" t="s">
        <v>236</v>
      </c>
      <c r="B48" s="35">
        <f>B47+7-2</f>
        <v>45911</v>
      </c>
      <c r="C48" s="25">
        <v>12300.2</v>
      </c>
      <c r="D48" s="25">
        <v>39023</v>
      </c>
      <c r="E48" s="24">
        <f t="shared" si="0"/>
        <v>3.17255003983675</v>
      </c>
      <c r="F48" s="27">
        <v>90650</v>
      </c>
      <c r="G48" s="24">
        <f t="shared" si="1"/>
        <v>7.3697988650591</v>
      </c>
      <c r="H48" s="28">
        <v>0.872058823529412</v>
      </c>
      <c r="I48" s="28">
        <v>0.663970588235294</v>
      </c>
      <c r="J48" s="27">
        <v>57.6</v>
      </c>
      <c r="K48" s="29" t="s">
        <v>237</v>
      </c>
    </row>
    <row r="49" spans="1:12">
      <c r="A49" s="30" t="s">
        <v>216</v>
      </c>
      <c r="B49" s="35">
        <f>B48+7</f>
        <v>45918</v>
      </c>
      <c r="C49" s="25">
        <v>12604</v>
      </c>
      <c r="D49" s="25">
        <v>41890</v>
      </c>
      <c r="E49" s="24">
        <f t="shared" si="0"/>
        <v>3.32354807997461</v>
      </c>
      <c r="F49" s="27">
        <v>96950</v>
      </c>
      <c r="G49" s="24">
        <f t="shared" si="1"/>
        <v>7.69200253887655</v>
      </c>
      <c r="H49" s="28">
        <v>0.887912087912088</v>
      </c>
      <c r="I49" s="36">
        <v>0.791208791208791</v>
      </c>
      <c r="J49" s="27">
        <v>58</v>
      </c>
      <c r="K49" s="29" t="s">
        <v>238</v>
      </c>
    </row>
    <row r="50" spans="1:12">
      <c r="A50" s="30" t="s">
        <v>187</v>
      </c>
      <c r="B50" s="35">
        <f>B49+7</f>
        <v>45925</v>
      </c>
      <c r="C50" s="25">
        <v>15525.9</v>
      </c>
      <c r="D50" s="25">
        <v>49551</v>
      </c>
      <c r="E50" s="24">
        <f t="shared" si="0"/>
        <v>3.19150580642668</v>
      </c>
      <c r="F50" s="27">
        <v>114797</v>
      </c>
      <c r="G50" s="24">
        <f t="shared" si="1"/>
        <v>7.39390309096413</v>
      </c>
      <c r="H50" s="28">
        <v>0.834985835694051</v>
      </c>
      <c r="I50" s="28">
        <v>0.781161473087819</v>
      </c>
      <c r="J50" s="27">
        <v>58</v>
      </c>
      <c r="K50" s="29" t="s">
        <v>239</v>
      </c>
    </row>
    <row r="51" spans="1:12">
      <c r="A51" s="30" t="s">
        <v>190</v>
      </c>
      <c r="B51" s="35">
        <f>B50+7</f>
        <v>45932</v>
      </c>
      <c r="C51" s="25">
        <v>13667.4</v>
      </c>
      <c r="D51" s="25">
        <v>43910</v>
      </c>
      <c r="E51" s="24">
        <f t="shared" si="0"/>
        <v>3.21275443756676</v>
      </c>
      <c r="F51" s="44">
        <v>102688.25</v>
      </c>
      <c r="G51" s="24">
        <f t="shared" si="1"/>
        <v>7.51337123373868</v>
      </c>
      <c r="H51" s="28">
        <v>0.802091112770724</v>
      </c>
      <c r="I51" s="28">
        <v>0.74234503360717</v>
      </c>
      <c r="J51" s="27"/>
      <c r="K51" s="29" t="s">
        <v>240</v>
      </c>
    </row>
    <row r="52" spans="1:12">
      <c r="A52" s="30" t="s">
        <v>193</v>
      </c>
      <c r="B52" s="35">
        <f>B51+7</f>
        <v>45939</v>
      </c>
      <c r="C52" s="25">
        <v>11763</v>
      </c>
      <c r="D52" s="25">
        <v>37609</v>
      </c>
      <c r="E52" s="24">
        <f t="shared" si="0"/>
        <v>3.19722859814673</v>
      </c>
      <c r="F52" s="44">
        <v>88202.62</v>
      </c>
      <c r="G52" s="24">
        <f t="shared" si="1"/>
        <v>7.49830995494347</v>
      </c>
      <c r="H52" s="36">
        <v>0.728539985326486</v>
      </c>
      <c r="I52" s="28">
        <v>0.64490095377843</v>
      </c>
      <c r="J52" s="27">
        <v>58.8</v>
      </c>
      <c r="K52" s="29" t="s">
        <v>241</v>
      </c>
    </row>
    <row r="53" spans="1:12">
      <c r="A53" s="30" t="s">
        <v>134</v>
      </c>
      <c r="B53" s="35">
        <f>B52+7</f>
        <v>45946</v>
      </c>
      <c r="C53" s="25">
        <v>11113</v>
      </c>
      <c r="D53" s="25">
        <v>37335</v>
      </c>
      <c r="E53" s="24">
        <f t="shared" si="0"/>
        <v>3.35957887159183</v>
      </c>
      <c r="F53" s="44">
        <v>88869.1</v>
      </c>
      <c r="G53" s="24">
        <f t="shared" si="1"/>
        <v>7.99685953387924</v>
      </c>
      <c r="H53" s="28">
        <v>0.760242792109256</v>
      </c>
      <c r="I53" s="28">
        <v>0.655538694992413</v>
      </c>
      <c r="J53" s="27">
        <v>58.6</v>
      </c>
      <c r="K53" s="29" t="s">
        <v>242</v>
      </c>
    </row>
    <row r="54" spans="1:12">
      <c r="A54" s="30" t="s">
        <v>243</v>
      </c>
      <c r="B54" s="35">
        <v>45948</v>
      </c>
      <c r="C54" s="25">
        <v>13631.1</v>
      </c>
      <c r="D54" s="25">
        <v>39605</v>
      </c>
      <c r="E54" s="24">
        <f t="shared" si="0"/>
        <v>2.90548818510612</v>
      </c>
      <c r="F54" s="27">
        <v>91658.925</v>
      </c>
      <c r="G54" s="24">
        <f t="shared" si="1"/>
        <v>6.72425006052336</v>
      </c>
      <c r="H54" s="28">
        <v>0.918283963227783</v>
      </c>
      <c r="I54" s="28">
        <v>0.889683350357508</v>
      </c>
      <c r="J54" s="27">
        <v>58</v>
      </c>
      <c r="K54" s="29" t="s">
        <v>244</v>
      </c>
    </row>
    <row r="55" s="5" customFormat="1" spans="1:12">
      <c r="A55" s="37" t="s">
        <v>245</v>
      </c>
      <c r="B55" s="38">
        <v>45953</v>
      </c>
      <c r="C55" s="39">
        <v>13771.2</v>
      </c>
      <c r="D55" s="39"/>
      <c r="E55" s="40"/>
      <c r="F55" s="41"/>
      <c r="G55" s="40"/>
      <c r="H55" s="42">
        <v>0.843553459119497</v>
      </c>
      <c r="I55" s="43">
        <v>0.792452830188679</v>
      </c>
      <c r="J55" s="41">
        <v>57</v>
      </c>
      <c r="K55" s="31"/>
    </row>
    <row r="56" spans="1:12">
      <c r="A56" s="30" t="s">
        <v>200</v>
      </c>
      <c r="B56" s="35">
        <v>45959</v>
      </c>
      <c r="C56" s="25">
        <v>10156.2</v>
      </c>
      <c r="D56" s="25">
        <v>37115</v>
      </c>
      <c r="E56" s="24">
        <f t="shared" ref="E56:E65" si="2">D56/C56</f>
        <v>3.65441799098088</v>
      </c>
      <c r="F56" s="27">
        <v>87609</v>
      </c>
      <c r="G56" s="24">
        <f t="shared" ref="G56:G65" si="3">F56/C56</f>
        <v>8.62615939032315</v>
      </c>
      <c r="H56" s="28">
        <v>0.783467446964155</v>
      </c>
      <c r="I56" s="28">
        <v>0.595464520848573</v>
      </c>
      <c r="J56" s="27">
        <v>58</v>
      </c>
      <c r="K56" s="29" t="s">
        <v>246</v>
      </c>
    </row>
    <row r="57" spans="1:12">
      <c r="A57" s="30" t="s">
        <v>138</v>
      </c>
      <c r="B57" s="35">
        <v>45966</v>
      </c>
      <c r="C57" s="25">
        <v>12462.95</v>
      </c>
      <c r="D57" s="25">
        <v>43096</v>
      </c>
      <c r="E57" s="24">
        <f t="shared" si="2"/>
        <v>3.45792930245247</v>
      </c>
      <c r="F57" s="27">
        <v>101276.15</v>
      </c>
      <c r="G57" s="24">
        <f t="shared" si="3"/>
        <v>8.126177991567</v>
      </c>
      <c r="H57" s="28">
        <v>0.7033527696793</v>
      </c>
      <c r="I57" s="28">
        <v>0.637026239067055</v>
      </c>
      <c r="J57" s="27">
        <v>58</v>
      </c>
      <c r="K57" s="29" t="s">
        <v>247</v>
      </c>
    </row>
    <row r="58" spans="1:12">
      <c r="A58" s="27" t="s">
        <v>248</v>
      </c>
      <c r="B58" s="35">
        <v>45976</v>
      </c>
      <c r="C58" s="25">
        <v>14118.45</v>
      </c>
      <c r="D58" s="25">
        <v>49898</v>
      </c>
      <c r="E58" s="24">
        <f t="shared" si="2"/>
        <v>3.53424065672931</v>
      </c>
      <c r="F58" s="44">
        <v>116319.925</v>
      </c>
      <c r="G58" s="24">
        <f t="shared" si="3"/>
        <v>8.23885943570293</v>
      </c>
      <c r="H58" s="28">
        <v>0.708487084870849</v>
      </c>
      <c r="I58" s="28">
        <v>0.673062730627306</v>
      </c>
      <c r="J58" s="27">
        <v>58</v>
      </c>
      <c r="K58" s="29" t="s">
        <v>249</v>
      </c>
    </row>
    <row r="59" spans="1:12">
      <c r="A59" s="27" t="s">
        <v>250</v>
      </c>
      <c r="B59" s="35">
        <v>45981</v>
      </c>
      <c r="C59" s="25">
        <v>15576.45</v>
      </c>
      <c r="D59" s="25">
        <v>54430</v>
      </c>
      <c r="E59" s="24">
        <f t="shared" si="2"/>
        <v>3.49437773048416</v>
      </c>
      <c r="F59" s="27">
        <v>126853.4</v>
      </c>
      <c r="G59" s="24">
        <f t="shared" si="3"/>
        <v>8.14392239566782</v>
      </c>
      <c r="H59" s="28">
        <v>0.825825825825826</v>
      </c>
      <c r="I59" s="28">
        <v>0.743993993993994</v>
      </c>
      <c r="J59" s="27">
        <v>58.2</v>
      </c>
      <c r="K59" s="29" t="s">
        <v>251</v>
      </c>
    </row>
    <row r="60" spans="1:12">
      <c r="A60" s="30" t="s">
        <v>252</v>
      </c>
      <c r="B60" s="35">
        <v>45984</v>
      </c>
      <c r="C60" s="25">
        <v>7510.7</v>
      </c>
      <c r="D60" s="25">
        <v>30140</v>
      </c>
      <c r="E60" s="24">
        <f t="shared" si="2"/>
        <v>4.01294153674092</v>
      </c>
      <c r="F60" s="27">
        <v>69615.5</v>
      </c>
      <c r="G60" s="24">
        <f t="shared" si="3"/>
        <v>9.26884311715286</v>
      </c>
      <c r="H60" s="28">
        <v>0.931</v>
      </c>
      <c r="I60" s="28">
        <v>0.792</v>
      </c>
      <c r="J60" s="27">
        <v>56.8</v>
      </c>
      <c r="K60" s="29" t="s">
        <v>253</v>
      </c>
      <c r="L60" s="45" t="s">
        <v>254</v>
      </c>
    </row>
    <row r="61" spans="1:12">
      <c r="A61" s="30" t="s">
        <v>140</v>
      </c>
      <c r="B61" s="35">
        <v>45987</v>
      </c>
      <c r="C61" s="25">
        <v>12053.6</v>
      </c>
      <c r="D61" s="25">
        <v>45660</v>
      </c>
      <c r="E61" s="24">
        <f t="shared" si="2"/>
        <v>3.78807990973651</v>
      </c>
      <c r="F61" s="27">
        <v>106630.075</v>
      </c>
      <c r="G61" s="24">
        <f t="shared" si="3"/>
        <v>8.84632599389394</v>
      </c>
      <c r="H61" s="28">
        <v>0.736111111111111</v>
      </c>
      <c r="I61" s="28">
        <v>0.641203703703704</v>
      </c>
      <c r="J61" s="27">
        <v>57.9</v>
      </c>
      <c r="K61" s="29" t="s">
        <v>255</v>
      </c>
    </row>
    <row r="62" spans="1:12">
      <c r="A62" s="22" t="s">
        <v>256</v>
      </c>
      <c r="B62" s="58">
        <v>45990</v>
      </c>
      <c r="C62" s="59">
        <v>10948.5</v>
      </c>
      <c r="D62" s="25">
        <v>43670</v>
      </c>
      <c r="E62" s="26">
        <f t="shared" si="2"/>
        <v>3.98867424761383</v>
      </c>
      <c r="F62" s="60">
        <v>103415.5</v>
      </c>
      <c r="G62" s="26">
        <f t="shared" si="3"/>
        <v>9.44563182171074</v>
      </c>
      <c r="H62" s="61">
        <v>0.70464904284412</v>
      </c>
      <c r="I62" s="61">
        <v>0.624430264357338</v>
      </c>
      <c r="J62" s="62"/>
      <c r="K62" s="63" t="s">
        <v>257</v>
      </c>
      <c r="L62" s="45" t="s">
        <v>258</v>
      </c>
    </row>
    <row r="63" spans="1:12">
      <c r="A63" s="30" t="s">
        <v>236</v>
      </c>
      <c r="B63" s="58">
        <v>45998</v>
      </c>
      <c r="C63" s="25">
        <v>13040.3</v>
      </c>
      <c r="D63" s="25">
        <v>48980</v>
      </c>
      <c r="E63" s="26">
        <f t="shared" si="2"/>
        <v>3.7560485571651</v>
      </c>
      <c r="F63" s="44">
        <v>115048.6</v>
      </c>
      <c r="G63" s="26">
        <f t="shared" si="3"/>
        <v>8.82254242617118</v>
      </c>
      <c r="H63" s="28">
        <v>0.750384024577573</v>
      </c>
      <c r="I63" s="28">
        <v>0.66973886328725</v>
      </c>
      <c r="J63" s="27">
        <v>57</v>
      </c>
      <c r="K63" s="63" t="s">
        <v>259</v>
      </c>
    </row>
    <row r="64" spans="1:12">
      <c r="A64" s="27" t="s">
        <v>184</v>
      </c>
      <c r="B64" s="35">
        <v>46001</v>
      </c>
      <c r="C64" s="25">
        <v>14802.4</v>
      </c>
      <c r="D64" s="25">
        <v>52505</v>
      </c>
      <c r="E64" s="24">
        <f t="shared" si="2"/>
        <v>3.54705993622656</v>
      </c>
      <c r="F64" s="64">
        <v>124180.25</v>
      </c>
      <c r="G64" s="26">
        <f t="shared" si="3"/>
        <v>8.38919702210452</v>
      </c>
      <c r="H64" s="61">
        <v>0.81154127100073</v>
      </c>
      <c r="I64" s="61">
        <v>0.723155588020453</v>
      </c>
      <c r="J64" s="62">
        <v>58.2</v>
      </c>
      <c r="K64" s="63" t="s">
        <v>260</v>
      </c>
    </row>
    <row r="65" spans="1:12">
      <c r="A65" s="30" t="s">
        <v>187</v>
      </c>
      <c r="B65" s="35">
        <v>46008</v>
      </c>
      <c r="C65" s="25">
        <v>20050.2</v>
      </c>
      <c r="D65" s="25">
        <v>67340</v>
      </c>
      <c r="E65" s="24">
        <f t="shared" si="2"/>
        <v>3.35856998932679</v>
      </c>
      <c r="F65" s="27">
        <v>146180.475</v>
      </c>
      <c r="G65" s="24">
        <f t="shared" si="3"/>
        <v>7.29072403267798</v>
      </c>
      <c r="H65" s="28">
        <v>0.806860551826995</v>
      </c>
      <c r="I65" s="28">
        <v>0.768083519761372</v>
      </c>
      <c r="J65" s="27"/>
      <c r="K65" s="65" t="s">
        <v>261</v>
      </c>
    </row>
    <row r="66" spans="1:12">
      <c r="A66" s="30" t="s">
        <v>262</v>
      </c>
      <c r="B66" s="35">
        <v>46016</v>
      </c>
      <c r="C66" s="25">
        <v>17976.6</v>
      </c>
      <c r="D66" s="25">
        <v>63925</v>
      </c>
      <c r="E66" s="24">
        <f>D66/C66</f>
        <v>3.55601170410422</v>
      </c>
      <c r="F66" s="44">
        <v>153548.46</v>
      </c>
      <c r="G66" s="24">
        <f>F66/C66</f>
        <v>8.54157404626014</v>
      </c>
      <c r="H66" s="28">
        <v>0.803663003663004</v>
      </c>
      <c r="I66" s="28">
        <v>0.783882783882784</v>
      </c>
      <c r="J66" s="27"/>
      <c r="K66" s="29" t="s">
        <v>263</v>
      </c>
      <c r="L66" s="45" t="s">
        <v>264</v>
      </c>
    </row>
    <row r="67" spans="1:12">
      <c r="A67" s="30" t="s">
        <v>265</v>
      </c>
      <c r="B67" s="35">
        <v>46019</v>
      </c>
      <c r="C67" s="25">
        <v>17966</v>
      </c>
      <c r="D67" s="25">
        <v>59300</v>
      </c>
      <c r="E67" s="24">
        <f>D67/C67</f>
        <v>3.30067906044751</v>
      </c>
      <c r="F67" s="27">
        <v>138298.282</v>
      </c>
      <c r="G67" s="24">
        <f>F67/C67</f>
        <v>7.69777813648002</v>
      </c>
      <c r="H67" s="28">
        <v>0.893952673093777</v>
      </c>
      <c r="I67" s="28">
        <v>0.836108676599474</v>
      </c>
      <c r="J67" s="27"/>
      <c r="K67" s="29" t="s">
        <v>266</v>
      </c>
    </row>
  </sheetData>
  <autoFilter xmlns:etc="http://www.wps.cn/officeDocument/2017/etCustomData" ref="A1:A6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A1:M45"/>
  <sheetViews>
    <sheetView workbookViewId="0">
      <selection activeCell="K44" sqref="K44"/>
    </sheetView>
  </sheetViews>
  <sheetFormatPr defaultColWidth="8.66666666666667" defaultRowHeight="14"/>
  <cols>
    <col min="3" max="4" width="9.58333333333333"/>
    <col min="6" max="6" width="11.5833333333333" customWidth="1"/>
    <col min="9" max="9" width="7.75" customWidth="1"/>
    <col min="11" max="11" width="56.75" customWidth="1"/>
    <col min="12" max="12" width="6.91666666666667" customWidth="1"/>
  </cols>
  <sheetData>
    <row r="1" s="1" customFormat="1" spans="1:13">
      <c r="A1" s="6" t="s">
        <v>154</v>
      </c>
      <c r="B1" s="7" t="s">
        <v>166</v>
      </c>
      <c r="C1" s="6">
        <v>22726</v>
      </c>
      <c r="D1" s="6">
        <v>75540</v>
      </c>
      <c r="E1" s="6">
        <f t="shared" ref="E1:E39" si="0">D1/C1</f>
        <v>3.32394614098389</v>
      </c>
      <c r="F1" s="8">
        <v>163163.6</v>
      </c>
      <c r="G1" s="6">
        <f t="shared" ref="G1:G39" si="1">F1/C1</f>
        <v>7.17960045762563</v>
      </c>
      <c r="H1" s="9">
        <v>0.809</v>
      </c>
      <c r="I1" s="9">
        <v>0.7858</v>
      </c>
      <c r="J1" s="10"/>
      <c r="K1" s="10" t="s">
        <v>167</v>
      </c>
      <c r="M1" s="11"/>
    </row>
    <row r="2" s="1" customFormat="1" hidden="1" spans="1:13">
      <c r="A2" s="6" t="s">
        <v>168</v>
      </c>
      <c r="B2" s="7" t="s">
        <v>169</v>
      </c>
      <c r="C2" s="6">
        <v>24155</v>
      </c>
      <c r="D2" s="6">
        <v>78385</v>
      </c>
      <c r="E2" s="6">
        <f t="shared" si="0"/>
        <v>3.24508383357483</v>
      </c>
      <c r="F2" s="8">
        <v>178019</v>
      </c>
      <c r="G2" s="6">
        <f t="shared" si="1"/>
        <v>7.36986131235769</v>
      </c>
      <c r="H2" s="9">
        <v>0.853568800588668</v>
      </c>
      <c r="I2" s="9">
        <v>0.838852097130243</v>
      </c>
      <c r="J2" s="10"/>
      <c r="K2" s="10" t="s">
        <v>161</v>
      </c>
      <c r="M2" s="11"/>
    </row>
    <row r="3" s="1" customFormat="1" spans="1:13">
      <c r="A3" s="6" t="s">
        <v>170</v>
      </c>
      <c r="B3" s="7" t="s">
        <v>171</v>
      </c>
      <c r="C3" s="6">
        <v>26112.3</v>
      </c>
      <c r="D3" s="6">
        <v>86582</v>
      </c>
      <c r="E3" s="6">
        <f t="shared" si="0"/>
        <v>3.31575541028557</v>
      </c>
      <c r="F3" s="6">
        <v>208062</v>
      </c>
      <c r="G3" s="6">
        <f t="shared" si="1"/>
        <v>7.96796911800186</v>
      </c>
      <c r="H3" s="9">
        <v>0.8674</v>
      </c>
      <c r="I3" s="9">
        <v>0.8367</v>
      </c>
      <c r="J3" s="10"/>
      <c r="K3" s="10" t="s">
        <v>153</v>
      </c>
      <c r="M3" s="11"/>
    </row>
    <row r="4" s="1" customFormat="1" hidden="1" spans="1:13">
      <c r="A4" s="6" t="s">
        <v>148</v>
      </c>
      <c r="B4" s="7" t="s">
        <v>172</v>
      </c>
      <c r="C4" s="6">
        <v>23519.2</v>
      </c>
      <c r="D4" s="6">
        <v>80135</v>
      </c>
      <c r="E4" s="6">
        <f t="shared" si="0"/>
        <v>3.40721623184462</v>
      </c>
      <c r="F4" s="6">
        <v>196878</v>
      </c>
      <c r="G4" s="6">
        <f t="shared" si="1"/>
        <v>8.37094799142828</v>
      </c>
      <c r="H4" s="9">
        <v>0.8523</v>
      </c>
      <c r="I4" s="9">
        <v>0.8486</v>
      </c>
      <c r="J4" s="10"/>
      <c r="K4" s="10" t="s">
        <v>173</v>
      </c>
      <c r="M4" s="11"/>
    </row>
    <row r="5" s="1" customFormat="1" hidden="1" spans="1:13">
      <c r="A5" s="6" t="s">
        <v>151</v>
      </c>
      <c r="B5" s="7" t="s">
        <v>174</v>
      </c>
      <c r="C5" s="6">
        <v>21790</v>
      </c>
      <c r="D5" s="6">
        <v>72983</v>
      </c>
      <c r="E5" s="6">
        <f t="shared" si="0"/>
        <v>3.34938044974759</v>
      </c>
      <c r="F5" s="6">
        <v>164491</v>
      </c>
      <c r="G5" s="6">
        <f t="shared" si="1"/>
        <v>7.54892152363469</v>
      </c>
      <c r="H5" s="9">
        <v>0.8782</v>
      </c>
      <c r="I5" s="9">
        <v>0.8217</v>
      </c>
      <c r="J5" s="10"/>
      <c r="K5" s="10" t="s">
        <v>175</v>
      </c>
      <c r="M5" s="11"/>
    </row>
    <row r="6" s="1" customFormat="1" hidden="1" spans="1:13">
      <c r="A6" s="6" t="s">
        <v>176</v>
      </c>
      <c r="B6" s="7" t="s">
        <v>177</v>
      </c>
      <c r="C6" s="6">
        <v>22115</v>
      </c>
      <c r="D6" s="6">
        <v>71438</v>
      </c>
      <c r="E6" s="6">
        <f t="shared" si="0"/>
        <v>3.23029617906398</v>
      </c>
      <c r="F6" s="6">
        <v>167097</v>
      </c>
      <c r="G6" s="6">
        <f t="shared" si="1"/>
        <v>7.55582184037983</v>
      </c>
      <c r="H6" s="9">
        <v>0.8458</v>
      </c>
      <c r="I6" s="9">
        <v>0.8129</v>
      </c>
      <c r="J6" s="10"/>
      <c r="K6" s="10" t="s">
        <v>175</v>
      </c>
      <c r="M6" s="11"/>
    </row>
    <row r="7" s="1" customFormat="1" hidden="1" spans="1:13">
      <c r="A7" s="6" t="s">
        <v>157</v>
      </c>
      <c r="B7" s="7" t="s">
        <v>178</v>
      </c>
      <c r="C7" s="6">
        <v>21470.4</v>
      </c>
      <c r="D7" s="6">
        <v>72821</v>
      </c>
      <c r="E7" s="6">
        <f t="shared" si="0"/>
        <v>3.39169274908711</v>
      </c>
      <c r="F7" s="6">
        <v>167051</v>
      </c>
      <c r="G7" s="6">
        <f t="shared" si="1"/>
        <v>7.78052574707504</v>
      </c>
      <c r="H7" s="9">
        <v>0.8463</v>
      </c>
      <c r="I7" s="9">
        <v>0.7585</v>
      </c>
      <c r="J7" s="10"/>
      <c r="K7" s="10" t="s">
        <v>179</v>
      </c>
      <c r="M7" s="11"/>
    </row>
    <row r="8" s="1" customFormat="1" spans="1:13">
      <c r="A8" s="6" t="s">
        <v>267</v>
      </c>
      <c r="B8" s="7" t="s">
        <v>180</v>
      </c>
      <c r="C8" s="6">
        <v>23887.6</v>
      </c>
      <c r="D8" s="6">
        <v>77963</v>
      </c>
      <c r="E8" s="6">
        <f t="shared" si="0"/>
        <v>3.26374353220918</v>
      </c>
      <c r="F8" s="6">
        <v>190510</v>
      </c>
      <c r="G8" s="6">
        <f t="shared" si="1"/>
        <v>7.9752675028048</v>
      </c>
      <c r="H8" s="9">
        <v>0.876</v>
      </c>
      <c r="I8" s="9">
        <v>0.8218</v>
      </c>
      <c r="J8" s="10"/>
      <c r="K8" s="10" t="s">
        <v>181</v>
      </c>
      <c r="M8" s="11"/>
    </row>
    <row r="9" s="2" customFormat="1" hidden="1" spans="1:13">
      <c r="A9" s="12" t="s">
        <v>162</v>
      </c>
      <c r="B9" s="13" t="s">
        <v>182</v>
      </c>
      <c r="C9" s="14">
        <v>22704.4</v>
      </c>
      <c r="D9" s="14">
        <v>76968</v>
      </c>
      <c r="E9" s="6">
        <f t="shared" si="0"/>
        <v>3.3900036997234</v>
      </c>
      <c r="F9" s="3">
        <v>185298.57</v>
      </c>
      <c r="G9" s="6">
        <f t="shared" si="1"/>
        <v>8.16135066330755</v>
      </c>
      <c r="H9" s="9">
        <v>0.8742</v>
      </c>
      <c r="I9" s="9">
        <v>0.8278</v>
      </c>
      <c r="J9" s="10"/>
      <c r="K9" s="10" t="s">
        <v>183</v>
      </c>
    </row>
    <row r="10" s="2" customFormat="1" hidden="1" spans="1:13">
      <c r="A10" s="15" t="s">
        <v>184</v>
      </c>
      <c r="B10" s="13" t="s">
        <v>185</v>
      </c>
      <c r="C10" s="14">
        <v>16835</v>
      </c>
      <c r="D10" s="14">
        <v>54279</v>
      </c>
      <c r="E10" s="16">
        <f t="shared" si="0"/>
        <v>3.22417582417582</v>
      </c>
      <c r="F10" s="15">
        <v>126483</v>
      </c>
      <c r="G10" s="16">
        <f t="shared" si="1"/>
        <v>7.51309771309771</v>
      </c>
      <c r="H10" s="15"/>
      <c r="I10" s="15"/>
      <c r="J10" s="15"/>
      <c r="K10" s="17" t="s">
        <v>186</v>
      </c>
    </row>
    <row r="11" s="3" customFormat="1" hidden="1" spans="1:13">
      <c r="A11" s="18" t="s">
        <v>154</v>
      </c>
      <c r="B11" s="19" t="s">
        <v>188</v>
      </c>
      <c r="C11" s="6">
        <v>23415.5</v>
      </c>
      <c r="D11" s="14">
        <v>73083</v>
      </c>
      <c r="E11" s="16">
        <f t="shared" si="0"/>
        <v>3.12113770792851</v>
      </c>
      <c r="F11" s="3">
        <v>168257</v>
      </c>
      <c r="G11" s="16">
        <f t="shared" si="1"/>
        <v>7.18571032008712</v>
      </c>
      <c r="H11" s="20">
        <v>0.8091</v>
      </c>
      <c r="I11" s="20">
        <v>0.7849</v>
      </c>
      <c r="J11" s="10"/>
      <c r="K11" s="10" t="s">
        <v>189</v>
      </c>
    </row>
    <row r="12" s="3" customFormat="1" hidden="1" spans="1:13">
      <c r="A12" s="18" t="s">
        <v>190</v>
      </c>
      <c r="B12" s="19" t="s">
        <v>191</v>
      </c>
      <c r="C12" s="6">
        <v>23118.6</v>
      </c>
      <c r="D12" s="14">
        <v>77090</v>
      </c>
      <c r="E12" s="16">
        <f t="shared" si="0"/>
        <v>3.33454447933698</v>
      </c>
      <c r="F12" s="3">
        <v>170300</v>
      </c>
      <c r="G12" s="16">
        <f t="shared" si="1"/>
        <v>7.36636301506147</v>
      </c>
      <c r="H12" s="20">
        <v>0.8404</v>
      </c>
      <c r="I12" s="20">
        <v>0.8661</v>
      </c>
      <c r="J12" s="10"/>
      <c r="K12" s="10" t="s">
        <v>192</v>
      </c>
    </row>
    <row r="13" s="3" customFormat="1" spans="1:13">
      <c r="A13" s="18" t="s">
        <v>193</v>
      </c>
      <c r="B13" s="19" t="s">
        <v>194</v>
      </c>
      <c r="C13" s="6">
        <v>18144</v>
      </c>
      <c r="D13" s="14">
        <v>68795</v>
      </c>
      <c r="E13" s="16">
        <f t="shared" si="0"/>
        <v>3.79161155202822</v>
      </c>
      <c r="F13" s="2">
        <v>145713</v>
      </c>
      <c r="G13" s="16">
        <f t="shared" si="1"/>
        <v>8.03091931216931</v>
      </c>
      <c r="H13" s="20">
        <v>0.882711348057883</v>
      </c>
      <c r="I13" s="20">
        <v>0.765422696115765</v>
      </c>
      <c r="J13" s="21"/>
      <c r="K13" s="21" t="s">
        <v>195</v>
      </c>
    </row>
    <row r="14" s="3" customFormat="1" hidden="1" spans="1:13">
      <c r="A14" s="22" t="s">
        <v>134</v>
      </c>
      <c r="B14" s="23" t="s">
        <v>196</v>
      </c>
      <c r="C14" s="24">
        <v>13478</v>
      </c>
      <c r="D14" s="25">
        <v>44788</v>
      </c>
      <c r="E14" s="26">
        <f t="shared" si="0"/>
        <v>3.32304496216056</v>
      </c>
      <c r="F14" s="27">
        <v>102737</v>
      </c>
      <c r="G14" s="26">
        <f t="shared" si="1"/>
        <v>7.62257011426028</v>
      </c>
      <c r="H14" s="28">
        <v>0.865979381443299</v>
      </c>
      <c r="I14" s="28">
        <v>0.608983799705449</v>
      </c>
      <c r="J14" s="27">
        <v>57.1</v>
      </c>
      <c r="K14" s="29" t="s">
        <v>195</v>
      </c>
    </row>
    <row r="15" s="3" customFormat="1" hidden="1" spans="1:13">
      <c r="A15" s="22" t="s">
        <v>197</v>
      </c>
      <c r="B15" s="23" t="s">
        <v>198</v>
      </c>
      <c r="C15" s="24">
        <v>17508.2</v>
      </c>
      <c r="D15" s="25">
        <v>54715</v>
      </c>
      <c r="E15" s="26">
        <f t="shared" si="0"/>
        <v>3.12510709267657</v>
      </c>
      <c r="F15" s="27">
        <v>130558</v>
      </c>
      <c r="G15" s="26">
        <f t="shared" si="1"/>
        <v>7.45696302304063</v>
      </c>
      <c r="H15" s="28">
        <v>0.935910478128179</v>
      </c>
      <c r="I15" s="27"/>
      <c r="J15" s="27">
        <v>57.8</v>
      </c>
      <c r="K15" s="27" t="s">
        <v>199</v>
      </c>
    </row>
    <row r="16" s="3" customFormat="1" hidden="1" spans="1:13">
      <c r="A16" s="22" t="s">
        <v>200</v>
      </c>
      <c r="B16" s="23" t="s">
        <v>201</v>
      </c>
      <c r="C16" s="25">
        <v>20125.2</v>
      </c>
      <c r="D16" s="25">
        <v>64878</v>
      </c>
      <c r="E16" s="26">
        <f t="shared" si="0"/>
        <v>3.2237195158309</v>
      </c>
      <c r="F16" s="27">
        <v>151248</v>
      </c>
      <c r="G16" s="26">
        <f t="shared" si="1"/>
        <v>7.51535388468189</v>
      </c>
      <c r="H16" s="28">
        <v>0.888163265306122</v>
      </c>
      <c r="I16" s="28">
        <v>0.868571428571429</v>
      </c>
      <c r="J16" s="27">
        <v>56.7</v>
      </c>
      <c r="K16" s="27" t="s">
        <v>199</v>
      </c>
    </row>
    <row r="17" s="3" customFormat="1" hidden="1" spans="1:12">
      <c r="A17" s="22" t="s">
        <v>138</v>
      </c>
      <c r="B17" s="23" t="s">
        <v>202</v>
      </c>
      <c r="C17" s="25">
        <v>20588</v>
      </c>
      <c r="D17" s="25">
        <v>66127</v>
      </c>
      <c r="E17" s="26">
        <f t="shared" si="0"/>
        <v>3.21191956479503</v>
      </c>
      <c r="F17" s="27">
        <v>151427</v>
      </c>
      <c r="G17" s="26">
        <f t="shared" si="1"/>
        <v>7.35510977268312</v>
      </c>
      <c r="H17" s="28">
        <v>0.9078</v>
      </c>
      <c r="I17" s="28">
        <v>0.8641</v>
      </c>
      <c r="J17" s="27">
        <v>57.3</v>
      </c>
      <c r="K17" s="29" t="s">
        <v>203</v>
      </c>
    </row>
    <row r="18" s="3" customFormat="1" hidden="1" spans="1:12">
      <c r="A18" s="22" t="s">
        <v>204</v>
      </c>
      <c r="B18" s="23" t="s">
        <v>205</v>
      </c>
      <c r="C18" s="25">
        <v>21702</v>
      </c>
      <c r="D18" s="25">
        <v>70650</v>
      </c>
      <c r="E18" s="26">
        <f t="shared" si="0"/>
        <v>3.25546032623721</v>
      </c>
      <c r="F18" s="27">
        <v>162071</v>
      </c>
      <c r="G18" s="26">
        <f t="shared" si="1"/>
        <v>7.46802138051792</v>
      </c>
      <c r="H18" s="28">
        <v>0.8574</v>
      </c>
      <c r="I18" s="28">
        <v>0.8215</v>
      </c>
      <c r="J18" s="27">
        <v>56.9</v>
      </c>
      <c r="K18" s="29" t="s">
        <v>206</v>
      </c>
    </row>
    <row r="19" s="3" customFormat="1" spans="1:12">
      <c r="A19" s="22" t="s">
        <v>267</v>
      </c>
      <c r="B19" s="23" t="s">
        <v>208</v>
      </c>
      <c r="C19" s="25">
        <v>19089.1</v>
      </c>
      <c r="D19" s="25">
        <v>64620</v>
      </c>
      <c r="E19" s="26">
        <f t="shared" si="0"/>
        <v>3.38517792876563</v>
      </c>
      <c r="F19" s="27">
        <v>146625</v>
      </c>
      <c r="G19" s="26">
        <f t="shared" si="1"/>
        <v>7.681085017104</v>
      </c>
      <c r="H19" s="28">
        <v>0.897358490566038</v>
      </c>
      <c r="I19" s="28">
        <v>0.8392</v>
      </c>
      <c r="J19" s="27">
        <v>57.4</v>
      </c>
      <c r="K19" s="29" t="s">
        <v>209</v>
      </c>
    </row>
    <row r="20" s="3" customFormat="1" hidden="1" spans="1:12">
      <c r="A20" s="22" t="s">
        <v>140</v>
      </c>
      <c r="B20" s="23" t="s">
        <v>210</v>
      </c>
      <c r="C20" s="25">
        <v>19225.4</v>
      </c>
      <c r="D20" s="25">
        <v>60572</v>
      </c>
      <c r="E20" s="26">
        <f t="shared" si="0"/>
        <v>3.15062365412423</v>
      </c>
      <c r="F20" s="27">
        <v>137739</v>
      </c>
      <c r="G20" s="26">
        <f t="shared" si="1"/>
        <v>7.1644283083837</v>
      </c>
      <c r="H20" s="28">
        <v>0.8682</v>
      </c>
      <c r="I20" s="28">
        <v>0.8208</v>
      </c>
      <c r="J20" s="27">
        <v>58.2</v>
      </c>
      <c r="K20" s="29" t="s">
        <v>211</v>
      </c>
    </row>
    <row r="21" s="3" customFormat="1" hidden="1" spans="1:12">
      <c r="A21" s="22" t="s">
        <v>212</v>
      </c>
      <c r="B21" s="23" t="s">
        <v>213</v>
      </c>
      <c r="C21" s="25">
        <v>17835</v>
      </c>
      <c r="D21" s="25">
        <v>55019</v>
      </c>
      <c r="E21" s="26">
        <f t="shared" si="0"/>
        <v>3.08488926268573</v>
      </c>
      <c r="F21" s="27">
        <v>127828</v>
      </c>
      <c r="G21" s="26">
        <f t="shared" si="1"/>
        <v>7.1672553966919</v>
      </c>
      <c r="H21" s="28">
        <v>0.85</v>
      </c>
      <c r="I21" s="28">
        <v>0.781</v>
      </c>
      <c r="J21" s="29" t="s">
        <v>214</v>
      </c>
      <c r="K21" s="29" t="s">
        <v>215</v>
      </c>
    </row>
    <row r="22" s="3" customFormat="1" hidden="1" spans="1:12">
      <c r="A22" s="22" t="s">
        <v>216</v>
      </c>
      <c r="B22" s="23" t="s">
        <v>217</v>
      </c>
      <c r="C22" s="25">
        <v>19078</v>
      </c>
      <c r="D22" s="25">
        <v>59850</v>
      </c>
      <c r="E22" s="26">
        <f t="shared" si="0"/>
        <v>3.13712129153999</v>
      </c>
      <c r="F22" s="27">
        <v>137579</v>
      </c>
      <c r="G22" s="26">
        <f t="shared" si="1"/>
        <v>7.21139532445749</v>
      </c>
      <c r="H22" s="28">
        <v>0.9189</v>
      </c>
      <c r="I22" s="28">
        <v>0.852</v>
      </c>
      <c r="J22" s="27"/>
      <c r="K22" s="29" t="s">
        <v>218</v>
      </c>
    </row>
    <row r="23" s="3" customFormat="1" hidden="1" spans="1:12">
      <c r="A23" s="27" t="s">
        <v>154</v>
      </c>
      <c r="B23" s="23" t="s">
        <v>220</v>
      </c>
      <c r="C23" s="25">
        <v>19884.4</v>
      </c>
      <c r="D23" s="25">
        <v>62610</v>
      </c>
      <c r="E23" s="26">
        <f t="shared" si="0"/>
        <v>3.14869948301181</v>
      </c>
      <c r="F23" s="27">
        <v>144222</v>
      </c>
      <c r="G23" s="26">
        <f t="shared" si="1"/>
        <v>7.25302246987588</v>
      </c>
      <c r="H23" s="28">
        <v>0.862759643916914</v>
      </c>
      <c r="I23" s="28">
        <v>0.823442136498516</v>
      </c>
      <c r="J23" s="27"/>
      <c r="K23" s="29" t="s">
        <v>221</v>
      </c>
    </row>
    <row r="24" s="3" customFormat="1" hidden="1" spans="1:12">
      <c r="A24" s="30" t="s">
        <v>190</v>
      </c>
      <c r="B24" s="23" t="s">
        <v>222</v>
      </c>
      <c r="C24" s="25">
        <v>18643.3</v>
      </c>
      <c r="D24" s="25">
        <v>60585</v>
      </c>
      <c r="E24" s="26">
        <f t="shared" si="0"/>
        <v>3.24969291917203</v>
      </c>
      <c r="F24" s="27">
        <v>139124</v>
      </c>
      <c r="G24" s="26">
        <f t="shared" si="1"/>
        <v>7.46241277027136</v>
      </c>
      <c r="H24" s="28">
        <v>0.871661721068249</v>
      </c>
      <c r="I24" s="28">
        <v>0.839020771513353</v>
      </c>
      <c r="J24" s="27"/>
      <c r="K24" s="29" t="s">
        <v>223</v>
      </c>
    </row>
    <row r="25" s="3" customFormat="1" spans="1:12">
      <c r="A25" s="30" t="s">
        <v>193</v>
      </c>
      <c r="B25" s="23" t="s">
        <v>224</v>
      </c>
      <c r="C25" s="25">
        <v>18082.5</v>
      </c>
      <c r="D25" s="25">
        <v>58015</v>
      </c>
      <c r="E25" s="26">
        <f t="shared" si="0"/>
        <v>3.20835061523573</v>
      </c>
      <c r="F25" s="27">
        <v>136408</v>
      </c>
      <c r="G25" s="26">
        <f t="shared" si="1"/>
        <v>7.54364717268077</v>
      </c>
      <c r="H25" s="28">
        <v>0.884848484848485</v>
      </c>
      <c r="I25" s="28">
        <v>0.829545454545455</v>
      </c>
      <c r="J25" s="27"/>
      <c r="K25" s="31" t="s">
        <v>225</v>
      </c>
    </row>
    <row r="26" s="3" customFormat="1" hidden="1" spans="1:12">
      <c r="A26" s="30" t="s">
        <v>134</v>
      </c>
      <c r="B26" s="23" t="s">
        <v>226</v>
      </c>
      <c r="C26" s="25">
        <v>16807.2</v>
      </c>
      <c r="D26" s="25">
        <v>53790</v>
      </c>
      <c r="E26" s="26">
        <f t="shared" si="0"/>
        <v>3.20041410823933</v>
      </c>
      <c r="F26" s="27">
        <v>122193</v>
      </c>
      <c r="G26" s="26">
        <f t="shared" si="1"/>
        <v>7.27027702413251</v>
      </c>
      <c r="H26" s="28">
        <v>0.86036036036036</v>
      </c>
      <c r="I26" s="28">
        <v>0.797297297297297</v>
      </c>
      <c r="J26" s="27"/>
      <c r="K26" s="29" t="s">
        <v>227</v>
      </c>
    </row>
    <row r="27" s="3" customFormat="1" hidden="1" spans="1:12">
      <c r="A27" s="30" t="s">
        <v>197</v>
      </c>
      <c r="B27" s="32" t="s">
        <v>228</v>
      </c>
      <c r="C27" s="25">
        <v>18068</v>
      </c>
      <c r="D27" s="25">
        <v>52643</v>
      </c>
      <c r="E27" s="24">
        <f t="shared" si="0"/>
        <v>2.91360416205446</v>
      </c>
      <c r="F27" s="27">
        <v>118649</v>
      </c>
      <c r="G27" s="24">
        <f t="shared" si="1"/>
        <v>6.56680318795661</v>
      </c>
      <c r="H27" s="33">
        <v>0.9057</v>
      </c>
      <c r="I27" s="28">
        <v>0.8357</v>
      </c>
      <c r="J27" s="27"/>
      <c r="K27" s="29" t="s">
        <v>229</v>
      </c>
      <c r="L27" s="34"/>
    </row>
    <row r="28" s="4" customFormat="1" hidden="1" spans="1:12">
      <c r="A28" s="30" t="s">
        <v>200</v>
      </c>
      <c r="B28" s="32" t="s">
        <v>230</v>
      </c>
      <c r="C28" s="25">
        <v>16312.4</v>
      </c>
      <c r="D28" s="25">
        <v>52049</v>
      </c>
      <c r="E28" s="24">
        <f t="shared" si="0"/>
        <v>3.19076285525122</v>
      </c>
      <c r="F28" s="27">
        <v>119930</v>
      </c>
      <c r="G28" s="24">
        <f t="shared" si="1"/>
        <v>7.35207572153699</v>
      </c>
      <c r="H28" s="28">
        <v>0.910334346504559</v>
      </c>
      <c r="I28" s="28">
        <v>0.82370820668693</v>
      </c>
      <c r="J28" s="27">
        <v>58</v>
      </c>
      <c r="K28" s="29" t="s">
        <v>231</v>
      </c>
    </row>
    <row r="29" s="4" customFormat="1" hidden="1" spans="1:12">
      <c r="A29" s="30" t="s">
        <v>138</v>
      </c>
      <c r="B29" s="32">
        <v>45883</v>
      </c>
      <c r="C29" s="25">
        <v>20036.6</v>
      </c>
      <c r="D29" s="25">
        <v>59888</v>
      </c>
      <c r="E29" s="24">
        <f t="shared" si="0"/>
        <v>2.98893025762854</v>
      </c>
      <c r="F29" s="27">
        <v>138383</v>
      </c>
      <c r="G29" s="24">
        <f t="shared" si="1"/>
        <v>6.90651108471497</v>
      </c>
      <c r="H29" s="28">
        <v>0.877927608232789</v>
      </c>
      <c r="I29" s="28">
        <v>0.845990063875089</v>
      </c>
      <c r="J29" s="27">
        <v>58</v>
      </c>
      <c r="K29" s="29" t="s">
        <v>232</v>
      </c>
    </row>
    <row r="30" s="4" customFormat="1" hidden="1" spans="1:12">
      <c r="A30" s="30" t="s">
        <v>204</v>
      </c>
      <c r="B30" s="35">
        <f t="shared" ref="B30:B38" si="2">B29+7</f>
        <v>45890</v>
      </c>
      <c r="C30" s="25">
        <v>15743.6</v>
      </c>
      <c r="D30" s="25">
        <v>48235</v>
      </c>
      <c r="E30" s="24">
        <f t="shared" si="0"/>
        <v>3.06378464900023</v>
      </c>
      <c r="F30" s="27">
        <v>110610</v>
      </c>
      <c r="G30" s="24">
        <f t="shared" si="1"/>
        <v>7.02571203536675</v>
      </c>
      <c r="H30" s="28">
        <v>0.851221317542561</v>
      </c>
      <c r="I30" s="36">
        <v>0.820133234641007</v>
      </c>
      <c r="J30" s="27">
        <v>58</v>
      </c>
      <c r="K30" s="29" t="s">
        <v>233</v>
      </c>
    </row>
    <row r="31" s="4" customFormat="1" spans="1:12">
      <c r="A31" s="30" t="s">
        <v>193</v>
      </c>
      <c r="B31" s="35">
        <f t="shared" si="2"/>
        <v>45897</v>
      </c>
      <c r="C31" s="25">
        <v>14492.1</v>
      </c>
      <c r="D31" s="25">
        <v>45910</v>
      </c>
      <c r="E31" s="24">
        <f t="shared" si="0"/>
        <v>3.16793287377261</v>
      </c>
      <c r="F31" s="27">
        <v>105504</v>
      </c>
      <c r="G31" s="24">
        <f t="shared" si="1"/>
        <v>7.28010433270541</v>
      </c>
      <c r="H31" s="28">
        <v>0.87168458781362</v>
      </c>
      <c r="I31" s="28">
        <v>0.80068458781362</v>
      </c>
      <c r="J31" s="27"/>
      <c r="K31" s="29" t="s">
        <v>234</v>
      </c>
    </row>
    <row r="32" s="5" customFormat="1" hidden="1" spans="1:12">
      <c r="A32" s="37" t="s">
        <v>140</v>
      </c>
      <c r="B32" s="38">
        <f>B31+7+2</f>
        <v>45906</v>
      </c>
      <c r="C32" s="39">
        <v>14566.9</v>
      </c>
      <c r="D32" s="39">
        <v>45215</v>
      </c>
      <c r="E32" s="40">
        <f t="shared" si="0"/>
        <v>3.10395485655836</v>
      </c>
      <c r="F32" s="41">
        <v>106523</v>
      </c>
      <c r="G32" s="40">
        <f t="shared" si="1"/>
        <v>7.31267462534925</v>
      </c>
      <c r="H32" s="42">
        <v>0.890494296577947</v>
      </c>
      <c r="I32" s="43">
        <v>0.821292775665399</v>
      </c>
      <c r="J32" s="41"/>
      <c r="K32" s="31" t="s">
        <v>235</v>
      </c>
    </row>
    <row r="33" s="4" customFormat="1" hidden="1" spans="1:12">
      <c r="A33" s="30" t="s">
        <v>236</v>
      </c>
      <c r="B33" s="35">
        <f>B32+7-2</f>
        <v>45911</v>
      </c>
      <c r="C33" s="25">
        <v>12300.2</v>
      </c>
      <c r="D33" s="25">
        <v>39023</v>
      </c>
      <c r="E33" s="24">
        <f t="shared" si="0"/>
        <v>3.17255003983675</v>
      </c>
      <c r="F33" s="27">
        <v>90650</v>
      </c>
      <c r="G33" s="24">
        <f t="shared" si="1"/>
        <v>7.3697988650591</v>
      </c>
      <c r="H33" s="28">
        <v>0.872058823529412</v>
      </c>
      <c r="I33" s="28">
        <v>0.663970588235294</v>
      </c>
      <c r="J33" s="27">
        <v>57.6</v>
      </c>
      <c r="K33" s="29" t="s">
        <v>237</v>
      </c>
    </row>
    <row r="34" s="4" customFormat="1" hidden="1" spans="1:12">
      <c r="A34" s="30" t="s">
        <v>216</v>
      </c>
      <c r="B34" s="35">
        <f t="shared" si="2"/>
        <v>45918</v>
      </c>
      <c r="C34" s="25">
        <v>12604</v>
      </c>
      <c r="D34" s="25">
        <v>41890</v>
      </c>
      <c r="E34" s="24">
        <f t="shared" si="0"/>
        <v>3.32354807997461</v>
      </c>
      <c r="F34" s="27">
        <v>96950</v>
      </c>
      <c r="G34" s="24">
        <f t="shared" si="1"/>
        <v>7.69200253887655</v>
      </c>
      <c r="H34" s="28">
        <v>0.887912087912088</v>
      </c>
      <c r="I34" s="36">
        <v>0.791208791208791</v>
      </c>
      <c r="J34" s="27">
        <v>58</v>
      </c>
      <c r="K34" s="29" t="s">
        <v>238</v>
      </c>
    </row>
    <row r="35" s="4" customFormat="1" hidden="1" spans="1:12">
      <c r="A35" s="30" t="s">
        <v>154</v>
      </c>
      <c r="B35" s="35">
        <f t="shared" si="2"/>
        <v>45925</v>
      </c>
      <c r="C35" s="25">
        <v>15525.9</v>
      </c>
      <c r="D35" s="25">
        <v>49551</v>
      </c>
      <c r="E35" s="24">
        <f t="shared" si="0"/>
        <v>3.19150580642668</v>
      </c>
      <c r="F35" s="27">
        <v>114797</v>
      </c>
      <c r="G35" s="24">
        <f t="shared" si="1"/>
        <v>7.39390309096413</v>
      </c>
      <c r="H35" s="28">
        <v>0.834985835694051</v>
      </c>
      <c r="I35" s="28">
        <v>0.781161473087819</v>
      </c>
      <c r="J35" s="27">
        <v>58</v>
      </c>
      <c r="K35" s="29" t="s">
        <v>239</v>
      </c>
    </row>
    <row r="36" s="4" customFormat="1" hidden="1" spans="1:12">
      <c r="A36" s="30" t="s">
        <v>190</v>
      </c>
      <c r="B36" s="35">
        <f t="shared" si="2"/>
        <v>45932</v>
      </c>
      <c r="C36" s="25">
        <v>13667.4</v>
      </c>
      <c r="D36" s="25">
        <v>43910</v>
      </c>
      <c r="E36" s="24">
        <f t="shared" si="0"/>
        <v>3.21275443756676</v>
      </c>
      <c r="F36" s="44">
        <v>102688.25</v>
      </c>
      <c r="G36" s="24">
        <f t="shared" si="1"/>
        <v>7.51337123373868</v>
      </c>
      <c r="H36" s="28">
        <v>0.802091112770724</v>
      </c>
      <c r="I36" s="28">
        <v>0.74234503360717</v>
      </c>
      <c r="J36" s="27"/>
      <c r="K36" s="29" t="s">
        <v>240</v>
      </c>
    </row>
    <row r="37" s="4" customFormat="1" spans="1:12">
      <c r="A37" s="30" t="s">
        <v>193</v>
      </c>
      <c r="B37" s="35">
        <f t="shared" si="2"/>
        <v>45939</v>
      </c>
      <c r="C37" s="25">
        <v>11763</v>
      </c>
      <c r="D37" s="25">
        <v>37609</v>
      </c>
      <c r="E37" s="24">
        <f t="shared" si="0"/>
        <v>3.19722859814673</v>
      </c>
      <c r="F37" s="44">
        <v>88202.62</v>
      </c>
      <c r="G37" s="24">
        <f t="shared" si="1"/>
        <v>7.49830995494347</v>
      </c>
      <c r="H37" s="36">
        <v>0.728539985326486</v>
      </c>
      <c r="I37" s="28">
        <v>0.64490095377843</v>
      </c>
      <c r="J37" s="27">
        <v>58.8</v>
      </c>
      <c r="K37" s="29" t="s">
        <v>241</v>
      </c>
    </row>
    <row r="38" s="4" customFormat="1" hidden="1" spans="1:12">
      <c r="A38" s="30" t="s">
        <v>134</v>
      </c>
      <c r="B38" s="35">
        <f t="shared" si="2"/>
        <v>45946</v>
      </c>
      <c r="C38" s="25">
        <v>11113</v>
      </c>
      <c r="D38" s="25">
        <v>37335</v>
      </c>
      <c r="E38" s="24">
        <f t="shared" si="0"/>
        <v>3.35957887159183</v>
      </c>
      <c r="F38" s="44">
        <v>88869.1</v>
      </c>
      <c r="G38" s="24">
        <f t="shared" si="1"/>
        <v>7.99685953387924</v>
      </c>
      <c r="H38" s="28">
        <v>0.760242792109256</v>
      </c>
      <c r="I38" s="28">
        <v>0.655538694992413</v>
      </c>
      <c r="J38" s="27">
        <v>58.6</v>
      </c>
      <c r="K38" s="29" t="s">
        <v>242</v>
      </c>
    </row>
    <row r="39" s="4" customFormat="1" hidden="1" spans="1:12">
      <c r="A39" s="30" t="s">
        <v>243</v>
      </c>
      <c r="B39" s="35">
        <v>45948</v>
      </c>
      <c r="C39" s="25">
        <v>13631.1</v>
      </c>
      <c r="D39" s="25">
        <v>39605</v>
      </c>
      <c r="E39" s="24">
        <f t="shared" si="0"/>
        <v>2.90548818510612</v>
      </c>
      <c r="F39" s="27">
        <v>91658.925</v>
      </c>
      <c r="G39" s="24">
        <f t="shared" si="1"/>
        <v>6.72425006052336</v>
      </c>
      <c r="H39" s="28">
        <v>0.918283963227783</v>
      </c>
      <c r="I39" s="28">
        <v>0.889683350357508</v>
      </c>
      <c r="J39" s="27">
        <v>58</v>
      </c>
      <c r="K39" s="29" t="s">
        <v>244</v>
      </c>
    </row>
    <row r="40" s="5" customFormat="1" hidden="1" spans="1:12">
      <c r="A40" s="37" t="s">
        <v>245</v>
      </c>
      <c r="B40" s="38">
        <v>45953</v>
      </c>
      <c r="C40" s="39">
        <v>13771.2</v>
      </c>
      <c r="D40" s="39"/>
      <c r="E40" s="40"/>
      <c r="F40" s="41"/>
      <c r="G40" s="40"/>
      <c r="H40" s="42">
        <v>0.843553459119497</v>
      </c>
      <c r="I40" s="43">
        <v>0.792452830188679</v>
      </c>
      <c r="J40" s="41">
        <v>57</v>
      </c>
      <c r="K40" s="31"/>
    </row>
    <row r="41" s="4" customFormat="1" hidden="1" spans="1:12">
      <c r="A41" s="30" t="s">
        <v>200</v>
      </c>
      <c r="B41" s="35">
        <v>45959</v>
      </c>
      <c r="C41" s="25">
        <v>10156.2</v>
      </c>
      <c r="D41" s="25">
        <v>37115</v>
      </c>
      <c r="E41" s="24">
        <f t="shared" ref="E41:E45" si="3">D41/C41</f>
        <v>3.65441799098088</v>
      </c>
      <c r="F41" s="27">
        <v>87609</v>
      </c>
      <c r="G41" s="24">
        <f t="shared" ref="G41:G45" si="4">F41/C41</f>
        <v>8.62615939032315</v>
      </c>
      <c r="H41" s="28">
        <v>0.783467446964155</v>
      </c>
      <c r="I41" s="28">
        <v>0.595464520848573</v>
      </c>
      <c r="J41" s="27">
        <v>58</v>
      </c>
      <c r="K41" s="29" t="s">
        <v>246</v>
      </c>
    </row>
    <row r="42" s="4" customFormat="1" hidden="1" spans="1:12">
      <c r="A42" s="30" t="s">
        <v>138</v>
      </c>
      <c r="B42" s="35">
        <v>45966</v>
      </c>
      <c r="C42" s="25">
        <v>12462.95</v>
      </c>
      <c r="D42" s="25">
        <v>43096</v>
      </c>
      <c r="E42" s="24">
        <f t="shared" si="3"/>
        <v>3.45792930245247</v>
      </c>
      <c r="F42" s="27">
        <v>101276.15</v>
      </c>
      <c r="G42" s="24">
        <f t="shared" si="4"/>
        <v>8.126177991567</v>
      </c>
      <c r="H42" s="28">
        <v>0.7033527696793</v>
      </c>
      <c r="I42" s="28">
        <v>0.637026239067055</v>
      </c>
      <c r="J42" s="27">
        <v>58</v>
      </c>
      <c r="K42" s="29" t="s">
        <v>247</v>
      </c>
    </row>
    <row r="43" s="4" customFormat="1" hidden="1" spans="1:12">
      <c r="A43" s="27" t="s">
        <v>248</v>
      </c>
      <c r="B43" s="35">
        <v>45976</v>
      </c>
      <c r="C43" s="25">
        <v>14118.45</v>
      </c>
      <c r="D43" s="25">
        <v>49898</v>
      </c>
      <c r="E43" s="24">
        <f t="shared" si="3"/>
        <v>3.53424065672931</v>
      </c>
      <c r="F43" s="44">
        <v>116319.925</v>
      </c>
      <c r="G43" s="24">
        <f t="shared" si="4"/>
        <v>8.23885943570293</v>
      </c>
      <c r="H43" s="28">
        <v>0.708487084870849</v>
      </c>
      <c r="I43" s="28">
        <v>0.673062730627306</v>
      </c>
      <c r="J43" s="27">
        <v>58</v>
      </c>
      <c r="K43" s="29" t="s">
        <v>249</v>
      </c>
    </row>
    <row r="44" s="4" customFormat="1" spans="1:12">
      <c r="A44" s="27" t="s">
        <v>267</v>
      </c>
      <c r="B44" s="35">
        <v>45981</v>
      </c>
      <c r="C44" s="25">
        <v>15576.45</v>
      </c>
      <c r="D44" s="25">
        <v>54430</v>
      </c>
      <c r="E44" s="24">
        <f t="shared" si="3"/>
        <v>3.49437773048416</v>
      </c>
      <c r="F44" s="27">
        <v>126853.4</v>
      </c>
      <c r="G44" s="24">
        <f t="shared" si="4"/>
        <v>8.14392239566782</v>
      </c>
      <c r="H44" s="28">
        <v>0.825825825825826</v>
      </c>
      <c r="I44" s="28">
        <v>0.743993993993994</v>
      </c>
      <c r="J44" s="27"/>
      <c r="K44" s="29" t="s">
        <v>268</v>
      </c>
    </row>
    <row r="45" s="4" customFormat="1" hidden="1" spans="1:12">
      <c r="A45" s="30" t="s">
        <v>252</v>
      </c>
      <c r="B45" s="35">
        <v>45984</v>
      </c>
      <c r="C45" s="25">
        <v>7510.7</v>
      </c>
      <c r="D45" s="25">
        <v>30140</v>
      </c>
      <c r="E45" s="24">
        <f t="shared" si="3"/>
        <v>4.01294153674092</v>
      </c>
      <c r="F45" s="27">
        <v>69615.5</v>
      </c>
      <c r="G45" s="24">
        <f t="shared" si="4"/>
        <v>9.26884311715286</v>
      </c>
      <c r="H45" s="28">
        <v>0.931</v>
      </c>
      <c r="I45" s="28">
        <v>0.792</v>
      </c>
      <c r="J45" s="27"/>
      <c r="K45" s="29" t="s">
        <v>253</v>
      </c>
      <c r="L45" s="45" t="s">
        <v>254</v>
      </c>
    </row>
  </sheetData>
  <autoFilter xmlns:etc="http://www.wps.cn/officeDocument/2017/etCustomData" ref="A1:L45" etc:filterBottomFollowUsedRange="0">
    <filterColumn colId="0">
      <customFilters>
        <customFilter operator="equal" val="3-2舍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繁殖总表</vt:lpstr>
      <vt:lpstr>料肉比统计</vt:lpstr>
      <vt:lpstr>公斤造肉饲料成本表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张磊</cp:lastModifiedBy>
  <dcterms:created xsi:type="dcterms:W3CDTF">2008-09-11T17:22:00Z</dcterms:created>
  <cp:lastPrinted>2023-08-13T07:14:00Z</cp:lastPrinted>
  <dcterms:modified xsi:type="dcterms:W3CDTF">2025-12-28T07:24:07Z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6B2E0CB3ACDA4EC6A26CADB43E564E9D_13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